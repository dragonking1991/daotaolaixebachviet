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 Drive\QL\KẾ TOÁN\LƯƠNG\VĂN PHÒNG VÀ GV\LƯƠNG 2026\2026\T5\"/>
    </mc:Choice>
  </mc:AlternateContent>
  <xr:revisionPtr revIDLastSave="0" documentId="13_ncr:1_{3D5F4016-8216-48AC-9E19-E4739900E3ED}" xr6:coauthVersionLast="47" xr6:coauthVersionMax="47" xr10:uidLastSave="{00000000-0000-0000-0000-000000000000}"/>
  <bookViews>
    <workbookView xWindow="-120" yWindow="-120" windowWidth="29040" windowHeight="15720" tabRatio="694" activeTab="6" xr2:uid="{00000000-000D-0000-FFFF-FFFF00000000}"/>
  </bookViews>
  <sheets>
    <sheet name="L" sheetId="36" r:id="rId1"/>
    <sheet name="BK TT" sheetId="15" r:id="rId2"/>
    <sheet name="132CE" sheetId="62" state="hidden" r:id="rId3"/>
    <sheet name="TT PHAN XE" sheetId="58" state="hidden" r:id="rId4"/>
    <sheet name="97BC" sheetId="61" state="hidden" r:id="rId5"/>
    <sheet name="195BSS" sheetId="60" state="hidden" r:id="rId6"/>
    <sheet name="Bảng kê GV" sheetId="14" r:id="rId7"/>
    <sheet name="Sheet5" sheetId="49" state="hidden" r:id="rId8"/>
    <sheet name="Danh sách GV" sheetId="16" state="hidden" r:id="rId9"/>
    <sheet name="Danh sách phép 2025" sheetId="22" state="hidden" r:id="rId10"/>
    <sheet name="Danh sách BGD" sheetId="23" state="hidden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Fill" hidden="1">#REF!</definedName>
    <definedName name="_xlnm._FilterDatabase" localSheetId="5" hidden="1">'195BSS'!$A$9:$IY$15</definedName>
    <definedName name="_xlnm._FilterDatabase" localSheetId="1" hidden="1">'BK TT'!$A$5:$J$103</definedName>
    <definedName name="_xlnm._FilterDatabase" localSheetId="0" hidden="1">L!$A$13:$AV$101</definedName>
    <definedName name="_xlnm._FilterDatabase" localSheetId="3" hidden="1">'TT PHAN XE'!$A$2:$I$187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bb" hidden="1">#REF!</definedName>
    <definedName name="btdc2" hidden="1">#REF!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_xlnm.Print_Area" localSheetId="2">'132CE'!$A$1:$I$21</definedName>
    <definedName name="_xlnm.Print_Area" localSheetId="5">'195BSS'!$A$1:$S$46</definedName>
    <definedName name="_xlnm.Print_Area" localSheetId="4">'97BC'!$A$1:$I$49</definedName>
    <definedName name="_xlnm.Print_Titles" localSheetId="5">'195BSS'!$7:$10</definedName>
    <definedName name="sy" hidden="1">#REF!</definedName>
    <definedName name="wrn.chi._.tiÆt." hidden="1">{#N/A,#N/A,FALSE,"Chi tiÆt"}</definedName>
  </definedNames>
  <calcPr calcId="181029"/>
</workbook>
</file>

<file path=xl/calcChain.xml><?xml version="1.0" encoding="utf-8"?>
<calcChain xmlns="http://schemas.openxmlformats.org/spreadsheetml/2006/main">
  <c r="AG14" i="36" l="1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21" i="15"/>
  <c r="AI98" i="36" l="1"/>
  <c r="AJ98" i="36"/>
  <c r="AK98" i="36"/>
  <c r="AL98" i="36"/>
  <c r="AH98" i="36"/>
  <c r="AT14" i="36" l="1"/>
  <c r="I14" i="15"/>
  <c r="N65" i="36"/>
  <c r="N66" i="36"/>
  <c r="N67" i="36"/>
  <c r="N68" i="36"/>
  <c r="N64" i="36"/>
  <c r="N69" i="36"/>
  <c r="N70" i="36"/>
  <c r="S70" i="36" s="1"/>
  <c r="V70" i="36" s="1"/>
  <c r="N71" i="36"/>
  <c r="N72" i="36"/>
  <c r="N73" i="36"/>
  <c r="N74" i="36"/>
  <c r="N75" i="36"/>
  <c r="N76" i="36"/>
  <c r="N77" i="36"/>
  <c r="N78" i="36"/>
  <c r="N79" i="36"/>
  <c r="N80" i="36"/>
  <c r="N81" i="36"/>
  <c r="N82" i="36"/>
  <c r="N83" i="36"/>
  <c r="N84" i="36"/>
  <c r="N85" i="36"/>
  <c r="N86" i="36"/>
  <c r="N87" i="36"/>
  <c r="N88" i="36"/>
  <c r="N89" i="36"/>
  <c r="N90" i="36"/>
  <c r="N91" i="36"/>
  <c r="N92" i="36"/>
  <c r="N93" i="36"/>
  <c r="N94" i="36"/>
  <c r="N95" i="36"/>
  <c r="N96" i="36"/>
  <c r="N97" i="36"/>
  <c r="H8" i="62"/>
  <c r="N14" i="36"/>
  <c r="N15" i="36"/>
  <c r="N16" i="36"/>
  <c r="J13" i="36"/>
  <c r="G13" i="36"/>
  <c r="N26" i="36"/>
  <c r="N61" i="36"/>
  <c r="N62" i="36"/>
  <c r="N63" i="36"/>
  <c r="N17" i="36"/>
  <c r="N18" i="36"/>
  <c r="N19" i="36"/>
  <c r="N20" i="36"/>
  <c r="N21" i="36"/>
  <c r="N22" i="36"/>
  <c r="N23" i="36"/>
  <c r="N24" i="36"/>
  <c r="N25" i="36"/>
  <c r="N27" i="36"/>
  <c r="N28" i="36"/>
  <c r="N29" i="36"/>
  <c r="N30" i="36"/>
  <c r="N31" i="36"/>
  <c r="N32" i="36"/>
  <c r="N33" i="36"/>
  <c r="N34" i="36"/>
  <c r="N35" i="36"/>
  <c r="N36" i="36"/>
  <c r="N37" i="36"/>
  <c r="N38" i="36"/>
  <c r="N39" i="36"/>
  <c r="N40" i="36"/>
  <c r="N41" i="36"/>
  <c r="N42" i="36"/>
  <c r="N43" i="36"/>
  <c r="N44" i="36"/>
  <c r="N45" i="36"/>
  <c r="N46" i="36"/>
  <c r="N47" i="36"/>
  <c r="N48" i="36"/>
  <c r="N49" i="36"/>
  <c r="N50" i="36"/>
  <c r="N51" i="36"/>
  <c r="N52" i="36"/>
  <c r="N53" i="36"/>
  <c r="N54" i="36"/>
  <c r="N55" i="36"/>
  <c r="N56" i="36"/>
  <c r="N57" i="36"/>
  <c r="N58" i="36"/>
  <c r="N59" i="36"/>
  <c r="S59" i="36" s="1"/>
  <c r="V59" i="36" s="1"/>
  <c r="N60" i="36"/>
  <c r="AE13" i="36"/>
  <c r="E13" i="62"/>
  <c r="G10" i="62"/>
  <c r="F10" i="62"/>
  <c r="H10" i="62" s="1"/>
  <c r="H9" i="62"/>
  <c r="G9" i="62"/>
  <c r="F9" i="62"/>
  <c r="G8" i="62"/>
  <c r="G13" i="62" s="1"/>
  <c r="F8" i="62"/>
  <c r="F13" i="62" s="1"/>
  <c r="AE98" i="36" l="1"/>
  <c r="H13" i="62"/>
  <c r="G40" i="61"/>
  <c r="D15" i="61" s="1"/>
  <c r="E15" i="61" s="1"/>
  <c r="G15" i="61" s="1"/>
  <c r="I16" i="61" s="1"/>
  <c r="E40" i="61"/>
  <c r="G38" i="61"/>
  <c r="E38" i="61"/>
  <c r="F19" i="61"/>
  <c r="C18" i="61"/>
  <c r="H18" i="61" s="1"/>
  <c r="C17" i="61"/>
  <c r="H16" i="61"/>
  <c r="C16" i="61"/>
  <c r="H15" i="61"/>
  <c r="C15" i="61"/>
  <c r="C14" i="61"/>
  <c r="H14" i="61" s="1"/>
  <c r="C13" i="61"/>
  <c r="H12" i="61"/>
  <c r="C12" i="61"/>
  <c r="H11" i="61"/>
  <c r="C11" i="61"/>
  <c r="C19" i="61" s="1"/>
  <c r="O36" i="60"/>
  <c r="N36" i="60"/>
  <c r="N35" i="60"/>
  <c r="O35" i="60" s="1"/>
  <c r="M35" i="60"/>
  <c r="O34" i="60"/>
  <c r="N34" i="60"/>
  <c r="N33" i="60"/>
  <c r="O33" i="60" s="1"/>
  <c r="M33" i="60"/>
  <c r="O32" i="60"/>
  <c r="M32" i="60"/>
  <c r="U23" i="60"/>
  <c r="U22" i="60"/>
  <c r="U21" i="60"/>
  <c r="L20" i="60"/>
  <c r="I20" i="60"/>
  <c r="K19" i="60"/>
  <c r="N19" i="60" s="1"/>
  <c r="K18" i="60"/>
  <c r="N18" i="60" s="1"/>
  <c r="N17" i="60"/>
  <c r="K17" i="60"/>
  <c r="N16" i="60"/>
  <c r="K16" i="60"/>
  <c r="K15" i="60"/>
  <c r="N15" i="60" s="1"/>
  <c r="K14" i="60"/>
  <c r="N14" i="60" s="1"/>
  <c r="L13" i="60"/>
  <c r="I13" i="60"/>
  <c r="H13" i="60"/>
  <c r="G13" i="60"/>
  <c r="L12" i="60"/>
  <c r="I12" i="60"/>
  <c r="H12" i="60"/>
  <c r="H20" i="60" s="1"/>
  <c r="G12" i="60"/>
  <c r="O11" i="60"/>
  <c r="O20" i="60" s="1"/>
  <c r="M11" i="60"/>
  <c r="M20" i="60" s="1"/>
  <c r="L11" i="60"/>
  <c r="I11" i="60"/>
  <c r="H11" i="60"/>
  <c r="F11" i="60"/>
  <c r="F20" i="60" s="1"/>
  <c r="B21" i="60"/>
  <c r="E12" i="61" l="1"/>
  <c r="G12" i="61" s="1"/>
  <c r="I13" i="61" s="1"/>
  <c r="E17" i="61"/>
  <c r="G17" i="61" s="1"/>
  <c r="I18" i="61" s="1"/>
  <c r="D14" i="61"/>
  <c r="E14" i="61" s="1"/>
  <c r="G14" i="61" s="1"/>
  <c r="I15" i="61" s="1"/>
  <c r="D18" i="61"/>
  <c r="E18" i="61"/>
  <c r="G18" i="61" s="1"/>
  <c r="D13" i="61"/>
  <c r="E13" i="61" s="1"/>
  <c r="G13" i="61" s="1"/>
  <c r="I14" i="61" s="1"/>
  <c r="D17" i="61"/>
  <c r="D12" i="61"/>
  <c r="D16" i="61"/>
  <c r="E16" i="61" s="1"/>
  <c r="G16" i="61" s="1"/>
  <c r="I17" i="61" s="1"/>
  <c r="H13" i="61"/>
  <c r="H19" i="61" s="1"/>
  <c r="H17" i="61"/>
  <c r="D11" i="61"/>
  <c r="K13" i="60"/>
  <c r="K12" i="60"/>
  <c r="K11" i="60" s="1"/>
  <c r="K20" i="60" s="1"/>
  <c r="J12" i="60"/>
  <c r="J13" i="60"/>
  <c r="N13" i="60" s="1"/>
  <c r="P13" i="60" s="1"/>
  <c r="G11" i="60"/>
  <c r="G20" i="60" s="1"/>
  <c r="D19" i="61" l="1"/>
  <c r="E11" i="61"/>
  <c r="J11" i="60"/>
  <c r="J20" i="60" s="1"/>
  <c r="N12" i="60"/>
  <c r="G11" i="61" l="1"/>
  <c r="E19" i="61"/>
  <c r="N11" i="60"/>
  <c r="N20" i="60" s="1"/>
  <c r="P12" i="60"/>
  <c r="P11" i="60" s="1"/>
  <c r="P20" i="60" s="1"/>
  <c r="T20" i="60" s="1"/>
  <c r="I12" i="61" l="1"/>
  <c r="I11" i="61"/>
  <c r="I19" i="61" s="1"/>
  <c r="G19" i="61"/>
  <c r="AG15" i="36"/>
  <c r="AG59" i="36" l="1"/>
  <c r="Y59" i="36"/>
  <c r="Z59" i="36" l="1"/>
  <c r="S104" i="36"/>
  <c r="AB59" i="36" l="1"/>
  <c r="AC59" i="36" s="1"/>
  <c r="AA59" i="36"/>
  <c r="AC70" i="36" l="1"/>
  <c r="AG69" i="36" l="1"/>
  <c r="AG53" i="36" l="1"/>
  <c r="AG16" i="36"/>
  <c r="AG17" i="36" l="1"/>
  <c r="AG18" i="36"/>
  <c r="AG19" i="36"/>
  <c r="AG20" i="36"/>
  <c r="AG21" i="36"/>
  <c r="AG22" i="36"/>
  <c r="AG23" i="36"/>
  <c r="AG24" i="36"/>
  <c r="AG25" i="36"/>
  <c r="AG26" i="36"/>
  <c r="AG27" i="36"/>
  <c r="AG28" i="36"/>
  <c r="AG29" i="36"/>
  <c r="AG30" i="36"/>
  <c r="AG31" i="36"/>
  <c r="AG32" i="36"/>
  <c r="AG33" i="36"/>
  <c r="AG34" i="36"/>
  <c r="AG35" i="36"/>
  <c r="AG36" i="36"/>
  <c r="AG37" i="36"/>
  <c r="AG38" i="36"/>
  <c r="AG39" i="36"/>
  <c r="AG40" i="36"/>
  <c r="AG41" i="36"/>
  <c r="AG42" i="36"/>
  <c r="AG43" i="36"/>
  <c r="AG44" i="36"/>
  <c r="AG45" i="36"/>
  <c r="AG46" i="36"/>
  <c r="AG47" i="36"/>
  <c r="AG48" i="36"/>
  <c r="AG49" i="36"/>
  <c r="AG50" i="36"/>
  <c r="AG51" i="36"/>
  <c r="AG52" i="36"/>
  <c r="AG54" i="36"/>
  <c r="AG55" i="36"/>
  <c r="AG56" i="36"/>
  <c r="AG57" i="36"/>
  <c r="AG58" i="36"/>
  <c r="AG60" i="36"/>
  <c r="AG61" i="36"/>
  <c r="AG62" i="36"/>
  <c r="AG63" i="36"/>
  <c r="AG64" i="36"/>
  <c r="AG65" i="36"/>
  <c r="AG66" i="36"/>
  <c r="AG67" i="36"/>
  <c r="AG68" i="36"/>
  <c r="E17" i="49"/>
  <c r="E16" i="49"/>
  <c r="E15" i="49"/>
  <c r="E14" i="49"/>
  <c r="E13" i="49"/>
  <c r="E12" i="49"/>
  <c r="E11" i="49"/>
  <c r="E10" i="49"/>
  <c r="F10" i="49" s="1"/>
  <c r="E9" i="49"/>
  <c r="F9" i="49" s="1"/>
  <c r="H9" i="23" l="1"/>
  <c r="E9" i="23"/>
  <c r="I9" i="23" s="1"/>
  <c r="H8" i="23"/>
  <c r="E8" i="23"/>
  <c r="G8" i="23" s="1"/>
  <c r="G15" i="22"/>
  <c r="E14" i="22"/>
  <c r="G14" i="22" s="1"/>
  <c r="E13" i="22"/>
  <c r="G13" i="22" s="1"/>
  <c r="E12" i="22"/>
  <c r="G12" i="22" s="1"/>
  <c r="E11" i="22"/>
  <c r="G11" i="22" s="1"/>
  <c r="E10" i="22"/>
  <c r="G10" i="22" s="1"/>
  <c r="G9" i="22"/>
  <c r="E9" i="22"/>
  <c r="E8" i="22"/>
  <c r="G8" i="22" s="1"/>
  <c r="J79" i="16"/>
  <c r="F79" i="16"/>
  <c r="O78" i="16"/>
  <c r="N78" i="16"/>
  <c r="L78" i="16"/>
  <c r="E78" i="16"/>
  <c r="O77" i="16"/>
  <c r="N77" i="16"/>
  <c r="M77" i="16"/>
  <c r="L77" i="16"/>
  <c r="E77" i="16"/>
  <c r="N76" i="16"/>
  <c r="D76" i="16"/>
  <c r="O76" i="16" s="1"/>
  <c r="O75" i="16"/>
  <c r="N75" i="16"/>
  <c r="E75" i="16"/>
  <c r="N74" i="16"/>
  <c r="D74" i="16"/>
  <c r="O74" i="16" s="1"/>
  <c r="N73" i="16"/>
  <c r="D73" i="16"/>
  <c r="E73" i="16" s="1"/>
  <c r="N72" i="16"/>
  <c r="L72" i="16"/>
  <c r="D72" i="16"/>
  <c r="E72" i="16" s="1"/>
  <c r="N71" i="16"/>
  <c r="D71" i="16"/>
  <c r="O71" i="16" s="1"/>
  <c r="N70" i="16"/>
  <c r="M70" i="16"/>
  <c r="L70" i="16"/>
  <c r="D70" i="16"/>
  <c r="O70" i="16" s="1"/>
  <c r="N69" i="16"/>
  <c r="L69" i="16"/>
  <c r="D69" i="16"/>
  <c r="O69" i="16" s="1"/>
  <c r="N68" i="16"/>
  <c r="D68" i="16"/>
  <c r="E68" i="16" s="1"/>
  <c r="N67" i="16"/>
  <c r="D67" i="16"/>
  <c r="O67" i="16" s="1"/>
  <c r="T66" i="16"/>
  <c r="N66" i="16"/>
  <c r="H66" i="16"/>
  <c r="I66" i="16" s="1"/>
  <c r="D66" i="16"/>
  <c r="O66" i="16" s="1"/>
  <c r="T65" i="16"/>
  <c r="N65" i="16"/>
  <c r="H65" i="16"/>
  <c r="I65" i="16" s="1"/>
  <c r="D65" i="16"/>
  <c r="O65" i="16" s="1"/>
  <c r="T64" i="16"/>
  <c r="N64" i="16"/>
  <c r="H64" i="16"/>
  <c r="I64" i="16" s="1"/>
  <c r="D64" i="16"/>
  <c r="E64" i="16" s="1"/>
  <c r="N63" i="16"/>
  <c r="H63" i="16"/>
  <c r="I63" i="16" s="1"/>
  <c r="D63" i="16"/>
  <c r="O63" i="16" s="1"/>
  <c r="T62" i="16"/>
  <c r="N62" i="16"/>
  <c r="I62" i="16"/>
  <c r="H62" i="16"/>
  <c r="D62" i="16"/>
  <c r="E62" i="16" s="1"/>
  <c r="N61" i="16"/>
  <c r="M61" i="16"/>
  <c r="L61" i="16"/>
  <c r="H61" i="16"/>
  <c r="I61" i="16" s="1"/>
  <c r="D61" i="16"/>
  <c r="O61" i="16" s="1"/>
  <c r="N60" i="16"/>
  <c r="M60" i="16"/>
  <c r="L60" i="16"/>
  <c r="I60" i="16"/>
  <c r="H60" i="16"/>
  <c r="D60" i="16"/>
  <c r="O60" i="16" s="1"/>
  <c r="T59" i="16"/>
  <c r="N59" i="16"/>
  <c r="L59" i="16"/>
  <c r="H59" i="16"/>
  <c r="I59" i="16" s="1"/>
  <c r="D59" i="16"/>
  <c r="E59" i="16" s="1"/>
  <c r="T58" i="16"/>
  <c r="N58" i="16"/>
  <c r="H58" i="16"/>
  <c r="I58" i="16" s="1"/>
  <c r="D58" i="16"/>
  <c r="O58" i="16" s="1"/>
  <c r="T57" i="16"/>
  <c r="N57" i="16"/>
  <c r="M57" i="16"/>
  <c r="L57" i="16"/>
  <c r="H57" i="16"/>
  <c r="I57" i="16" s="1"/>
  <c r="D57" i="16"/>
  <c r="O57" i="16" s="1"/>
  <c r="T56" i="16"/>
  <c r="N56" i="16"/>
  <c r="H56" i="16"/>
  <c r="I56" i="16" s="1"/>
  <c r="D56" i="16"/>
  <c r="E56" i="16" s="1"/>
  <c r="T55" i="16"/>
  <c r="N55" i="16"/>
  <c r="L55" i="16"/>
  <c r="H55" i="16"/>
  <c r="I55" i="16" s="1"/>
  <c r="D55" i="16"/>
  <c r="O55" i="16" s="1"/>
  <c r="T54" i="16"/>
  <c r="N54" i="16"/>
  <c r="H54" i="16"/>
  <c r="I54" i="16" s="1"/>
  <c r="D54" i="16"/>
  <c r="O54" i="16" s="1"/>
  <c r="T53" i="16"/>
  <c r="N53" i="16"/>
  <c r="H53" i="16"/>
  <c r="I53" i="16" s="1"/>
  <c r="D53" i="16"/>
  <c r="O53" i="16" s="1"/>
  <c r="T52" i="16"/>
  <c r="N52" i="16"/>
  <c r="H52" i="16"/>
  <c r="I52" i="16" s="1"/>
  <c r="D52" i="16"/>
  <c r="O52" i="16" s="1"/>
  <c r="N51" i="16"/>
  <c r="M51" i="16"/>
  <c r="L51" i="16"/>
  <c r="H51" i="16"/>
  <c r="I51" i="16" s="1"/>
  <c r="D51" i="16"/>
  <c r="E51" i="16" s="1"/>
  <c r="T50" i="16"/>
  <c r="N50" i="16"/>
  <c r="H50" i="16"/>
  <c r="I50" i="16" s="1"/>
  <c r="D50" i="16"/>
  <c r="O50" i="16" s="1"/>
  <c r="T49" i="16"/>
  <c r="N49" i="16"/>
  <c r="L49" i="16"/>
  <c r="H49" i="16"/>
  <c r="I49" i="16" s="1"/>
  <c r="D49" i="16"/>
  <c r="E49" i="16" s="1"/>
  <c r="T48" i="16"/>
  <c r="N48" i="16"/>
  <c r="H48" i="16"/>
  <c r="I48" i="16" s="1"/>
  <c r="D48" i="16"/>
  <c r="O48" i="16" s="1"/>
  <c r="T47" i="16"/>
  <c r="N47" i="16"/>
  <c r="H47" i="16"/>
  <c r="I47" i="16" s="1"/>
  <c r="D47" i="16"/>
  <c r="E47" i="16" s="1"/>
  <c r="T46" i="16"/>
  <c r="N46" i="16"/>
  <c r="M46" i="16"/>
  <c r="L46" i="16"/>
  <c r="H46" i="16"/>
  <c r="I46" i="16" s="1"/>
  <c r="D46" i="16"/>
  <c r="O46" i="16" s="1"/>
  <c r="T45" i="16"/>
  <c r="N45" i="16"/>
  <c r="L45" i="16"/>
  <c r="H45" i="16"/>
  <c r="I45" i="16" s="1"/>
  <c r="D45" i="16"/>
  <c r="O45" i="16" s="1"/>
  <c r="T44" i="16"/>
  <c r="N44" i="16"/>
  <c r="L44" i="16"/>
  <c r="H44" i="16"/>
  <c r="I44" i="16" s="1"/>
  <c r="D44" i="16"/>
  <c r="E44" i="16" s="1"/>
  <c r="T43" i="16"/>
  <c r="N43" i="16"/>
  <c r="H43" i="16"/>
  <c r="I43" i="16" s="1"/>
  <c r="D43" i="16"/>
  <c r="O43" i="16" s="1"/>
  <c r="T42" i="16"/>
  <c r="N42" i="16"/>
  <c r="H42" i="16"/>
  <c r="I42" i="16" s="1"/>
  <c r="D42" i="16"/>
  <c r="E42" i="16" s="1"/>
  <c r="T41" i="16"/>
  <c r="N41" i="16"/>
  <c r="H41" i="16"/>
  <c r="I41" i="16" s="1"/>
  <c r="D41" i="16"/>
  <c r="O41" i="16" s="1"/>
  <c r="T40" i="16"/>
  <c r="N40" i="16"/>
  <c r="H40" i="16"/>
  <c r="I40" i="16" s="1"/>
  <c r="D40" i="16"/>
  <c r="O40" i="16" s="1"/>
  <c r="T39" i="16"/>
  <c r="N39" i="16"/>
  <c r="H39" i="16"/>
  <c r="I39" i="16" s="1"/>
  <c r="D39" i="16"/>
  <c r="E39" i="16" s="1"/>
  <c r="N38" i="16"/>
  <c r="M38" i="16"/>
  <c r="L38" i="16"/>
  <c r="H38" i="16"/>
  <c r="I38" i="16" s="1"/>
  <c r="D38" i="16"/>
  <c r="E38" i="16" s="1"/>
  <c r="T37" i="16"/>
  <c r="N37" i="16"/>
  <c r="H37" i="16"/>
  <c r="I37" i="16" s="1"/>
  <c r="D37" i="16"/>
  <c r="E37" i="16" s="1"/>
  <c r="T36" i="16"/>
  <c r="N36" i="16"/>
  <c r="L36" i="16"/>
  <c r="H36" i="16"/>
  <c r="I36" i="16" s="1"/>
  <c r="D36" i="16"/>
  <c r="O36" i="16" s="1"/>
  <c r="T35" i="16"/>
  <c r="N35" i="16"/>
  <c r="H35" i="16"/>
  <c r="I35" i="16" s="1"/>
  <c r="D35" i="16"/>
  <c r="O35" i="16" s="1"/>
  <c r="T34" i="16"/>
  <c r="N34" i="16"/>
  <c r="H34" i="16"/>
  <c r="I34" i="16" s="1"/>
  <c r="D34" i="16"/>
  <c r="E34" i="16" s="1"/>
  <c r="N33" i="16"/>
  <c r="I33" i="16"/>
  <c r="H33" i="16"/>
  <c r="D33" i="16"/>
  <c r="E33" i="16" s="1"/>
  <c r="N32" i="16"/>
  <c r="M32" i="16"/>
  <c r="L32" i="16"/>
  <c r="H32" i="16"/>
  <c r="I32" i="16" s="1"/>
  <c r="D32" i="16"/>
  <c r="O32" i="16" s="1"/>
  <c r="T31" i="16"/>
  <c r="N31" i="16"/>
  <c r="L31" i="16"/>
  <c r="H31" i="16"/>
  <c r="I31" i="16" s="1"/>
  <c r="D31" i="16"/>
  <c r="O31" i="16" s="1"/>
  <c r="T30" i="16"/>
  <c r="N30" i="16"/>
  <c r="H30" i="16"/>
  <c r="I30" i="16" s="1"/>
  <c r="D30" i="16"/>
  <c r="E30" i="16" s="1"/>
  <c r="T29" i="16"/>
  <c r="N29" i="16"/>
  <c r="M29" i="16"/>
  <c r="L29" i="16"/>
  <c r="H29" i="16"/>
  <c r="I29" i="16" s="1"/>
  <c r="D29" i="16"/>
  <c r="O29" i="16" s="1"/>
  <c r="T28" i="16"/>
  <c r="N28" i="16"/>
  <c r="H28" i="16"/>
  <c r="I28" i="16" s="1"/>
  <c r="D28" i="16"/>
  <c r="O28" i="16" s="1"/>
  <c r="N27" i="16"/>
  <c r="L27" i="16"/>
  <c r="I27" i="16"/>
  <c r="H27" i="16"/>
  <c r="D27" i="16"/>
  <c r="E27" i="16" s="1"/>
  <c r="T26" i="16"/>
  <c r="N26" i="16"/>
  <c r="M26" i="16"/>
  <c r="L26" i="16"/>
  <c r="H26" i="16"/>
  <c r="I26" i="16" s="1"/>
  <c r="D26" i="16"/>
  <c r="E26" i="16" s="1"/>
  <c r="T25" i="16"/>
  <c r="N25" i="16"/>
  <c r="H25" i="16"/>
  <c r="I25" i="16" s="1"/>
  <c r="D25" i="16"/>
  <c r="O25" i="16" s="1"/>
  <c r="T24" i="16"/>
  <c r="N24" i="16"/>
  <c r="H24" i="16"/>
  <c r="I24" i="16" s="1"/>
  <c r="D24" i="16"/>
  <c r="E24" i="16" s="1"/>
  <c r="T23" i="16"/>
  <c r="N23" i="16"/>
  <c r="L23" i="16"/>
  <c r="H23" i="16"/>
  <c r="I23" i="16" s="1"/>
  <c r="D23" i="16"/>
  <c r="O23" i="16" s="1"/>
  <c r="T22" i="16"/>
  <c r="N22" i="16"/>
  <c r="H22" i="16"/>
  <c r="I22" i="16" s="1"/>
  <c r="D22" i="16"/>
  <c r="E22" i="16" s="1"/>
  <c r="T21" i="16"/>
  <c r="N21" i="16"/>
  <c r="H21" i="16"/>
  <c r="I21" i="16" s="1"/>
  <c r="D21" i="16"/>
  <c r="O21" i="16" s="1"/>
  <c r="T20" i="16"/>
  <c r="N20" i="16"/>
  <c r="H20" i="16"/>
  <c r="I20" i="16" s="1"/>
  <c r="D20" i="16"/>
  <c r="O20" i="16" s="1"/>
  <c r="T19" i="16"/>
  <c r="N19" i="16"/>
  <c r="H19" i="16"/>
  <c r="I19" i="16" s="1"/>
  <c r="D19" i="16"/>
  <c r="E19" i="16" s="1"/>
  <c r="T18" i="16"/>
  <c r="N18" i="16"/>
  <c r="H18" i="16"/>
  <c r="I18" i="16" s="1"/>
  <c r="D18" i="16"/>
  <c r="O18" i="16" s="1"/>
  <c r="T17" i="16"/>
  <c r="N17" i="16"/>
  <c r="H17" i="16"/>
  <c r="I17" i="16" s="1"/>
  <c r="D17" i="16"/>
  <c r="O17" i="16" s="1"/>
  <c r="N16" i="16"/>
  <c r="H16" i="16"/>
  <c r="I16" i="16" s="1"/>
  <c r="D16" i="16"/>
  <c r="E16" i="16" s="1"/>
  <c r="T15" i="16"/>
  <c r="N15" i="16"/>
  <c r="H15" i="16"/>
  <c r="I15" i="16" s="1"/>
  <c r="D15" i="16"/>
  <c r="E15" i="16" s="1"/>
  <c r="T14" i="16"/>
  <c r="N14" i="16"/>
  <c r="H14" i="16"/>
  <c r="I14" i="16" s="1"/>
  <c r="D14" i="16"/>
  <c r="O14" i="16" s="1"/>
  <c r="T13" i="16"/>
  <c r="N13" i="16"/>
  <c r="H13" i="16"/>
  <c r="I13" i="16" s="1"/>
  <c r="D13" i="16"/>
  <c r="O13" i="16" s="1"/>
  <c r="T12" i="16"/>
  <c r="N12" i="16"/>
  <c r="H12" i="16"/>
  <c r="I12" i="16" s="1"/>
  <c r="D12" i="16"/>
  <c r="E12" i="16" s="1"/>
  <c r="N11" i="16"/>
  <c r="L11" i="16"/>
  <c r="H11" i="16"/>
  <c r="I11" i="16" s="1"/>
  <c r="D11" i="16"/>
  <c r="O11" i="16" s="1"/>
  <c r="T10" i="16"/>
  <c r="N10" i="16"/>
  <c r="H10" i="16"/>
  <c r="I10" i="16" s="1"/>
  <c r="D10" i="16"/>
  <c r="E10" i="16" s="1"/>
  <c r="T9" i="16"/>
  <c r="N9" i="16"/>
  <c r="N79" i="16" s="1"/>
  <c r="H9" i="16"/>
  <c r="I9" i="16" s="1"/>
  <c r="D9" i="16"/>
  <c r="O9" i="16" s="1"/>
  <c r="A2" i="14"/>
  <c r="H103" i="15"/>
  <c r="I103" i="15" s="1"/>
  <c r="H102" i="15"/>
  <c r="I102" i="15" s="1"/>
  <c r="M96" i="36" s="1"/>
  <c r="S96" i="36" s="1"/>
  <c r="V96" i="36" s="1"/>
  <c r="H101" i="15"/>
  <c r="I101" i="15" s="1"/>
  <c r="M95" i="36" s="1"/>
  <c r="S95" i="36" s="1"/>
  <c r="V95" i="36" s="1"/>
  <c r="H100" i="15"/>
  <c r="I100" i="15" s="1"/>
  <c r="M94" i="36" s="1"/>
  <c r="S94" i="36" s="1"/>
  <c r="V94" i="36" s="1"/>
  <c r="H99" i="15"/>
  <c r="I99" i="15" s="1"/>
  <c r="M93" i="36" s="1"/>
  <c r="S93" i="36" s="1"/>
  <c r="V93" i="36" s="1"/>
  <c r="H98" i="15"/>
  <c r="I98" i="15" s="1"/>
  <c r="H97" i="15"/>
  <c r="I97" i="15" s="1"/>
  <c r="H96" i="15"/>
  <c r="I96" i="15" s="1"/>
  <c r="H95" i="15"/>
  <c r="I95" i="15" s="1"/>
  <c r="H94" i="15"/>
  <c r="I94" i="15" s="1"/>
  <c r="H93" i="15"/>
  <c r="I93" i="15" s="1"/>
  <c r="H92" i="15"/>
  <c r="I92" i="15" s="1"/>
  <c r="M86" i="36" s="1"/>
  <c r="S86" i="36" s="1"/>
  <c r="V86" i="36" s="1"/>
  <c r="H91" i="15"/>
  <c r="I91" i="15" s="1"/>
  <c r="H90" i="15"/>
  <c r="I90" i="15" s="1"/>
  <c r="H89" i="15"/>
  <c r="I89" i="15" s="1"/>
  <c r="M38" i="36" s="1"/>
  <c r="S38" i="36" s="1"/>
  <c r="V38" i="36" s="1"/>
  <c r="H88" i="15"/>
  <c r="I88" i="15" s="1"/>
  <c r="M83" i="36" s="1"/>
  <c r="S83" i="36" s="1"/>
  <c r="V83" i="36" s="1"/>
  <c r="H87" i="15"/>
  <c r="I87" i="15" s="1"/>
  <c r="H86" i="15"/>
  <c r="I86" i="15" s="1"/>
  <c r="H85" i="15"/>
  <c r="I85" i="15" s="1"/>
  <c r="H84" i="15"/>
  <c r="I84" i="15" s="1"/>
  <c r="H83" i="15"/>
  <c r="I83" i="15" s="1"/>
  <c r="M77" i="36" s="1"/>
  <c r="S77" i="36" s="1"/>
  <c r="V77" i="36" s="1"/>
  <c r="H82" i="15"/>
  <c r="I82" i="15" s="1"/>
  <c r="H81" i="15"/>
  <c r="I81" i="15" s="1"/>
  <c r="M75" i="36" s="1"/>
  <c r="S75" i="36" s="1"/>
  <c r="V75" i="36" s="1"/>
  <c r="H80" i="15"/>
  <c r="I80" i="15" s="1"/>
  <c r="H79" i="15"/>
  <c r="I79" i="15" s="1"/>
  <c r="H78" i="15"/>
  <c r="I78" i="15" s="1"/>
  <c r="H77" i="15"/>
  <c r="I77" i="15" s="1"/>
  <c r="M71" i="36" s="1"/>
  <c r="S71" i="36" s="1"/>
  <c r="V71" i="36" s="1"/>
  <c r="H76" i="15"/>
  <c r="I76" i="15" s="1"/>
  <c r="H75" i="15"/>
  <c r="I75" i="15" s="1"/>
  <c r="H74" i="15"/>
  <c r="I74" i="15" s="1"/>
  <c r="H73" i="15"/>
  <c r="I73" i="15" s="1"/>
  <c r="H72" i="15"/>
  <c r="I72" i="15" s="1"/>
  <c r="H71" i="15"/>
  <c r="I71" i="15" s="1"/>
  <c r="M63" i="36" s="1"/>
  <c r="S63" i="36" s="1"/>
  <c r="V63" i="36" s="1"/>
  <c r="H70" i="15"/>
  <c r="I70" i="15" s="1"/>
  <c r="M62" i="36" s="1"/>
  <c r="S62" i="36" s="1"/>
  <c r="V62" i="36" s="1"/>
  <c r="H69" i="15"/>
  <c r="I69" i="15" s="1"/>
  <c r="H68" i="15"/>
  <c r="I68" i="15" s="1"/>
  <c r="H67" i="15"/>
  <c r="I67" i="15" s="1"/>
  <c r="H66" i="15"/>
  <c r="I66" i="15" s="1"/>
  <c r="H65" i="15"/>
  <c r="I65" i="15" s="1"/>
  <c r="H64" i="15"/>
  <c r="I64" i="15" s="1"/>
  <c r="M55" i="36" s="1"/>
  <c r="S55" i="36" s="1"/>
  <c r="V55" i="36" s="1"/>
  <c r="H63" i="15"/>
  <c r="I63" i="15" s="1"/>
  <c r="M54" i="36" s="1"/>
  <c r="S54" i="36" s="1"/>
  <c r="V54" i="36" s="1"/>
  <c r="H62" i="15"/>
  <c r="I62" i="15" s="1"/>
  <c r="H61" i="15"/>
  <c r="I61" i="15" s="1"/>
  <c r="M52" i="36" s="1"/>
  <c r="S52" i="36" s="1"/>
  <c r="V52" i="36" s="1"/>
  <c r="H60" i="15"/>
  <c r="I60" i="15" s="1"/>
  <c r="H59" i="15"/>
  <c r="I59" i="15" s="1"/>
  <c r="H58" i="15"/>
  <c r="I58" i="15" s="1"/>
  <c r="H57" i="15"/>
  <c r="H56" i="15"/>
  <c r="I56" i="15" s="1"/>
  <c r="H55" i="15"/>
  <c r="I55" i="15" s="1"/>
  <c r="H54" i="15"/>
  <c r="I54" i="15" s="1"/>
  <c r="H53" i="15"/>
  <c r="I53" i="15" s="1"/>
  <c r="H52" i="15"/>
  <c r="I52" i="15" s="1"/>
  <c r="H51" i="15"/>
  <c r="I51" i="15" s="1"/>
  <c r="H50" i="15"/>
  <c r="I50" i="15" s="1"/>
  <c r="H49" i="15"/>
  <c r="I49" i="15" s="1"/>
  <c r="H48" i="15"/>
  <c r="I48" i="15" s="1"/>
  <c r="H47" i="15"/>
  <c r="I47" i="15" s="1"/>
  <c r="H46" i="15"/>
  <c r="I46" i="15" s="1"/>
  <c r="M39" i="36" s="1"/>
  <c r="S39" i="36" s="1"/>
  <c r="V39" i="36" s="1"/>
  <c r="H45" i="15"/>
  <c r="I45" i="15" s="1"/>
  <c r="H44" i="15"/>
  <c r="I44" i="15" s="1"/>
  <c r="H43" i="15"/>
  <c r="I43" i="15" s="1"/>
  <c r="H42" i="15"/>
  <c r="I42" i="15" s="1"/>
  <c r="H41" i="15"/>
  <c r="I41" i="15" s="1"/>
  <c r="H40" i="15"/>
  <c r="H39" i="15"/>
  <c r="I39" i="15" s="1"/>
  <c r="M31" i="36" s="1"/>
  <c r="S31" i="36" s="1"/>
  <c r="V31" i="36" s="1"/>
  <c r="H38" i="15"/>
  <c r="I38" i="15" s="1"/>
  <c r="H37" i="15"/>
  <c r="I37" i="15" s="1"/>
  <c r="M29" i="36" s="1"/>
  <c r="S29" i="36" s="1"/>
  <c r="V29" i="36" s="1"/>
  <c r="H36" i="15"/>
  <c r="I36" i="15" s="1"/>
  <c r="H35" i="15"/>
  <c r="I35" i="15" s="1"/>
  <c r="H34" i="15"/>
  <c r="I34" i="15" s="1"/>
  <c r="M27" i="36" s="1"/>
  <c r="S27" i="36" s="1"/>
  <c r="V27" i="36" s="1"/>
  <c r="H33" i="15"/>
  <c r="I33" i="15" s="1"/>
  <c r="H32" i="15"/>
  <c r="I32" i="15" s="1"/>
  <c r="H31" i="15"/>
  <c r="I31" i="15" s="1"/>
  <c r="M24" i="36" s="1"/>
  <c r="H30" i="15"/>
  <c r="I30" i="15" s="1"/>
  <c r="M23" i="36" s="1"/>
  <c r="H29" i="15"/>
  <c r="I29" i="15" s="1"/>
  <c r="M22" i="36" s="1"/>
  <c r="H28" i="15"/>
  <c r="H27" i="15"/>
  <c r="I27" i="15" s="1"/>
  <c r="H26" i="15"/>
  <c r="I26" i="15" s="1"/>
  <c r="M19" i="36" s="1"/>
  <c r="H25" i="15"/>
  <c r="I25" i="15" s="1"/>
  <c r="M18" i="36" s="1"/>
  <c r="H24" i="15"/>
  <c r="I24" i="15" s="1"/>
  <c r="M17" i="36" s="1"/>
  <c r="H23" i="15"/>
  <c r="I23" i="15" s="1"/>
  <c r="H22" i="15"/>
  <c r="I22" i="15" s="1"/>
  <c r="M15" i="36" s="1"/>
  <c r="S15" i="36" s="1"/>
  <c r="V15" i="36" s="1"/>
  <c r="H20" i="15"/>
  <c r="I20" i="15" s="1"/>
  <c r="H21" i="15"/>
  <c r="I21" i="15" s="1"/>
  <c r="M14" i="36" s="1"/>
  <c r="H19" i="15"/>
  <c r="I19" i="15" s="1"/>
  <c r="H18" i="15"/>
  <c r="I18" i="15" s="1"/>
  <c r="H17" i="15"/>
  <c r="I17" i="15" s="1"/>
  <c r="H16" i="15"/>
  <c r="I16" i="15" s="1"/>
  <c r="H15" i="15"/>
  <c r="I15" i="15" s="1"/>
  <c r="H13" i="15"/>
  <c r="I13" i="15" s="1"/>
  <c r="H12" i="15"/>
  <c r="I12" i="15" s="1"/>
  <c r="H11" i="15"/>
  <c r="I11" i="15" s="1"/>
  <c r="H10" i="15"/>
  <c r="I10" i="15" s="1"/>
  <c r="H9" i="15"/>
  <c r="I9" i="15" s="1"/>
  <c r="H8" i="15"/>
  <c r="I8" i="15" s="1"/>
  <c r="H7" i="15"/>
  <c r="I7" i="15" s="1"/>
  <c r="H6" i="15"/>
  <c r="I6" i="15" s="1"/>
  <c r="Y97" i="36"/>
  <c r="Y96" i="36"/>
  <c r="Y95" i="36"/>
  <c r="Y94" i="36"/>
  <c r="Y93" i="36"/>
  <c r="Y92" i="36"/>
  <c r="Y91" i="36"/>
  <c r="Y90" i="36"/>
  <c r="Y89" i="36"/>
  <c r="Y88" i="36"/>
  <c r="Y87" i="36"/>
  <c r="Y86" i="36"/>
  <c r="Y85" i="36"/>
  <c r="Y84" i="36"/>
  <c r="Y83" i="36"/>
  <c r="Y82" i="36"/>
  <c r="M82" i="36"/>
  <c r="S82" i="36" s="1"/>
  <c r="V82" i="36" s="1"/>
  <c r="Y81" i="36"/>
  <c r="Y80" i="36"/>
  <c r="Y79" i="36"/>
  <c r="Y78" i="36"/>
  <c r="Y77" i="36"/>
  <c r="Y76" i="36"/>
  <c r="Y75" i="36"/>
  <c r="Y74" i="36"/>
  <c r="M74" i="36"/>
  <c r="S74" i="36" s="1"/>
  <c r="V74" i="36" s="1"/>
  <c r="Y73" i="36"/>
  <c r="Y72" i="36"/>
  <c r="Y71" i="36"/>
  <c r="X69" i="36"/>
  <c r="W69" i="36"/>
  <c r="U69" i="36"/>
  <c r="T69" i="36"/>
  <c r="R69" i="36"/>
  <c r="Q69" i="36"/>
  <c r="P69" i="36"/>
  <c r="O69" i="36"/>
  <c r="L69" i="36"/>
  <c r="K69" i="36"/>
  <c r="J69" i="36"/>
  <c r="H69" i="36"/>
  <c r="G69" i="36"/>
  <c r="Y68" i="36"/>
  <c r="Y67" i="36"/>
  <c r="Y66" i="36"/>
  <c r="Y65" i="36"/>
  <c r="Y64" i="36"/>
  <c r="Y63" i="36"/>
  <c r="Y62" i="36"/>
  <c r="Y61" i="36"/>
  <c r="Y60" i="36"/>
  <c r="Y58" i="36"/>
  <c r="Y57" i="36"/>
  <c r="Y56" i="36"/>
  <c r="Y55" i="36"/>
  <c r="Y54" i="36"/>
  <c r="Y53" i="36"/>
  <c r="Y52" i="36"/>
  <c r="Y51" i="36"/>
  <c r="Y50" i="36"/>
  <c r="Y49" i="36"/>
  <c r="Y48" i="36"/>
  <c r="Y47" i="36"/>
  <c r="Y46" i="36"/>
  <c r="Y45" i="36"/>
  <c r="Y44" i="36"/>
  <c r="Y43" i="36"/>
  <c r="Y42" i="36"/>
  <c r="Y41" i="36"/>
  <c r="Y40" i="36"/>
  <c r="Y39" i="36"/>
  <c r="Y38" i="36"/>
  <c r="Y37" i="36"/>
  <c r="Y36" i="36"/>
  <c r="Y35" i="36"/>
  <c r="Y34" i="36"/>
  <c r="Y33" i="36"/>
  <c r="Y32" i="36"/>
  <c r="Y31" i="36"/>
  <c r="Y30" i="36"/>
  <c r="Y29" i="36"/>
  <c r="Y28" i="36"/>
  <c r="Y27" i="36"/>
  <c r="Y26" i="36"/>
  <c r="Y25" i="36"/>
  <c r="Y24" i="36"/>
  <c r="Y23" i="36"/>
  <c r="Y22" i="36"/>
  <c r="Y21" i="36"/>
  <c r="Y20" i="36"/>
  <c r="Y19" i="36"/>
  <c r="Y18" i="36"/>
  <c r="Y17" i="36"/>
  <c r="Y16" i="36"/>
  <c r="Y14" i="36"/>
  <c r="X13" i="36"/>
  <c r="W13" i="36"/>
  <c r="U13" i="36"/>
  <c r="T13" i="36"/>
  <c r="R13" i="36"/>
  <c r="Q13" i="36"/>
  <c r="P13" i="36"/>
  <c r="O13" i="36"/>
  <c r="L13" i="36"/>
  <c r="K13" i="36"/>
  <c r="H13" i="36"/>
  <c r="D81" i="16"/>
  <c r="V14" i="36" l="1"/>
  <c r="S14" i="36"/>
  <c r="Z15" i="36"/>
  <c r="B16" i="14"/>
  <c r="B8" i="14"/>
  <c r="G98" i="36"/>
  <c r="R98" i="36"/>
  <c r="M64" i="36"/>
  <c r="S64" i="36" s="1"/>
  <c r="M16" i="36"/>
  <c r="S16" i="36" s="1"/>
  <c r="V16" i="36" s="1"/>
  <c r="M25" i="36"/>
  <c r="S25" i="36" s="1"/>
  <c r="V25" i="36" s="1"/>
  <c r="M26" i="36"/>
  <c r="S26" i="36" s="1"/>
  <c r="M20" i="36"/>
  <c r="S20" i="36" s="1"/>
  <c r="M61" i="36"/>
  <c r="S61" i="36" s="1"/>
  <c r="L98" i="36"/>
  <c r="S23" i="36"/>
  <c r="M58" i="36"/>
  <c r="S58" i="36" s="1"/>
  <c r="V58" i="36" s="1"/>
  <c r="B15" i="14"/>
  <c r="B20" i="14"/>
  <c r="B12" i="14"/>
  <c r="B11" i="14"/>
  <c r="B10" i="14"/>
  <c r="B5" i="14"/>
  <c r="B13" i="14"/>
  <c r="I28" i="15"/>
  <c r="M21" i="36" s="1"/>
  <c r="I8" i="23"/>
  <c r="I10" i="23" s="1"/>
  <c r="G9" i="23"/>
  <c r="M36" i="36"/>
  <c r="S36" i="36" s="1"/>
  <c r="V36" i="36" s="1"/>
  <c r="M49" i="36"/>
  <c r="I57" i="15"/>
  <c r="M48" i="36" s="1"/>
  <c r="M51" i="36"/>
  <c r="S51" i="36" s="1"/>
  <c r="V51" i="36" s="1"/>
  <c r="M92" i="36"/>
  <c r="M65" i="36"/>
  <c r="M76" i="36"/>
  <c r="S76" i="36" s="1"/>
  <c r="V76" i="36" s="1"/>
  <c r="M87" i="36"/>
  <c r="S87" i="36" s="1"/>
  <c r="V87" i="36" s="1"/>
  <c r="M30" i="36"/>
  <c r="M28" i="36"/>
  <c r="S28" i="36" s="1"/>
  <c r="V28" i="36" s="1"/>
  <c r="M85" i="36"/>
  <c r="M56" i="36"/>
  <c r="M81" i="36"/>
  <c r="S81" i="36" s="1"/>
  <c r="V81" i="36" s="1"/>
  <c r="M91" i="36"/>
  <c r="AP63" i="36"/>
  <c r="AQ63" i="36" s="1"/>
  <c r="AR63" i="36" s="1"/>
  <c r="M37" i="36"/>
  <c r="M47" i="36"/>
  <c r="M72" i="36"/>
  <c r="S72" i="36" s="1"/>
  <c r="V72" i="36" s="1"/>
  <c r="M97" i="36"/>
  <c r="M50" i="36"/>
  <c r="M46" i="36"/>
  <c r="S46" i="36" s="1"/>
  <c r="V46" i="36" s="1"/>
  <c r="M60" i="36"/>
  <c r="M84" i="36"/>
  <c r="M43" i="36"/>
  <c r="S43" i="36" s="1"/>
  <c r="V43" i="36" s="1"/>
  <c r="I40" i="15"/>
  <c r="M73" i="36"/>
  <c r="S18" i="36"/>
  <c r="V18" i="36" s="1"/>
  <c r="M45" i="36"/>
  <c r="S45" i="36" s="1"/>
  <c r="V45" i="36" s="1"/>
  <c r="M78" i="36"/>
  <c r="M66" i="36"/>
  <c r="S22" i="36"/>
  <c r="V22" i="36" s="1"/>
  <c r="M41" i="36"/>
  <c r="M42" i="36"/>
  <c r="S42" i="36" s="1"/>
  <c r="V42" i="36" s="1"/>
  <c r="M33" i="36"/>
  <c r="M40" i="36"/>
  <c r="M34" i="36"/>
  <c r="M44" i="36"/>
  <c r="S44" i="36" s="1"/>
  <c r="V44" i="36" s="1"/>
  <c r="M90" i="36"/>
  <c r="S90" i="36" s="1"/>
  <c r="V90" i="36" s="1"/>
  <c r="M57" i="36"/>
  <c r="S57" i="36" s="1"/>
  <c r="V57" i="36" s="1"/>
  <c r="M35" i="36"/>
  <c r="M68" i="36"/>
  <c r="O12" i="16"/>
  <c r="E18" i="16"/>
  <c r="O19" i="16"/>
  <c r="E13" i="16"/>
  <c r="E57" i="16"/>
  <c r="O30" i="16"/>
  <c r="E60" i="16"/>
  <c r="O64" i="16"/>
  <c r="O24" i="16"/>
  <c r="E25" i="16"/>
  <c r="E53" i="16"/>
  <c r="O16" i="16"/>
  <c r="O39" i="16"/>
  <c r="E54" i="16"/>
  <c r="O10" i="16"/>
  <c r="E43" i="16"/>
  <c r="E52" i="16"/>
  <c r="E20" i="16"/>
  <c r="E31" i="16"/>
  <c r="I79" i="16"/>
  <c r="M89" i="36"/>
  <c r="M80" i="36"/>
  <c r="M53" i="36"/>
  <c r="M79" i="36"/>
  <c r="M88" i="36"/>
  <c r="M67" i="36"/>
  <c r="G16" i="22"/>
  <c r="E9" i="16"/>
  <c r="E36" i="16"/>
  <c r="E17" i="16"/>
  <c r="E23" i="16"/>
  <c r="E46" i="16"/>
  <c r="E11" i="16"/>
  <c r="O26" i="16"/>
  <c r="O34" i="16"/>
  <c r="O47" i="16"/>
  <c r="O72" i="16"/>
  <c r="O42" i="16"/>
  <c r="O44" i="16"/>
  <c r="E35" i="16"/>
  <c r="E67" i="16"/>
  <c r="E71" i="16"/>
  <c r="O27" i="16"/>
  <c r="O37" i="16"/>
  <c r="Z38" i="36"/>
  <c r="H98" i="36"/>
  <c r="Z71" i="36"/>
  <c r="Z94" i="36"/>
  <c r="AA94" i="36" s="1"/>
  <c r="Z77" i="36"/>
  <c r="AA77" i="36" s="1"/>
  <c r="Z83" i="36"/>
  <c r="AA83" i="36" s="1"/>
  <c r="W98" i="36"/>
  <c r="X98" i="36"/>
  <c r="N13" i="36"/>
  <c r="E40" i="16"/>
  <c r="E45" i="16"/>
  <c r="E48" i="16"/>
  <c r="O49" i="16"/>
  <c r="O68" i="16"/>
  <c r="O73" i="16"/>
  <c r="O15" i="16"/>
  <c r="O22" i="16"/>
  <c r="E29" i="16"/>
  <c r="E32" i="16"/>
  <c r="O33" i="16"/>
  <c r="E61" i="16"/>
  <c r="O62" i="16"/>
  <c r="E69" i="16"/>
  <c r="E74" i="16"/>
  <c r="E14" i="16"/>
  <c r="E21" i="16"/>
  <c r="O38" i="16"/>
  <c r="E50" i="16"/>
  <c r="E55" i="16"/>
  <c r="O56" i="16"/>
  <c r="E58" i="16"/>
  <c r="O59" i="16"/>
  <c r="O51" i="16"/>
  <c r="E63" i="16"/>
  <c r="E28" i="16"/>
  <c r="E41" i="16"/>
  <c r="E70" i="16"/>
  <c r="E76" i="16"/>
  <c r="Y13" i="36"/>
  <c r="I13" i="36"/>
  <c r="Y69" i="36"/>
  <c r="O98" i="36"/>
  <c r="D18" i="22"/>
  <c r="D12" i="23"/>
  <c r="V64" i="36" l="1"/>
  <c r="Z64" i="36" s="1"/>
  <c r="AA64" i="36" s="1"/>
  <c r="AB64" i="36" s="1"/>
  <c r="AC64" i="36" s="1"/>
  <c r="V23" i="36"/>
  <c r="Z23" i="36" s="1"/>
  <c r="AA23" i="36" s="1"/>
  <c r="AB23" i="36" s="1"/>
  <c r="V61" i="36"/>
  <c r="Z61" i="36" s="1"/>
  <c r="AB61" i="36" s="1"/>
  <c r="V20" i="36"/>
  <c r="Z20" i="36" s="1"/>
  <c r="AP26" i="36"/>
  <c r="AQ26" i="36" s="1"/>
  <c r="AR26" i="36" s="1"/>
  <c r="AS26" i="36" s="1"/>
  <c r="V26" i="36"/>
  <c r="AB15" i="36"/>
  <c r="AC15" i="36" s="1"/>
  <c r="AA15" i="36"/>
  <c r="I98" i="36"/>
  <c r="Q98" i="36"/>
  <c r="N98" i="36"/>
  <c r="AO14" i="36"/>
  <c r="S53" i="36"/>
  <c r="S17" i="36"/>
  <c r="S50" i="36"/>
  <c r="S30" i="36"/>
  <c r="S78" i="36"/>
  <c r="V78" i="36" s="1"/>
  <c r="S24" i="36"/>
  <c r="S91" i="36"/>
  <c r="V91" i="36" s="1"/>
  <c r="S92" i="36"/>
  <c r="V92" i="36" s="1"/>
  <c r="S80" i="36"/>
  <c r="V80" i="36" s="1"/>
  <c r="S68" i="36"/>
  <c r="S41" i="36"/>
  <c r="S73" i="36"/>
  <c r="V73" i="36" s="1"/>
  <c r="S49" i="36"/>
  <c r="S67" i="36"/>
  <c r="S35" i="36"/>
  <c r="S34" i="36"/>
  <c r="S56" i="36"/>
  <c r="S33" i="36"/>
  <c r="S37" i="36"/>
  <c r="S88" i="36"/>
  <c r="V88" i="36" s="1"/>
  <c r="S97" i="36"/>
  <c r="V97" i="36" s="1"/>
  <c r="S89" i="36"/>
  <c r="V89" i="36" s="1"/>
  <c r="S66" i="36"/>
  <c r="S84" i="36"/>
  <c r="V84" i="36" s="1"/>
  <c r="S85" i="36"/>
  <c r="V85" i="36" s="1"/>
  <c r="S79" i="36"/>
  <c r="V79" i="36" s="1"/>
  <c r="S48" i="36"/>
  <c r="S40" i="36"/>
  <c r="S19" i="36"/>
  <c r="S47" i="36"/>
  <c r="S65" i="36"/>
  <c r="S21" i="36"/>
  <c r="S60" i="36"/>
  <c r="P98" i="36"/>
  <c r="B14" i="14"/>
  <c r="B9" i="14"/>
  <c r="T98" i="36"/>
  <c r="U98" i="36"/>
  <c r="AP16" i="36"/>
  <c r="AQ16" i="36" s="1"/>
  <c r="AR16" i="36" s="1"/>
  <c r="AS16" i="36" s="1"/>
  <c r="M32" i="36"/>
  <c r="M69" i="36"/>
  <c r="J98" i="36"/>
  <c r="AB77" i="36"/>
  <c r="AC77" i="36" s="1"/>
  <c r="AP61" i="36"/>
  <c r="AQ61" i="36" s="1"/>
  <c r="AR61" i="36" s="1"/>
  <c r="AS61" i="36" s="1"/>
  <c r="AB83" i="36"/>
  <c r="AC83" i="36" s="1"/>
  <c r="AP64" i="36"/>
  <c r="AQ64" i="36" s="1"/>
  <c r="AR64" i="36" s="1"/>
  <c r="AS64" i="36" s="1"/>
  <c r="AP38" i="36"/>
  <c r="AQ38" i="36" s="1"/>
  <c r="AR38" i="36" s="1"/>
  <c r="AS38" i="36" s="1"/>
  <c r="AB94" i="36"/>
  <c r="AC94" i="36" s="1"/>
  <c r="AP20" i="36"/>
  <c r="AQ20" i="36" s="1"/>
  <c r="AR20" i="36" s="1"/>
  <c r="AS20" i="36" s="1"/>
  <c r="Z16" i="36"/>
  <c r="AP23" i="36"/>
  <c r="AQ23" i="36" s="1"/>
  <c r="AR23" i="36" s="1"/>
  <c r="AS23" i="36" s="1"/>
  <c r="Z26" i="36"/>
  <c r="AA26" i="36" s="1"/>
  <c r="AB71" i="36"/>
  <c r="AC71" i="36" s="1"/>
  <c r="Z63" i="36"/>
  <c r="AA63" i="36" s="1"/>
  <c r="AS63" i="36"/>
  <c r="Z46" i="36"/>
  <c r="AP46" i="36"/>
  <c r="AQ46" i="36" s="1"/>
  <c r="AR46" i="36" s="1"/>
  <c r="AS46" i="36" s="1"/>
  <c r="AP44" i="36"/>
  <c r="AQ44" i="36" s="1"/>
  <c r="AR44" i="36" s="1"/>
  <c r="AS44" i="36" s="1"/>
  <c r="Z44" i="36"/>
  <c r="Z18" i="36"/>
  <c r="AP18" i="36"/>
  <c r="AQ18" i="36" s="1"/>
  <c r="AR18" i="36" s="1"/>
  <c r="AS18" i="36" s="1"/>
  <c r="AA71" i="36"/>
  <c r="AB74" i="36"/>
  <c r="AC74" i="36" s="1"/>
  <c r="Z74" i="36"/>
  <c r="AA74" i="36" s="1"/>
  <c r="AB96" i="36"/>
  <c r="AC96" i="36" s="1"/>
  <c r="Z96" i="36"/>
  <c r="AA96" i="36" s="1"/>
  <c r="Y98" i="36"/>
  <c r="AP28" i="36"/>
  <c r="AQ28" i="36" s="1"/>
  <c r="AR28" i="36" s="1"/>
  <c r="AS28" i="36" s="1"/>
  <c r="Z28" i="36"/>
  <c r="AB93" i="36"/>
  <c r="AC93" i="36" s="1"/>
  <c r="Z93" i="36"/>
  <c r="AA93" i="36" s="1"/>
  <c r="Z58" i="36"/>
  <c r="AP58" i="36"/>
  <c r="AQ58" i="36" s="1"/>
  <c r="AR58" i="36" s="1"/>
  <c r="AS58" i="36" s="1"/>
  <c r="Z55" i="36"/>
  <c r="AP55" i="36"/>
  <c r="AQ55" i="36" s="1"/>
  <c r="AR55" i="36" s="1"/>
  <c r="AS55" i="36" s="1"/>
  <c r="AP54" i="36"/>
  <c r="AQ54" i="36" s="1"/>
  <c r="AR54" i="36" s="1"/>
  <c r="AS54" i="36" s="1"/>
  <c r="Z54" i="36"/>
  <c r="AP42" i="36"/>
  <c r="AQ42" i="36" s="1"/>
  <c r="AR42" i="36" s="1"/>
  <c r="AS42" i="36" s="1"/>
  <c r="Z42" i="36"/>
  <c r="Z62" i="36"/>
  <c r="AP62" i="36"/>
  <c r="AQ62" i="36" s="1"/>
  <c r="AR62" i="36" s="1"/>
  <c r="AS62" i="36" s="1"/>
  <c r="AA38" i="36"/>
  <c r="AB38" i="36"/>
  <c r="AB75" i="36"/>
  <c r="AC75" i="36" s="1"/>
  <c r="Z75" i="36"/>
  <c r="AA75" i="36" s="1"/>
  <c r="Z39" i="36"/>
  <c r="AP39" i="36"/>
  <c r="AQ39" i="36" s="1"/>
  <c r="AR39" i="36" s="1"/>
  <c r="AS39" i="36" s="1"/>
  <c r="Z22" i="36"/>
  <c r="AP22" i="36"/>
  <c r="AQ22" i="36" s="1"/>
  <c r="AR22" i="36" s="1"/>
  <c r="AS22" i="36" s="1"/>
  <c r="AP43" i="36"/>
  <c r="AQ43" i="36" s="1"/>
  <c r="AR43" i="36" s="1"/>
  <c r="AS43" i="36" s="1"/>
  <c r="Z43" i="36"/>
  <c r="Z82" i="36"/>
  <c r="AA82" i="36" s="1"/>
  <c r="AB82" i="36"/>
  <c r="AC82" i="36" s="1"/>
  <c r="AP29" i="36"/>
  <c r="AQ29" i="36" s="1"/>
  <c r="AR29" i="36" s="1"/>
  <c r="AS29" i="36" s="1"/>
  <c r="Z29" i="36"/>
  <c r="AP36" i="36"/>
  <c r="AQ36" i="36" s="1"/>
  <c r="AR36" i="36" s="1"/>
  <c r="AS36" i="36" s="1"/>
  <c r="Z36" i="36"/>
  <c r="AP25" i="36"/>
  <c r="AQ25" i="36" s="1"/>
  <c r="AR25" i="36" s="1"/>
  <c r="AS25" i="36" s="1"/>
  <c r="Z25" i="36"/>
  <c r="AP51" i="36"/>
  <c r="AQ51" i="36" s="1"/>
  <c r="AR51" i="36" s="1"/>
  <c r="AS51" i="36" s="1"/>
  <c r="Z51" i="36"/>
  <c r="AB86" i="36"/>
  <c r="AC86" i="36" s="1"/>
  <c r="Z86" i="36"/>
  <c r="AA86" i="36" s="1"/>
  <c r="Z52" i="36"/>
  <c r="AP52" i="36"/>
  <c r="AQ52" i="36" s="1"/>
  <c r="AR52" i="36" s="1"/>
  <c r="AS52" i="36" s="1"/>
  <c r="AP57" i="36"/>
  <c r="AQ57" i="36" s="1"/>
  <c r="AR57" i="36" s="1"/>
  <c r="AS57" i="36" s="1"/>
  <c r="Z57" i="36"/>
  <c r="Z14" i="36"/>
  <c r="AP14" i="36"/>
  <c r="AQ14" i="36" s="1"/>
  <c r="AR14" i="36" s="1"/>
  <c r="AS14" i="36" s="1"/>
  <c r="AP31" i="36"/>
  <c r="AQ31" i="36" s="1"/>
  <c r="AR31" i="36" s="1"/>
  <c r="AS31" i="36" s="1"/>
  <c r="Z31" i="36"/>
  <c r="AP45" i="36"/>
  <c r="AQ45" i="36" s="1"/>
  <c r="AR45" i="36" s="1"/>
  <c r="AS45" i="36" s="1"/>
  <c r="Z45" i="36"/>
  <c r="AP27" i="36"/>
  <c r="AQ27" i="36" s="1"/>
  <c r="AR27" i="36" s="1"/>
  <c r="AS27" i="36" s="1"/>
  <c r="Z27" i="36"/>
  <c r="AB95" i="36"/>
  <c r="AC95" i="36" s="1"/>
  <c r="Z95" i="36"/>
  <c r="AA95" i="36" s="1"/>
  <c r="AB20" i="36" l="1"/>
  <c r="AC20" i="36" s="1"/>
  <c r="AA20" i="36"/>
  <c r="AP60" i="36"/>
  <c r="AQ60" i="36" s="1"/>
  <c r="AR60" i="36" s="1"/>
  <c r="AS60" i="36" s="1"/>
  <c r="V60" i="36"/>
  <c r="Z60" i="36" s="1"/>
  <c r="AA60" i="36" s="1"/>
  <c r="AB60" i="36" s="1"/>
  <c r="AC60" i="36" s="1"/>
  <c r="V21" i="36"/>
  <c r="Z21" i="36" s="1"/>
  <c r="V65" i="36"/>
  <c r="Z65" i="36" s="1"/>
  <c r="AA65" i="36" s="1"/>
  <c r="AB65" i="36" s="1"/>
  <c r="AC65" i="36" s="1"/>
  <c r="AP37" i="36"/>
  <c r="AQ37" i="36" s="1"/>
  <c r="AR37" i="36" s="1"/>
  <c r="AS37" i="36" s="1"/>
  <c r="V37" i="36"/>
  <c r="Z37" i="36" s="1"/>
  <c r="AA37" i="36" s="1"/>
  <c r="AB37" i="36" s="1"/>
  <c r="AC37" i="36" s="1"/>
  <c r="AP47" i="36"/>
  <c r="AQ47" i="36" s="1"/>
  <c r="AR47" i="36" s="1"/>
  <c r="AS47" i="36" s="1"/>
  <c r="V47" i="36"/>
  <c r="Z47" i="36" s="1"/>
  <c r="AA47" i="36" s="1"/>
  <c r="AB47" i="36" s="1"/>
  <c r="V33" i="36"/>
  <c r="Z33" i="36" s="1"/>
  <c r="V24" i="36"/>
  <c r="Z24" i="36" s="1"/>
  <c r="AP19" i="36"/>
  <c r="AQ19" i="36" s="1"/>
  <c r="AR19" i="36" s="1"/>
  <c r="AS19" i="36" s="1"/>
  <c r="V19" i="36"/>
  <c r="Z19" i="36" s="1"/>
  <c r="AB19" i="36" s="1"/>
  <c r="AC19" i="36" s="1"/>
  <c r="V56" i="36"/>
  <c r="Z56" i="36" s="1"/>
  <c r="AA56" i="36" s="1"/>
  <c r="AB56" i="36" s="1"/>
  <c r="AC56" i="36" s="1"/>
  <c r="AP40" i="36"/>
  <c r="AQ40" i="36" s="1"/>
  <c r="AR40" i="36" s="1"/>
  <c r="AS40" i="36" s="1"/>
  <c r="V40" i="36"/>
  <c r="Z40" i="36" s="1"/>
  <c r="V34" i="36"/>
  <c r="Z34" i="36" s="1"/>
  <c r="AA34" i="36" s="1"/>
  <c r="AB34" i="36" s="1"/>
  <c r="AC34" i="36" s="1"/>
  <c r="V30" i="36"/>
  <c r="Z30" i="36" s="1"/>
  <c r="V48" i="36"/>
  <c r="Z48" i="36" s="1"/>
  <c r="AP35" i="36"/>
  <c r="AQ35" i="36" s="1"/>
  <c r="AR35" i="36" s="1"/>
  <c r="AS35" i="36" s="1"/>
  <c r="V35" i="36"/>
  <c r="Z35" i="36" s="1"/>
  <c r="AA35" i="36" s="1"/>
  <c r="AP50" i="36"/>
  <c r="AQ50" i="36" s="1"/>
  <c r="AR50" i="36" s="1"/>
  <c r="AS50" i="36" s="1"/>
  <c r="V50" i="36"/>
  <c r="Z50" i="36" s="1"/>
  <c r="AA50" i="36" s="1"/>
  <c r="AP49" i="36"/>
  <c r="AQ49" i="36" s="1"/>
  <c r="AR49" i="36" s="1"/>
  <c r="AS49" i="36" s="1"/>
  <c r="V49" i="36"/>
  <c r="Z49" i="36" s="1"/>
  <c r="AA49" i="36" s="1"/>
  <c r="V53" i="36"/>
  <c r="Z53" i="36" s="1"/>
  <c r="AA53" i="36" s="1"/>
  <c r="AB53" i="36" s="1"/>
  <c r="AC53" i="36" s="1"/>
  <c r="AP17" i="36"/>
  <c r="AQ17" i="36" s="1"/>
  <c r="AR17" i="36" s="1"/>
  <c r="AS17" i="36" s="1"/>
  <c r="V17" i="36"/>
  <c r="Z17" i="36" s="1"/>
  <c r="AB17" i="36" s="1"/>
  <c r="AC17" i="36" s="1"/>
  <c r="AP66" i="36"/>
  <c r="AQ66" i="36" s="1"/>
  <c r="AR66" i="36" s="1"/>
  <c r="AS66" i="36" s="1"/>
  <c r="V66" i="36"/>
  <c r="Z66" i="36" s="1"/>
  <c r="V41" i="36"/>
  <c r="Z41" i="36" s="1"/>
  <c r="AP67" i="36"/>
  <c r="AQ67" i="36" s="1"/>
  <c r="AR67" i="36" s="1"/>
  <c r="AS67" i="36" s="1"/>
  <c r="V67" i="36"/>
  <c r="Z67" i="36" s="1"/>
  <c r="AA67" i="36" s="1"/>
  <c r="AB67" i="36" s="1"/>
  <c r="V68" i="36"/>
  <c r="Z68" i="36" s="1"/>
  <c r="AA68" i="36" s="1"/>
  <c r="AB68" i="36" s="1"/>
  <c r="AC68" i="36" s="1"/>
  <c r="AP53" i="36"/>
  <c r="AQ53" i="36" s="1"/>
  <c r="AR53" i="36" s="1"/>
  <c r="AS53" i="36" s="1"/>
  <c r="K98" i="36"/>
  <c r="S69" i="36"/>
  <c r="AP33" i="36"/>
  <c r="AQ33" i="36" s="1"/>
  <c r="AR33" i="36" s="1"/>
  <c r="AS33" i="36" s="1"/>
  <c r="AP56" i="36"/>
  <c r="AQ56" i="36" s="1"/>
  <c r="AR56" i="36" s="1"/>
  <c r="AS56" i="36" s="1"/>
  <c r="AP24" i="36"/>
  <c r="AQ24" i="36" s="1"/>
  <c r="AR24" i="36" s="1"/>
  <c r="AS24" i="36" s="1"/>
  <c r="Z91" i="36"/>
  <c r="AA91" i="36" s="1"/>
  <c r="AB91" i="36"/>
  <c r="AC91" i="36" s="1"/>
  <c r="AB89" i="36"/>
  <c r="AC89" i="36" s="1"/>
  <c r="Z89" i="36"/>
  <c r="AA89" i="36" s="1"/>
  <c r="Z97" i="36"/>
  <c r="AA97" i="36" s="1"/>
  <c r="AB97" i="36"/>
  <c r="AC97" i="36" s="1"/>
  <c r="AB78" i="36"/>
  <c r="AC78" i="36" s="1"/>
  <c r="Z78" i="36"/>
  <c r="AA78" i="36" s="1"/>
  <c r="Z88" i="36"/>
  <c r="AA88" i="36" s="1"/>
  <c r="AB88" i="36"/>
  <c r="AC88" i="36" s="1"/>
  <c r="Z73" i="36"/>
  <c r="AA73" i="36" s="1"/>
  <c r="AB73" i="36"/>
  <c r="AC73" i="36" s="1"/>
  <c r="Z92" i="36"/>
  <c r="AA92" i="36" s="1"/>
  <c r="AB92" i="36"/>
  <c r="AC92" i="36" s="1"/>
  <c r="Z79" i="36"/>
  <c r="AA79" i="36" s="1"/>
  <c r="AB79" i="36"/>
  <c r="AC79" i="36" s="1"/>
  <c r="AB84" i="36"/>
  <c r="AC84" i="36" s="1"/>
  <c r="Z84" i="36"/>
  <c r="AA84" i="36" s="1"/>
  <c r="Z85" i="36"/>
  <c r="AA85" i="36" s="1"/>
  <c r="AB85" i="36"/>
  <c r="AC85" i="36" s="1"/>
  <c r="AB80" i="36"/>
  <c r="AC80" i="36" s="1"/>
  <c r="Z80" i="36"/>
  <c r="AA80" i="36" s="1"/>
  <c r="AP65" i="36"/>
  <c r="AQ65" i="36" s="1"/>
  <c r="AR65" i="36" s="1"/>
  <c r="AS65" i="36" s="1"/>
  <c r="AP21" i="36"/>
  <c r="AQ21" i="36" s="1"/>
  <c r="AR21" i="36" s="1"/>
  <c r="AS21" i="36" s="1"/>
  <c r="AP34" i="36"/>
  <c r="AQ34" i="36" s="1"/>
  <c r="AR34" i="36" s="1"/>
  <c r="AS34" i="36" s="1"/>
  <c r="AP30" i="36"/>
  <c r="AQ30" i="36" s="1"/>
  <c r="AR30" i="36" s="1"/>
  <c r="AS30" i="36" s="1"/>
  <c r="AP48" i="36"/>
  <c r="AQ48" i="36" s="1"/>
  <c r="AR48" i="36" s="1"/>
  <c r="AS48" i="36" s="1"/>
  <c r="AP41" i="36"/>
  <c r="AQ41" i="36" s="1"/>
  <c r="AR41" i="36" s="1"/>
  <c r="AS41" i="36" s="1"/>
  <c r="S32" i="36"/>
  <c r="AC23" i="36"/>
  <c r="AB16" i="36"/>
  <c r="AC16" i="36" s="1"/>
  <c r="AA16" i="36"/>
  <c r="M13" i="36"/>
  <c r="M98" i="36" s="1"/>
  <c r="AA14" i="36"/>
  <c r="AB14" i="36" s="1"/>
  <c r="AB63" i="36"/>
  <c r="AB26" i="36"/>
  <c r="AC26" i="36" s="1"/>
  <c r="AA46" i="36"/>
  <c r="AB46" i="36"/>
  <c r="AC61" i="36"/>
  <c r="AB36" i="36"/>
  <c r="AA36" i="36"/>
  <c r="AA29" i="36"/>
  <c r="AB29" i="36"/>
  <c r="AA44" i="36"/>
  <c r="AB44" i="36" s="1"/>
  <c r="AA27" i="36"/>
  <c r="AB27" i="36"/>
  <c r="AB22" i="36"/>
  <c r="AA22" i="36"/>
  <c r="AA52" i="36"/>
  <c r="AB52" i="36" s="1"/>
  <c r="AA42" i="36"/>
  <c r="AB42" i="36" s="1"/>
  <c r="AA39" i="36"/>
  <c r="AB39" i="36" s="1"/>
  <c r="AB87" i="36"/>
  <c r="AC87" i="36" s="1"/>
  <c r="Z87" i="36"/>
  <c r="AA87" i="36" s="1"/>
  <c r="AA55" i="36"/>
  <c r="AB55" i="36"/>
  <c r="AA45" i="36"/>
  <c r="AB45" i="36"/>
  <c r="AA58" i="36"/>
  <c r="AB58" i="36" s="1"/>
  <c r="AA62" i="36"/>
  <c r="AB62" i="36" s="1"/>
  <c r="AA51" i="36"/>
  <c r="AB51" i="36" s="1"/>
  <c r="AB81" i="36"/>
  <c r="AC81" i="36" s="1"/>
  <c r="Z81" i="36"/>
  <c r="AA81" i="36" s="1"/>
  <c r="Z76" i="36"/>
  <c r="AA76" i="36" s="1"/>
  <c r="AB76" i="36"/>
  <c r="AC76" i="36" s="1"/>
  <c r="AA25" i="36"/>
  <c r="AB25" i="36" s="1"/>
  <c r="AA43" i="36"/>
  <c r="AB43" i="36" s="1"/>
  <c r="AB54" i="36"/>
  <c r="AC54" i="36" s="1"/>
  <c r="AA18" i="36"/>
  <c r="AB18" i="36" s="1"/>
  <c r="AA31" i="36"/>
  <c r="AB31" i="36" s="1"/>
  <c r="B17" i="14" s="1"/>
  <c r="B18" i="14" s="1"/>
  <c r="AB57" i="36"/>
  <c r="AA57" i="36"/>
  <c r="AB72" i="36"/>
  <c r="Z72" i="36"/>
  <c r="V69" i="36"/>
  <c r="AB90" i="36"/>
  <c r="AC90" i="36" s="1"/>
  <c r="Z90" i="36"/>
  <c r="AA90" i="36" s="1"/>
  <c r="AC38" i="36"/>
  <c r="AB28" i="36"/>
  <c r="AA28" i="36"/>
  <c r="AC14" i="36" l="1"/>
  <c r="AA41" i="36"/>
  <c r="AB41" i="36"/>
  <c r="AC41" i="36" s="1"/>
  <c r="AB30" i="36"/>
  <c r="AC30" i="36" s="1"/>
  <c r="AA30" i="36"/>
  <c r="AA21" i="36"/>
  <c r="AB21" i="36"/>
  <c r="AC21" i="36" s="1"/>
  <c r="AB33" i="36"/>
  <c r="AC33" i="36" s="1"/>
  <c r="AA33" i="36"/>
  <c r="AA48" i="36"/>
  <c r="AB48" i="36"/>
  <c r="AC48" i="36" s="1"/>
  <c r="AB24" i="36"/>
  <c r="AC24" i="36" s="1"/>
  <c r="AA24" i="36"/>
  <c r="S13" i="36"/>
  <c r="S98" i="36" s="1"/>
  <c r="V32" i="36"/>
  <c r="Z32" i="36" s="1"/>
  <c r="AA32" i="36" s="1"/>
  <c r="AB49" i="36"/>
  <c r="AB50" i="36"/>
  <c r="AC50" i="36" s="1"/>
  <c r="AB35" i="36"/>
  <c r="AC35" i="36" s="1"/>
  <c r="AA19" i="36"/>
  <c r="AP32" i="36"/>
  <c r="AQ32" i="36" s="1"/>
  <c r="AR32" i="36" s="1"/>
  <c r="AS32" i="36" s="1"/>
  <c r="AB40" i="36"/>
  <c r="AC40" i="36" s="1"/>
  <c r="AA40" i="36"/>
  <c r="AA66" i="36"/>
  <c r="AB66" i="36"/>
  <c r="AC66" i="36" s="1"/>
  <c r="AC47" i="36"/>
  <c r="AC67" i="36"/>
  <c r="AC49" i="36"/>
  <c r="AC63" i="36"/>
  <c r="AC46" i="36"/>
  <c r="AC31" i="36"/>
  <c r="B4" i="14" s="1"/>
  <c r="B6" i="14" s="1"/>
  <c r="AC29" i="36"/>
  <c r="AC39" i="36"/>
  <c r="AC58" i="36"/>
  <c r="AC55" i="36"/>
  <c r="AC22" i="36"/>
  <c r="AC36" i="36"/>
  <c r="AA72" i="36"/>
  <c r="AA69" i="36" s="1"/>
  <c r="Z69" i="36"/>
  <c r="AC18" i="36"/>
  <c r="AC27" i="36"/>
  <c r="AC42" i="36"/>
  <c r="AC44" i="36"/>
  <c r="AB69" i="36"/>
  <c r="AC72" i="36"/>
  <c r="AC51" i="36"/>
  <c r="AC45" i="36"/>
  <c r="AC57" i="36"/>
  <c r="AC25" i="36"/>
  <c r="AC62" i="36"/>
  <c r="AC43" i="36"/>
  <c r="AC28" i="36"/>
  <c r="AC52" i="36"/>
  <c r="Z13" i="36" l="1"/>
  <c r="V13" i="36"/>
  <c r="V98" i="36" s="1"/>
  <c r="AA13" i="36"/>
  <c r="AB32" i="36"/>
  <c r="AC32" i="36" s="1"/>
  <c r="AG13" i="36"/>
  <c r="AC69" i="36"/>
  <c r="AG98" i="36" l="1"/>
  <c r="Z98" i="36"/>
  <c r="AA98" i="36"/>
  <c r="AD13" i="36"/>
  <c r="AD98" i="36" s="1"/>
  <c r="AC13" i="36"/>
  <c r="AB13" i="36"/>
  <c r="AG103" i="36"/>
  <c r="AB98" i="36" l="1"/>
  <c r="AC98" i="3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C53" authorId="0" shapeId="0" xr:uid="{00000000-0006-0000-0100-000001000000}">
      <text>
        <r>
          <rPr>
            <b/>
            <sz val="9"/>
            <rFont val="Tahoma"/>
            <family val="2"/>
          </rPr>
          <t>admin:</t>
        </r>
        <r>
          <rPr>
            <sz val="9"/>
            <rFont val="Tahoma"/>
            <family val="2"/>
          </rPr>
          <t xml:space="preserve">
Chuyển khoản xong
- GV có trách nhiệm mang tiền tới trung tâm.
- GV ko tới trung tâm -&gt; GV nhờ người thân ck cho Trần Huyền -&gt; tk Trung tâm ck lại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PCPV</author>
  </authors>
  <commentList>
    <comment ref="E7" authorId="0" shapeId="0" xr:uid="{00000000-0006-0000-1800-000001000000}">
      <text>
        <r>
          <rPr>
            <b/>
            <sz val="9"/>
            <rFont val="Segoe UI"/>
            <family val="2"/>
          </rPr>
          <t>Lương chính+Lương DT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PCPV</author>
  </authors>
  <commentList>
    <comment ref="E7" authorId="0" shapeId="0" xr:uid="{00000000-0006-0000-1900-000001000000}">
      <text>
        <r>
          <rPr>
            <b/>
            <sz val="9"/>
            <rFont val="Segoe UI"/>
            <family val="2"/>
          </rPr>
          <t>Lương chính+Lương DT</t>
        </r>
      </text>
    </comment>
  </commentList>
</comments>
</file>

<file path=xl/sharedStrings.xml><?xml version="1.0" encoding="utf-8"?>
<sst xmlns="http://schemas.openxmlformats.org/spreadsheetml/2006/main" count="1892" uniqueCount="890">
  <si>
    <t>CTCP ĐẦU TƯ TRÂM ANH GROUP</t>
  </si>
  <si>
    <t>TRUNG TÂM GDNN BÁCH VIỆT</t>
  </si>
  <si>
    <r>
      <rPr>
        <b/>
        <sz val="14"/>
        <color rgb="FFFF0000"/>
        <rFont val="Times New Roman"/>
        <family val="1"/>
      </rPr>
      <t xml:space="preserve">CHỐT NGÀY 30 HÀNG THÁNG - CK NGÀY 5 HÀNG THÁNG 
</t>
    </r>
    <r>
      <rPr>
        <b/>
        <sz val="14"/>
        <color rgb="FF00B0F0"/>
        <rFont val="Times New Roman"/>
        <family val="1"/>
      </rPr>
      <t>(THEO SỐ LƯỢNG HỌC VIÊN DANH SÁCH PHÂN XE THANH TOÁN)</t>
    </r>
  </si>
  <si>
    <t>NPT</t>
  </si>
  <si>
    <t>XD</t>
  </si>
  <si>
    <t>B,C1</t>
  </si>
  <si>
    <t>STT</t>
  </si>
  <si>
    <t>Họ và tên</t>
  </si>
  <si>
    <t>Chức vụ</t>
  </si>
  <si>
    <t xml:space="preserve">Số ngày 
làm việc </t>
  </si>
  <si>
    <t>Tổng thu nhập</t>
  </si>
  <si>
    <t>NLD Nộp BHXH 10.5%</t>
  </si>
  <si>
    <t>TT Nộp BHXH 
21.5%</t>
  </si>
  <si>
    <t>Giảm trừ gia cảnh</t>
  </si>
  <si>
    <t>Số NPT</t>
  </si>
  <si>
    <t>Người 
phụ thuộc</t>
  </si>
  <si>
    <t>Thu nhập chịu thuế</t>
  </si>
  <si>
    <t>Bậc</t>
  </si>
  <si>
    <t>Thuế 
TNCN</t>
  </si>
  <si>
    <t>Cộng</t>
  </si>
  <si>
    <t>Nhận</t>
  </si>
  <si>
    <t>Lương
 chính</t>
  </si>
  <si>
    <t>Khác
(DT - Khác)</t>
  </si>
  <si>
    <t>TĐ</t>
  </si>
  <si>
    <t>SS</t>
  </si>
  <si>
    <t>C1</t>
  </si>
  <si>
    <t xml:space="preserve">Nguyễn Quang Huy </t>
  </si>
  <si>
    <t>Phạm Viết Phú</t>
  </si>
  <si>
    <t>Trần Văn Thơ</t>
  </si>
  <si>
    <t>Bộ phận văn phòng</t>
  </si>
  <si>
    <t>Đỗ Hồng Nam</t>
  </si>
  <si>
    <t>Trần Thị Huyền</t>
  </si>
  <si>
    <t>Nguyễn Thị Thu Hà</t>
  </si>
  <si>
    <t xml:space="preserve">Nguyễn Việt Hùng
</t>
  </si>
  <si>
    <t xml:space="preserve">Nguyễn Ngọc Chính
</t>
  </si>
  <si>
    <t>Phan Thị Như Quỳnh</t>
  </si>
  <si>
    <t xml:space="preserve">Trần Thị Thanh Nhã </t>
  </si>
  <si>
    <t xml:space="preserve">Mai Thanh Lan   </t>
  </si>
  <si>
    <t>Vũ Mạnh Quyết</t>
  </si>
  <si>
    <t>Nguyễn Thành Tài</t>
  </si>
  <si>
    <t>Phạm Thị Kim Loan</t>
  </si>
  <si>
    <t>Vũ Giang Nam</t>
  </si>
  <si>
    <t>VU GIANG NAM</t>
  </si>
  <si>
    <t>CE</t>
  </si>
  <si>
    <t>Xăng dầu</t>
  </si>
  <si>
    <t>Dương Tuấn Anh</t>
  </si>
  <si>
    <t>DUONG TUAN ANH</t>
  </si>
  <si>
    <t>Phạm Vũ Đức Bảo</t>
  </si>
  <si>
    <t>PHAM VU DUC BAO</t>
  </si>
  <si>
    <t>Cao Đình Bắc</t>
  </si>
  <si>
    <t>CAO DINH BAC</t>
  </si>
  <si>
    <t>Lê Trung Cường</t>
  </si>
  <si>
    <t>Vũ Đức Diện</t>
  </si>
  <si>
    <t>Nguyễn Cao Dũng</t>
  </si>
  <si>
    <t>Nguyễn Hữu Dương</t>
  </si>
  <si>
    <t>Trần Trung Đạo</t>
  </si>
  <si>
    <t>TRAN TRUNG DAO</t>
  </si>
  <si>
    <t>Nguyễn Phương Đông</t>
  </si>
  <si>
    <t>Nguyễn Vĩnh Hạ</t>
  </si>
  <si>
    <t>NGUYEN VINH HA</t>
  </si>
  <si>
    <t>Tống Nam Hải</t>
  </si>
  <si>
    <t>Trần Đức Hải</t>
  </si>
  <si>
    <t>TRAN DUC HAI</t>
  </si>
  <si>
    <t>Lê Hữu Hạnh</t>
  </si>
  <si>
    <t>LE HUU HANH</t>
  </si>
  <si>
    <t>Nguyễn Vĩnh Hậu</t>
  </si>
  <si>
    <t>Đỗ Danh Hiển</t>
  </si>
  <si>
    <t>Nguyễn Vĩnh Hiệp</t>
  </si>
  <si>
    <t>Nguyễn Hoàng Hiếu</t>
  </si>
  <si>
    <t>NGUYEN HOANG HIEU</t>
  </si>
  <si>
    <t>Lưu Văn Huy</t>
  </si>
  <si>
    <t>LUU VAN HUY</t>
  </si>
  <si>
    <t>Đặng Quốc Khánh</t>
  </si>
  <si>
    <t>Phạm Đăng Khoa</t>
  </si>
  <si>
    <t>Nguyễn Tiến Khôi</t>
  </si>
  <si>
    <t>NGUYEN TIEN KHOI</t>
  </si>
  <si>
    <t>Lưu Phúc Kính</t>
  </si>
  <si>
    <t>LUU PHUC KINH</t>
  </si>
  <si>
    <t>Đặng Trường Kỳ</t>
  </si>
  <si>
    <t>DANG TRUONG KY</t>
  </si>
  <si>
    <t>Lê Văn Lộc</t>
  </si>
  <si>
    <t>Đặng Hoàng Minh</t>
  </si>
  <si>
    <t>Nguyễn Thanh Nam</t>
  </si>
  <si>
    <t>NGUYEN THANH NAM</t>
  </si>
  <si>
    <t>Nguyễn Văn Ngoan</t>
  </si>
  <si>
    <t>NGUYEN VAN NGOAN</t>
  </si>
  <si>
    <t>Huỳnh Văn Nguyên</t>
  </si>
  <si>
    <t>Lê Ngọc Nhân</t>
  </si>
  <si>
    <t>Nguyễn Hữu Phúc</t>
  </si>
  <si>
    <t>Nguyễn Ngũ Phúc</t>
  </si>
  <si>
    <t>Dương Quang Quyết</t>
  </si>
  <si>
    <t>DUONG QUANG QUYET</t>
  </si>
  <si>
    <t>Nguyễn Duy Sang</t>
  </si>
  <si>
    <t>Bùi Ngọc Sương</t>
  </si>
  <si>
    <t>Đỗ Trung Thành</t>
  </si>
  <si>
    <t>Nguyễn Công Thành</t>
  </si>
  <si>
    <t>Nguyễn Trung Thành</t>
  </si>
  <si>
    <t>Nguyễn Quốc Thạnh</t>
  </si>
  <si>
    <t>Vũ Văn Thạo</t>
  </si>
  <si>
    <t>Nguyễn Văn Thật</t>
  </si>
  <si>
    <t>NGUYEN VAN THAT</t>
  </si>
  <si>
    <t>Huỳnh Văn Thêu</t>
  </si>
  <si>
    <t>HUYNH VAN THEU</t>
  </si>
  <si>
    <t>Võ Duy Thiện</t>
  </si>
  <si>
    <t>Nguyễn Đình Trọng</t>
  </si>
  <si>
    <t>Ngô Quang Trơn</t>
  </si>
  <si>
    <t>NGO QUANG TRON</t>
  </si>
  <si>
    <t>Trương Chí Trung</t>
  </si>
  <si>
    <t>Lê Minh Tú</t>
  </si>
  <si>
    <t>Bùi Anh Tuấn</t>
  </si>
  <si>
    <t>Trần Nguyễn Xuân Vũ</t>
  </si>
  <si>
    <t>Nguyễn Thanh Bình</t>
  </si>
  <si>
    <t>Hoàng Danh Dũng</t>
  </si>
  <si>
    <t>HOANG DANH DUNG</t>
  </si>
  <si>
    <t>Đoàn Quang Đình</t>
  </si>
  <si>
    <t>Nguyễn Văn Huy</t>
  </si>
  <si>
    <t>Phạm Sỹ Nguyên</t>
  </si>
  <si>
    <t>Lê Văn Thành</t>
  </si>
  <si>
    <t>Vũ Văn Thành</t>
  </si>
  <si>
    <t>Vũ Văn Thỏa</t>
  </si>
  <si>
    <t>Nguyễn Ngọc Vọng</t>
  </si>
  <si>
    <t xml:space="preserve">Bộ phận giáo viên tổ 2  </t>
  </si>
  <si>
    <t>Dương Hoàng An</t>
  </si>
  <si>
    <t>Bùi Văn Bay</t>
  </si>
  <si>
    <t>Hoàng Quang Cường</t>
  </si>
  <si>
    <t>Vũ Văn Duân</t>
  </si>
  <si>
    <t>Bùi Minh Đức</t>
  </si>
  <si>
    <t>Nguyễn Đức Duy</t>
  </si>
  <si>
    <t>Nông Văn Đường</t>
  </si>
  <si>
    <t>Nguyễn Văn Hiếu</t>
  </si>
  <si>
    <t>Trần Minh Hiếu</t>
  </si>
  <si>
    <t>Nguyễn Đình Khẩn</t>
  </si>
  <si>
    <t>Nguyễn Đức Linh</t>
  </si>
  <si>
    <t>Lê Tất Mạnh</t>
  </si>
  <si>
    <t>Võ Duy Minh</t>
  </si>
  <si>
    <t>Lê Hoài Nam</t>
  </si>
  <si>
    <t>Đỗ Chí Nghĩa</t>
  </si>
  <si>
    <t>Nghiêm Hải Ngọc</t>
  </si>
  <si>
    <t>Đặng Đình Nhân</t>
  </si>
  <si>
    <t>Nguyễn Đông Nhựt</t>
  </si>
  <si>
    <t>Huỳnh Quốc Phong</t>
  </si>
  <si>
    <t>Trần Phạm Ân Phước</t>
  </si>
  <si>
    <t>Trần Ánh Sáng</t>
  </si>
  <si>
    <t>Nguyễn Trường Sơn</t>
  </si>
  <si>
    <t>Nguyễn Minh Tiến</t>
  </si>
  <si>
    <t>Hứa Nguyễn Quốc Thái</t>
  </si>
  <si>
    <t>Lê Trung Thành</t>
  </si>
  <si>
    <t>Lê Công Viên</t>
  </si>
  <si>
    <t>Ngày      tháng         năm 2026</t>
  </si>
  <si>
    <t>GIÁM ĐỐC</t>
  </si>
  <si>
    <t>KẾ TOÁN</t>
  </si>
  <si>
    <t>Người lập</t>
  </si>
  <si>
    <t>NGUYỄN QUANG HUY</t>
  </si>
  <si>
    <t>Trần Thị Thanh Nhã</t>
  </si>
  <si>
    <t>Quy trình nộp hồ sơ</t>
  </si>
  <si>
    <t>Lương khoán hv tự quản hạng B.01 :</t>
  </si>
  <si>
    <t>Lương khoán hv tự quản hạng B :</t>
  </si>
  <si>
    <t>Người lao động nộp 10.5% BHXH</t>
  </si>
  <si>
    <t>Lương khoán hv tự quản hạng C1 :</t>
  </si>
  <si>
    <r>
      <rPr>
        <sz val="12"/>
        <color theme="1"/>
        <rFont val="Times New Roman"/>
        <family val="1"/>
      </rPr>
      <t>1.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Times New Roman"/>
        <family val="1"/>
      </rPr>
      <t>Giáo viên nộp học phí tự quản lần 1 và trung tâm tạm ứng thanh toán theo bảng 1</t>
    </r>
  </si>
  <si>
    <t>Lương khoán hv hạng CE :</t>
  </si>
  <si>
    <r>
      <rPr>
        <sz val="12"/>
        <color theme="1"/>
        <rFont val="Times New Roman"/>
        <family val="1"/>
      </rPr>
      <t>2.</t>
    </r>
    <r>
      <rPr>
        <sz val="7"/>
        <color theme="1"/>
        <rFont val="Times New Roman"/>
        <family val="1"/>
      </rPr>
      <t xml:space="preserve">      </t>
    </r>
    <r>
      <rPr>
        <sz val="12"/>
        <color theme="1"/>
        <rFont val="Times New Roman"/>
        <family val="1"/>
      </rPr>
      <t xml:space="preserve">Khi GV tổng hợp HĐ XD về + danh sách TN - nộp học phí theo bảng 2 (đã bao gồm 1.2 HĐ XD)  </t>
    </r>
  </si>
  <si>
    <t>Lương cơ bản học viên hạng B-C :</t>
  </si>
  <si>
    <t>Bảng thanh toán 
của Trung tâm</t>
  </si>
  <si>
    <r>
      <rPr>
        <sz val="12"/>
        <color theme="1"/>
        <rFont val="Times New Roman"/>
        <family val="1"/>
      </rPr>
      <t>3.</t>
    </r>
    <r>
      <rPr>
        <sz val="7"/>
        <color theme="1"/>
        <rFont val="Times New Roman"/>
        <family val="1"/>
      </rPr>
      <t>  </t>
    </r>
    <r>
      <rPr>
        <sz val="12"/>
        <color theme="1"/>
        <rFont val="Times New Roman"/>
        <family val="1"/>
      </rPr>
      <t> Trung tâm sẽ ck L cho GV tính trong bảng L (đã trừ BHXH và thuế TNCN nếu có của NLĐ)</t>
    </r>
  </si>
  <si>
    <t>Lương cơ bản 1 học viên hạng B.01 :</t>
  </si>
  <si>
    <t>4. Có thể phân bổ cho GV đều từng tháng để tránh phát sinh thuế TNCN</t>
  </si>
  <si>
    <t>Lương cơ bản 1 học viên hạng B :</t>
  </si>
  <si>
    <t>Tạm ứng 1t5/hv đối với CE</t>
  </si>
  <si>
    <t>Lương cơ bản 1 học viên hạng C1 :</t>
  </si>
  <si>
    <t>NHÂN VIÊN TRUNG TÂM</t>
  </si>
  <si>
    <t>được trừ</t>
  </si>
  <si>
    <t>Thu nhập tính thuế</t>
  </si>
  <si>
    <t>Lương thực nhận</t>
  </si>
  <si>
    <t>Trung Tín Thành tính lại</t>
  </si>
  <si>
    <t>Thưởng lễ tết</t>
  </si>
  <si>
    <t xml:space="preserve">Tiền cơm
</t>
  </si>
  <si>
    <t>Phụ cấp xăng xe</t>
  </si>
  <si>
    <t>Điện thoại</t>
  </si>
  <si>
    <t>Bộ phận giáo viên</t>
  </si>
  <si>
    <t>C</t>
  </si>
  <si>
    <t>B2</t>
  </si>
  <si>
    <t>D</t>
  </si>
  <si>
    <t>E</t>
  </si>
  <si>
    <t>D,CE</t>
  </si>
  <si>
    <t>chưa ap</t>
  </si>
  <si>
    <t>đã áp</t>
  </si>
  <si>
    <t>Ký nhận</t>
  </si>
  <si>
    <t>Bùi Văn Hoàng</t>
  </si>
  <si>
    <t>x</t>
  </si>
  <si>
    <t>Thanh toán TN</t>
  </si>
  <si>
    <t>Chiêu sinh</t>
  </si>
  <si>
    <t>Tổng</t>
  </si>
  <si>
    <t>TT</t>
  </si>
  <si>
    <t>Số tiền được thanh toán</t>
  </si>
  <si>
    <t>Tổng cộng</t>
  </si>
  <si>
    <t xml:space="preserve">Tạm ứng 
lần đầu </t>
  </si>
  <si>
    <t>Số tiền được nhận</t>
  </si>
  <si>
    <t>Ghi chú</t>
  </si>
  <si>
    <t>Tiền lương</t>
  </si>
  <si>
    <t>Tiền nhiên liệu</t>
  </si>
  <si>
    <t>CK</t>
  </si>
  <si>
    <t>Học đường trường</t>
  </si>
  <si>
    <t>Học hình
(10h)</t>
  </si>
  <si>
    <t xml:space="preserve">GIÁM ĐỐC </t>
  </si>
  <si>
    <t xml:space="preserve">*Ghi chú: </t>
  </si>
  <si>
    <t xml:space="preserve">Thành tiền </t>
  </si>
  <si>
    <t>Khóa</t>
  </si>
  <si>
    <t>Số tiền thanh toán</t>
  </si>
  <si>
    <t>TT theo lương</t>
  </si>
  <si>
    <t xml:space="preserve">TỔNG CỘNG </t>
  </si>
  <si>
    <t>Thành tiền</t>
  </si>
  <si>
    <t>Học hình</t>
  </si>
  <si>
    <t>Học đường</t>
  </si>
  <si>
    <t>7 chỗ (13L/100km)</t>
  </si>
  <si>
    <t>4 chỗ (11l/100km)</t>
  </si>
  <si>
    <t>CÔNG TY CPĐT TRÂM ANH GROUP</t>
  </si>
  <si>
    <t>Số lượng</t>
  </si>
  <si>
    <t>Ký tên</t>
  </si>
  <si>
    <t>TỔNG CỘNG</t>
  </si>
  <si>
    <t>Nguyễn Quang Huy</t>
  </si>
  <si>
    <t>VĂN PHÒNG TÂN BÌNH</t>
  </si>
  <si>
    <t>Tiền xăng</t>
  </si>
  <si>
    <t>Số TT</t>
  </si>
  <si>
    <t>Họ tên giáo viên</t>
  </si>
  <si>
    <t xml:space="preserve">Khoản phải nộp </t>
  </si>
  <si>
    <t xml:space="preserve">Nhận </t>
  </si>
  <si>
    <t>Lương CE</t>
  </si>
  <si>
    <t>L theo danh sách phân xe</t>
  </si>
  <si>
    <t>Thưởng</t>
  </si>
  <si>
    <t>Thanh toán TN + CP chiêu sinh</t>
  </si>
  <si>
    <t xml:space="preserve">Thuế TNCN (nếu có) </t>
  </si>
  <si>
    <t>BHXH</t>
  </si>
  <si>
    <t xml:space="preserve">       DANH SÁCH CẤP TIỀN THƯỞNG TẾT 2026</t>
  </si>
  <si>
    <t>KHỐI GIÁO VIÊN</t>
  </si>
  <si>
    <t>Ngày 
tuyển dụng</t>
  </si>
  <si>
    <t>Thời gian
 làm việc</t>
  </si>
  <si>
    <t>Gạo 
Nước mắm</t>
  </si>
  <si>
    <t>Thưởng chiêu sinh</t>
  </si>
  <si>
    <t>Tổng số tiền thưởng</t>
  </si>
  <si>
    <t>Tiền thưởng
2026</t>
  </si>
  <si>
    <t>Xe TT</t>
  </si>
  <si>
    <t>Xe GV</t>
  </si>
  <si>
    <t>VP</t>
  </si>
  <si>
    <t>Trần Kim Trọng</t>
  </si>
  <si>
    <t>10/2022</t>
  </si>
  <si>
    <t>07/2025</t>
  </si>
  <si>
    <t>05/2025</t>
  </si>
  <si>
    <t>Tổng cộng:</t>
  </si>
  <si>
    <t>Số tiền bằng chữ :</t>
  </si>
  <si>
    <t>Ngày  02  tháng   02   năm 2026</t>
  </si>
  <si>
    <t xml:space="preserve">      DANH SÁCH CẤP TIỀN PHÉP NĂM 2025</t>
  </si>
  <si>
    <t xml:space="preserve">CBNV VĂN PHÒNG </t>
  </si>
  <si>
    <t>Ngày
TD</t>
  </si>
  <si>
    <t>Tiền Lương</t>
  </si>
  <si>
    <t>Phép 
năm</t>
  </si>
  <si>
    <t>05/2022</t>
  </si>
  <si>
    <t>06/2021</t>
  </si>
  <si>
    <t>Nguyễn T.Thu Hà</t>
  </si>
  <si>
    <t>06/2012</t>
  </si>
  <si>
    <t>Phan T.Như Quỳnh</t>
  </si>
  <si>
    <t>08/2022</t>
  </si>
  <si>
    <t>04/2015</t>
  </si>
  <si>
    <t>04/2021</t>
  </si>
  <si>
    <t>03/2024</t>
  </si>
  <si>
    <t xml:space="preserve">Nguyễn T. Kim Tuyền </t>
  </si>
  <si>
    <t>12/2023</t>
  </si>
  <si>
    <t>*Số tiền:</t>
  </si>
  <si>
    <t>Ngày  02 tháng   02   năm 2026</t>
  </si>
  <si>
    <t xml:space="preserve">           </t>
  </si>
  <si>
    <t xml:space="preserve">     Trần Thị Thanh Nhã </t>
  </si>
  <si>
    <t>BAN GIÁM ĐỐC</t>
  </si>
  <si>
    <t>Lương</t>
  </si>
  <si>
    <t>06/2011</t>
  </si>
  <si>
    <t>12/2014</t>
  </si>
  <si>
    <t>Tuyền</t>
  </si>
  <si>
    <t>I</t>
  </si>
  <si>
    <t>II</t>
  </si>
  <si>
    <t>III</t>
  </si>
  <si>
    <t>CHỨC DANH</t>
  </si>
  <si>
    <t>TRUNG TÂM DẠY NGHỀ BÁCH VIỆT</t>
  </si>
  <si>
    <t>Nguyễn Việt Hùng</t>
  </si>
  <si>
    <t>Nguyễn Thị Kim Tuyền</t>
  </si>
  <si>
    <t>Nguyễn Ngọc Chính</t>
  </si>
  <si>
    <t>Mai Thanh Lan</t>
  </si>
  <si>
    <t>BẢNG PHỤ CẤP TRÁCH NHIỆM VÀ CÁC PHỤ CẤP KHÁC</t>
  </si>
  <si>
    <t>Thực hiện từ ngày 01/04/2026</t>
  </si>
  <si>
    <t>PHỤ CẤP</t>
  </si>
  <si>
    <t>HỆ SỐ</t>
  </si>
  <si>
    <t>MỨC PHỤ CẤP</t>
  </si>
  <si>
    <t>GHI CHÚ</t>
  </si>
  <si>
    <t xml:space="preserve"> Trách nhiệm</t>
  </si>
  <si>
    <t>Giám đốc</t>
  </si>
  <si>
    <t>Phó Giám đốc</t>
  </si>
  <si>
    <t>Kế toán trưởng</t>
  </si>
  <si>
    <t>Trưởng phòng đào tạo</t>
  </si>
  <si>
    <t>Trưởng khoa giáo viên</t>
  </si>
  <si>
    <t>Phó khóa giáo viên</t>
  </si>
  <si>
    <t>Trưởng cơ sở 1</t>
  </si>
  <si>
    <t>Trưởng bộ phận chiêu sinh</t>
  </si>
  <si>
    <t>Thủ quỹ, kế toán</t>
  </si>
  <si>
    <t>Công đoàn</t>
  </si>
  <si>
    <t>Chủ tịch</t>
  </si>
  <si>
    <t>Phó Chủ tịch, ủy viên</t>
  </si>
  <si>
    <t>Phụ cấp khác</t>
  </si>
  <si>
    <t>Tiền ăn trưa</t>
  </si>
  <si>
    <t>Cán bộ, NV, giáo viên LT</t>
  </si>
  <si>
    <t>24 ngày</t>
  </si>
  <si>
    <t>30.000/ người/ ngày</t>
  </si>
  <si>
    <t>40.000/ người/ ngày</t>
  </si>
  <si>
    <t>Ban giám đốc</t>
  </si>
  <si>
    <t>20.000/ người/ ngày</t>
  </si>
  <si>
    <t>Tiền sinh nhật</t>
  </si>
  <si>
    <t>Cán bộ, NV, giáo viên</t>
  </si>
  <si>
    <t>500.000/ người/ lần</t>
  </si>
  <si>
    <t>Tiền cước ĐT</t>
  </si>
  <si>
    <t>500.000/người/tháng</t>
  </si>
  <si>
    <t>KTT, TPĐT, TKGV</t>
  </si>
  <si>
    <t>300.000/người/tháng</t>
  </si>
  <si>
    <t>Phó KGV, TCS1</t>
  </si>
  <si>
    <t>200.000/người/tháng</t>
  </si>
  <si>
    <t>tiền gv</t>
  </si>
  <si>
    <t>Số tiền còn lại thanh toán</t>
  </si>
  <si>
    <t>TT theo xăng dầu</t>
  </si>
  <si>
    <t>(210km/
3.300đ/hv)</t>
  </si>
  <si>
    <t>(210km)</t>
  </si>
  <si>
    <t xml:space="preserve">*Số tiền cấp bảng này là:  </t>
  </si>
  <si>
    <t>Ghi chú: Mức thanh toán</t>
  </si>
  <si>
    <t xml:space="preserve">Giá nhiên liệu </t>
  </si>
  <si>
    <t>Học lái xe hạng B lên C. Khóa 79044K26C005 - K96</t>
  </si>
  <si>
    <t>Thời gian đào tạo: 22 ngày</t>
  </si>
  <si>
    <t>Ngày khai giảng: 19/03/2026</t>
  </si>
  <si>
    <t>Ngày bế giảng: 10/04/2026</t>
  </si>
  <si>
    <t>BT</t>
  </si>
  <si>
    <t xml:space="preserve">Tạm ứng 
lần đầu 
</t>
  </si>
  <si>
    <t>KH xe</t>
  </si>
  <si>
    <t>Giờ sân thô
(2h/
80.000)</t>
  </si>
  <si>
    <t xml:space="preserve">Học hình
</t>
  </si>
  <si>
    <t>770 km</t>
  </si>
  <si>
    <t>40 km (B11)</t>
  </si>
  <si>
    <t xml:space="preserve">GV </t>
  </si>
  <si>
    <t>-</t>
  </si>
  <si>
    <t>Nội dung</t>
  </si>
  <si>
    <t>Giá</t>
  </si>
  <si>
    <t>Số sàn
(770 Km)</t>
  </si>
  <si>
    <t>Số tự động
(40 km)</t>
  </si>
  <si>
    <t>Khấu hao xe tập lái
(1h)</t>
  </si>
  <si>
    <t>1h</t>
  </si>
  <si>
    <t>1.500.000đ/20h</t>
  </si>
  <si>
    <t>LE TRUNG CUONG</t>
  </si>
  <si>
    <t>VU DUC DIEN</t>
  </si>
  <si>
    <t>NGUYEN CAO DUNG</t>
  </si>
  <si>
    <t>NGUYEN HUU DUONG</t>
  </si>
  <si>
    <t>NGUYEN PHUONG DONG</t>
  </si>
  <si>
    <t>TONG NAM HAI</t>
  </si>
  <si>
    <t>NGUYEN VINH HAU</t>
  </si>
  <si>
    <t>NGUYEN VINH HIEP</t>
  </si>
  <si>
    <t>DANG QUOC KHANH</t>
  </si>
  <si>
    <t>PHAM DANG KHOA</t>
  </si>
  <si>
    <t>LE VAN LOC</t>
  </si>
  <si>
    <t>DANG HOANG MINH</t>
  </si>
  <si>
    <t>HUYNH VAN NGUYEN</t>
  </si>
  <si>
    <t>LE NGOC NHAN</t>
  </si>
  <si>
    <t>NGUYEN DUY SANG</t>
  </si>
  <si>
    <t>DO TRUNG THANH</t>
  </si>
  <si>
    <t>NGUYEN CONG THANH</t>
  </si>
  <si>
    <t>NGUYEN TRUNG THANH</t>
  </si>
  <si>
    <t>NGUYEN QUOC THANH</t>
  </si>
  <si>
    <t>VU VAN THAO</t>
  </si>
  <si>
    <t>VO DUY THIEN</t>
  </si>
  <si>
    <t>NGUYEN DINH TRONG</t>
  </si>
  <si>
    <t>TRUONG CHI TRUNG</t>
  </si>
  <si>
    <t>LE MINH TU</t>
  </si>
  <si>
    <t>BUI ANH TUAN</t>
  </si>
  <si>
    <t>TRAN NGUYEN XUAN VU</t>
  </si>
  <si>
    <t>NGUYEN THANH BINH</t>
  </si>
  <si>
    <t>DOAN QUANG DINH</t>
  </si>
  <si>
    <t>NGUYEN VAN HUY</t>
  </si>
  <si>
    <t>PHAM SY NGUYEN</t>
  </si>
  <si>
    <t>LE VAN THANH</t>
  </si>
  <si>
    <t>VU VAN THANH</t>
  </si>
  <si>
    <t>VU VAN THOA</t>
  </si>
  <si>
    <t>NGUYEN NGOC VONG</t>
  </si>
  <si>
    <t>DUONG HOANG AN</t>
  </si>
  <si>
    <t>BUI VAN BAY</t>
  </si>
  <si>
    <t>HOANG QUANG CUONG</t>
  </si>
  <si>
    <t>VU VAN DUAN</t>
  </si>
  <si>
    <t>BUI MINH DUC</t>
  </si>
  <si>
    <t>NGUYEN DUC DUY</t>
  </si>
  <si>
    <t>NONG VAN DUONG</t>
  </si>
  <si>
    <t>DO DANH HANH</t>
  </si>
  <si>
    <t>NGUYEN VAN HIEU</t>
  </si>
  <si>
    <t>TRAN MINH HIEU</t>
  </si>
  <si>
    <t>NGUYEN DINH KHAN</t>
  </si>
  <si>
    <t>NGUYEN DUC LINH</t>
  </si>
  <si>
    <t>LE TAT MANH</t>
  </si>
  <si>
    <t>VO DUY MINH</t>
  </si>
  <si>
    <t>LE HOAI NAM</t>
  </si>
  <si>
    <t>DO CHI NGHIA</t>
  </si>
  <si>
    <t>NGHIEM HAI NGOC</t>
  </si>
  <si>
    <t>DANG DINH NHAN</t>
  </si>
  <si>
    <t>NGUYEN DONG NHUT</t>
  </si>
  <si>
    <t>HUYNH QUOC PHONG</t>
  </si>
  <si>
    <t>TRAN PHAM AN PHUOC</t>
  </si>
  <si>
    <t>TRAN ANH SANG</t>
  </si>
  <si>
    <t>NGUYEN TRUONG SON</t>
  </si>
  <si>
    <t>NGUYEN MINH TIEN</t>
  </si>
  <si>
    <t>HUA NGUYEN QUOC THAI</t>
  </si>
  <si>
    <t>LE TRUNG THANH</t>
  </si>
  <si>
    <t>LE CONG VIEN</t>
  </si>
  <si>
    <t>chuyển cho hiếu</t>
  </si>
  <si>
    <t>chênh lêch chuyển thêm</t>
  </si>
  <si>
    <t>NGUYỄN THỊ THU TRANG</t>
  </si>
  <si>
    <t>NGUYỄN TRUNG HIẾU</t>
  </si>
  <si>
    <t>NGUYỄN VĂN TIỀN</t>
  </si>
  <si>
    <t>NGUYỄN MINH TOÀN</t>
  </si>
  <si>
    <t>NGUYỄN HUY HOÀNG</t>
  </si>
  <si>
    <t>chuyển cho lan</t>
  </si>
  <si>
    <t>GIẢNG THANH THANH</t>
  </si>
  <si>
    <t>NGUYỄN THÁI PHONG</t>
  </si>
  <si>
    <t>TRẦN MINH QUÂN</t>
  </si>
  <si>
    <t>Lương đã CK</t>
  </si>
  <si>
    <t>Phụ cấp thêm</t>
  </si>
  <si>
    <t>Thưởng lễ</t>
  </si>
  <si>
    <t>Người phụ thuộc</t>
  </si>
  <si>
    <t>bổ sung npt</t>
  </si>
  <si>
    <t>BẢNG CẤP LƯƠNG, PHỤ CẤP THÁNG 05 NĂM 2026</t>
  </si>
  <si>
    <t>PHAN VĂN AN</t>
  </si>
  <si>
    <t>195BSS</t>
  </si>
  <si>
    <t>PHAN NGỌC ẢNH</t>
  </si>
  <si>
    <t>DƯƠNG HUỲNH BẢO</t>
  </si>
  <si>
    <t>LƯU NGUYỄN THÁI BÌNH</t>
  </si>
  <si>
    <t>HOÀNG KIM LỆ CHI</t>
  </si>
  <si>
    <t>NGUYỄN VĂN CHIẾN</t>
  </si>
  <si>
    <t>NGUYỄN QUỐC CƯỜNG</t>
  </si>
  <si>
    <t>TRẦN NGUYỄN MINH ĐĂNG</t>
  </si>
  <si>
    <t>DAT</t>
  </si>
  <si>
    <t>NGUYỄN PHƯƠNG DANH</t>
  </si>
  <si>
    <t>NGUYỄN CAO THÀNH ĐẠT</t>
  </si>
  <si>
    <t>NGUYỄN MINH ĐẠT</t>
  </si>
  <si>
    <t>NGUYỄN TUẤN ĐẠT</t>
  </si>
  <si>
    <t>PHẠM THANH ĐẠT</t>
  </si>
  <si>
    <t>PHAN CHU TÍNH ĐỨC</t>
  </si>
  <si>
    <t>PHẠM MINH ĐUÔN</t>
  </si>
  <si>
    <t>TRẦN TRƯƠNG MINH DUY</t>
  </si>
  <si>
    <t>TRẦN THỊ HIỀN</t>
  </si>
  <si>
    <t>TRẦN ĐỨC HIẾU</t>
  </si>
  <si>
    <t>TRẦN NGỌC HÒA</t>
  </si>
  <si>
    <t>THẠCH MINH HƠN</t>
  </si>
  <si>
    <t>LÊ MINH HÙNG</t>
  </si>
  <si>
    <t>NGUYỄN VĂN HÙNG</t>
  </si>
  <si>
    <t>NGUYỄN VĂN HƯỚNG</t>
  </si>
  <si>
    <t>NGUYỄN THỊ HUYỀN</t>
  </si>
  <si>
    <t>NGUYỄN ANH KIỆT</t>
  </si>
  <si>
    <t>LƯU THỊ PHI LA</t>
  </si>
  <si>
    <t>NGUYỄN KIM LIỄU</t>
  </si>
  <si>
    <t>HOÀNG LONG</t>
  </si>
  <si>
    <t>QUÁCH VĂN LONG</t>
  </si>
  <si>
    <t>VŨ HOÀNG MINH</t>
  </si>
  <si>
    <t>DƯƠNG VĂN NGHIÊM</t>
  </si>
  <si>
    <t>NGUYỄN TẤN NGỌC</t>
  </si>
  <si>
    <t>NGUYỄN NĂNG NGUYỄN</t>
  </si>
  <si>
    <t>DƯƠNG THIỆN NHÂN</t>
  </si>
  <si>
    <t>NGUYỄN HÀ NHI</t>
  </si>
  <si>
    <t>LÊ TRẦN NGỌC PHÁT</t>
  </si>
  <si>
    <t>ĐỒNG PHƯỚC PHONG</t>
  </si>
  <si>
    <t>PHAN BẢO PHÚ</t>
  </si>
  <si>
    <t>NGUYỄN THỊ NHÃ PHƯỢNG</t>
  </si>
  <si>
    <t>TRẦN VĂN QUANG</t>
  </si>
  <si>
    <t>NGUYỄN VĂN SANG</t>
  </si>
  <si>
    <t>NGUYỄN HỮU TÀI</t>
  </si>
  <si>
    <t>PHẠM THANH TÂM</t>
  </si>
  <si>
    <t>BÙI NGUYỄN MINH THẮNG</t>
  </si>
  <si>
    <t>NGUYỄN THỊ PHƯƠNG THẢO</t>
  </si>
  <si>
    <t>NGUYỄN DU THIỆN</t>
  </si>
  <si>
    <t>TRỊNH MINH THƯ</t>
  </si>
  <si>
    <t>NGUYỄN MINH THUẤN</t>
  </si>
  <si>
    <t>SÔ THÚY</t>
  </si>
  <si>
    <t>VÕ THỊ KIM TIÊN</t>
  </si>
  <si>
    <t>VÕ VĂN TIẾN</t>
  </si>
  <si>
    <t>NGUYỄN HUỲNH MINH TRỌNG</t>
  </si>
  <si>
    <t>NGUYỄN THÀNH TRUNG</t>
  </si>
  <si>
    <t>PHAN QUANG TUẤN</t>
  </si>
  <si>
    <t>VÕ THANH TÙNG</t>
  </si>
  <si>
    <t>VŨ MINH TÙNG</t>
  </si>
  <si>
    <t>PHẠM QUỐC TƯỞNG</t>
  </si>
  <si>
    <t>NGUYỄN THỊ THANH TUYỀN</t>
  </si>
  <si>
    <t>TRẦN THÀNH VĨ</t>
  </si>
  <si>
    <t>LÊ CÔNG VINH</t>
  </si>
  <si>
    <t>ĐỖ HOÀNG VŨ</t>
  </si>
  <si>
    <t>LÊ UY VŨ</t>
  </si>
  <si>
    <t>NGUYỄN LAN VY</t>
  </si>
  <si>
    <t>NGUYỄN PHẠM THIÊN AN</t>
  </si>
  <si>
    <t>11C1</t>
  </si>
  <si>
    <t>HOÀNG ANH</t>
  </si>
  <si>
    <t>LÊ HOÀNG ANH</t>
  </si>
  <si>
    <t>NGUYỄN VĂN CHÂU</t>
  </si>
  <si>
    <t>PHẠM HÙNG CƯỜNG</t>
  </si>
  <si>
    <t>PHẠM MINH CƯỜNG</t>
  </si>
  <si>
    <t>LƯU VĂN ANH ĐẠI</t>
  </si>
  <si>
    <t>PHẠM VĂN ĐO</t>
  </si>
  <si>
    <t>HOÀNG VĂN ĐỨC</t>
  </si>
  <si>
    <t>LÂM TẤN DŨNG</t>
  </si>
  <si>
    <t>LÊ VĂN DŨNG</t>
  </si>
  <si>
    <t>Phạm Sỹ Nguyễn</t>
  </si>
  <si>
    <t>TRẦN VŨ ANH DUY</t>
  </si>
  <si>
    <t>VŨ HOÀNG THÁI HỔ</t>
  </si>
  <si>
    <t>VÕ NGUYỄN MẠNH HÙNG</t>
  </si>
  <si>
    <t>NGUYỄN ĐỨC HUY</t>
  </si>
  <si>
    <t>TRẦN THẾ HUY</t>
  </si>
  <si>
    <t>NGUYỄN HOÀNG KHA</t>
  </si>
  <si>
    <t>NGUYỄN TUẤN KHIÊM</t>
  </si>
  <si>
    <t>TRƯƠNG DUY KHƯƠNG</t>
  </si>
  <si>
    <t>NGUYỄN HỒ TUẤN KIỆT</t>
  </si>
  <si>
    <t>HUỲNH MINH LÂM</t>
  </si>
  <si>
    <t>NGUYỄN VĂN LỰC</t>
  </si>
  <si>
    <t>PHẠM ĐỨC MẠNH</t>
  </si>
  <si>
    <t>VÕ VĂN MINH</t>
  </si>
  <si>
    <t>QUÁCH CÔNG NAM</t>
  </si>
  <si>
    <t>PHAN THANH NHIỀU</t>
  </si>
  <si>
    <t>TIỀN GIA NHỰT</t>
  </si>
  <si>
    <t>HUỲNH ĐỨC PHÁT</t>
  </si>
  <si>
    <t>NGUYỄN THỊ PHỤNG</t>
  </si>
  <si>
    <t>NGUYỄN VŨ MINH QUÂN</t>
  </si>
  <si>
    <t>VÕ TẤN QUÂN</t>
  </si>
  <si>
    <t>TRẦN MINH QUANG</t>
  </si>
  <si>
    <t>NGUYỄN TẤN SINH</t>
  </si>
  <si>
    <t>LÊ THÀNH TÀI</t>
  </si>
  <si>
    <t>NGUYỄN THỊ THANH TÂM</t>
  </si>
  <si>
    <t>HỒ CÔNG THÀNH</t>
  </si>
  <si>
    <t>MAI HỮU THI</t>
  </si>
  <si>
    <t>NGÔ MINH THÔNG</t>
  </si>
  <si>
    <t>NGUYỄN PHÚC THUẬN</t>
  </si>
  <si>
    <t>PHẠM ĐỨC TIẾN</t>
  </si>
  <si>
    <t>NGUYỄN HỮU TÌNH</t>
  </si>
  <si>
    <t>LÝ HOÀNG QUANG TRÍ</t>
  </si>
  <si>
    <t>TRẦN XUÂN TRÍ</t>
  </si>
  <si>
    <t>DƯƠNG TRẦN TÚ TRINH</t>
  </si>
  <si>
    <t>ĐỖ HOÀNG TRỌNG</t>
  </si>
  <si>
    <t>ĐỒNG VĂN TRƯỜNG</t>
  </si>
  <si>
    <t>NGUYỄN QUỐC TÚ</t>
  </si>
  <si>
    <t>NGUYỄN THANH TÚ</t>
  </si>
  <si>
    <t>TRÀ VĂN TỴ</t>
  </si>
  <si>
    <t>NGUYỄN VIẾT VĂN</t>
  </si>
  <si>
    <t>NGUYỄN HOÀNG VĨ</t>
  </si>
  <si>
    <t>LƯ GIA VINH</t>
  </si>
  <si>
    <t>CAO ĐẠI KIỀU VŨ</t>
  </si>
  <si>
    <t>NGUYỄN TUẤN VỦ</t>
  </si>
  <si>
    <t>QUÁCH MINH VƯƠNG</t>
  </si>
  <si>
    <t>HOÀNG ĐỨC ANH</t>
  </si>
  <si>
    <t>LÊ PHƯƠNG BÌNH</t>
  </si>
  <si>
    <t>NGUYỄN THỊ BẢO CHÂU</t>
  </si>
  <si>
    <t>HUỲNH THỊ LAN CHI</t>
  </si>
  <si>
    <t>TỪ QUỐC CƯỜNG</t>
  </si>
  <si>
    <t>NGUYỄN DUY</t>
  </si>
  <si>
    <t>NGUYỄN NGỌC THÙY DUYÊN</t>
  </si>
  <si>
    <t>VĂN THÙY MỸ DUYÊN</t>
  </si>
  <si>
    <t>BÙI THỊ GIANG</t>
  </si>
  <si>
    <t>NGUYỄN THỊ THÙY GIANG</t>
  </si>
  <si>
    <t>ĐẶNG THỊ NGỌC HÀ</t>
  </si>
  <si>
    <t>NGÔ THỊ HẠNH</t>
  </si>
  <si>
    <t>TRẦN HUY HIỆU</t>
  </si>
  <si>
    <t>HOÀNG THỊ HUẾ</t>
  </si>
  <si>
    <t>ĐẶNG TRỌNG HƯNG</t>
  </si>
  <si>
    <t>NGUYỄN THỊ DIỄM HƯƠNG</t>
  </si>
  <si>
    <t>HUỲNH MINH KHẢI</t>
  </si>
  <si>
    <t>CHU NAM KHÁNH</t>
  </si>
  <si>
    <t>ĐÀO THỊ MỸ LAN</t>
  </si>
  <si>
    <t>NGUYỄN THỊ LẼ</t>
  </si>
  <si>
    <t>NGUYỄN THỊ YẾN LINH</t>
  </si>
  <si>
    <t>DANH CẨM LÌNH</t>
  </si>
  <si>
    <t>TRẦN THỊ KIM LOAN</t>
  </si>
  <si>
    <t>HỒ VĂN LỘC</t>
  </si>
  <si>
    <t>PHẠM THỊ LƯU LUYẾN</t>
  </si>
  <si>
    <t>NGUYỄN CAO MINH</t>
  </si>
  <si>
    <t>LƯU THỊ NGA</t>
  </si>
  <si>
    <t>PHAN TRẦN PHƯƠNG NGHI</t>
  </si>
  <si>
    <t>NGUYỄN HỒNG ĐIỆP NGUYÊN</t>
  </si>
  <si>
    <t>TRẦN THỊ THANH NGUYỆT</t>
  </si>
  <si>
    <t>TRƯƠNG THỊ NHI</t>
  </si>
  <si>
    <t>TRƯƠNG THỊ QUỲNH NHƯ</t>
  </si>
  <si>
    <t>TRẦN THỊ MỸ NI</t>
  </si>
  <si>
    <t>LÊ HỒNG PHÚC</t>
  </si>
  <si>
    <t>NGUYỄN THỊ NGỌC PHƯƠNG</t>
  </si>
  <si>
    <t>VĂN THỊ SEN</t>
  </si>
  <si>
    <t>PHẠM NGỌC SỸ</t>
  </si>
  <si>
    <t>BÙI THỊ THẮM</t>
  </si>
  <si>
    <t>LÂM THỊ THU THẢO</t>
  </si>
  <si>
    <t>NGUYỄN THỊ MINH THẢO</t>
  </si>
  <si>
    <t>NGUYỄN VĂN THẠO</t>
  </si>
  <si>
    <t>VÕ TRẦN THỊ HẢI THIỆN</t>
  </si>
  <si>
    <t>ĐOÀN BẢO THỊNH</t>
  </si>
  <si>
    <t>LÊ XUÂN THU</t>
  </si>
  <si>
    <t>NGUYỄN THỊ THƯ</t>
  </si>
  <si>
    <t>NGUYỄN THỊ HOÀNG THU THỦY</t>
  </si>
  <si>
    <t>ĐỖ MINH TRÂM</t>
  </si>
  <si>
    <t>NGUYỄN NGỌC TRÂN</t>
  </si>
  <si>
    <t>PHẠM THỊ HUYỀN TRANG</t>
  </si>
  <si>
    <t>TRẦN THẾ TRỌNG</t>
  </si>
  <si>
    <t>BÙI THỊ TRUNG</t>
  </si>
  <si>
    <t>PHAN NGUYỄN ANH TUYỀN</t>
  </si>
  <si>
    <t>NGUYỄN THỊ TUYẾT</t>
  </si>
  <si>
    <t>LƯƠNG THỊ THANH VƯƠNG</t>
  </si>
  <si>
    <t>TRẦN THỊ XUÂN</t>
  </si>
  <si>
    <t xml:space="preserve">DANH SÁCH CẤP LƯƠNG LẦN 2 THEO DANH SÁCH PHÂN XE </t>
  </si>
  <si>
    <t xml:space="preserve">Khóa </t>
  </si>
  <si>
    <t xml:space="preserve">Ngày nộp HS </t>
  </si>
  <si>
    <t xml:space="preserve">Hệ ĐT </t>
  </si>
  <si>
    <t xml:space="preserve">CCCD </t>
  </si>
  <si>
    <t xml:space="preserve">Học viên </t>
  </si>
  <si>
    <t xml:space="preserve">NGT </t>
  </si>
  <si>
    <t>PX</t>
  </si>
  <si>
    <t xml:space="preserve">  Mức thanh toán áp dụng   </t>
  </si>
  <si>
    <t xml:space="preserve">Ghi chú </t>
  </si>
  <si>
    <t>051093016869</t>
  </si>
  <si>
    <t xml:space="preserve">                                         -  </t>
  </si>
  <si>
    <t>049088016063</t>
  </si>
  <si>
    <t>LƯU PHÚC KÍNH</t>
  </si>
  <si>
    <t>096204012367</t>
  </si>
  <si>
    <t>THỦY GÒ VẤP</t>
  </si>
  <si>
    <t>079205012502</t>
  </si>
  <si>
    <t>VŨ VĂN THỎA</t>
  </si>
  <si>
    <t>091192020916</t>
  </si>
  <si>
    <t>CAO ĐÌNH BẮC</t>
  </si>
  <si>
    <t>ĐÃ TT TRONG THÁNG 4</t>
  </si>
  <si>
    <t>066202015718</t>
  </si>
  <si>
    <t>THẦY DUY MINH</t>
  </si>
  <si>
    <t>052097016271</t>
  </si>
  <si>
    <t>NGUYỄN PHƯƠNG ĐÔNG</t>
  </si>
  <si>
    <t>079204027147</t>
  </si>
  <si>
    <t>VŨ MẠNH QUYẾT</t>
  </si>
  <si>
    <t xml:space="preserve">Thanh toán DAT </t>
  </si>
  <si>
    <t>080078000342</t>
  </si>
  <si>
    <t>NGUYỄN VĂN THẬT</t>
  </si>
  <si>
    <t>075207022957</t>
  </si>
  <si>
    <t>NGUYỄN VĨNH HIỆP</t>
  </si>
  <si>
    <t>079099006100</t>
  </si>
  <si>
    <t>QUỐC THẠNH</t>
  </si>
  <si>
    <t>067207000350</t>
  </si>
  <si>
    <t>T.VÕ DUY THIỆN</t>
  </si>
  <si>
    <t>051097015913</t>
  </si>
  <si>
    <t>NGUYỄN VĨNH HẬU</t>
  </si>
  <si>
    <t>079093003396</t>
  </si>
  <si>
    <t>HUỲNH VĂN NGUYÊN</t>
  </si>
  <si>
    <t>072093011669</t>
  </si>
  <si>
    <t>LÊ MINH TÚ</t>
  </si>
  <si>
    <t>060205009784</t>
  </si>
  <si>
    <t>NGUYỄN THANH NAM</t>
  </si>
  <si>
    <t>038188017341</t>
  </si>
  <si>
    <t>LÊ VĂN LỘC</t>
  </si>
  <si>
    <t>079091039794</t>
  </si>
  <si>
    <t>NGUYỄN ĐÌNH TRỌNG</t>
  </si>
  <si>
    <t>056205010368</t>
  </si>
  <si>
    <t>079205039688</t>
  </si>
  <si>
    <t>079207003180</t>
  </si>
  <si>
    <t>LƯU VĂN HUY</t>
  </si>
  <si>
    <t>079097012500</t>
  </si>
  <si>
    <t>NGUYỄN VĨNH HẠ</t>
  </si>
  <si>
    <t>079204005231</t>
  </si>
  <si>
    <t>036098015671</t>
  </si>
  <si>
    <t>067094005512</t>
  </si>
  <si>
    <t>040186024211</t>
  </si>
  <si>
    <t>LÊ HOÀI NAM</t>
  </si>
  <si>
    <t>070200007329</t>
  </si>
  <si>
    <t>ĐOÀN QUANG ĐÌNH</t>
  </si>
  <si>
    <t>079183009594</t>
  </si>
  <si>
    <t>072183012834</t>
  </si>
  <si>
    <t>079208006081</t>
  </si>
  <si>
    <t>TRẦN THỊ HUYỀN</t>
  </si>
  <si>
    <t>094080012576</t>
  </si>
  <si>
    <t>079201004074</t>
  </si>
  <si>
    <t>072090003484</t>
  </si>
  <si>
    <t>064093008010</t>
  </si>
  <si>
    <t>NGUYỄN VĂN HIẾU</t>
  </si>
  <si>
    <t>001206084972</t>
  </si>
  <si>
    <t>LÊ TRUNG CƯỜNG</t>
  </si>
  <si>
    <t>079204000526</t>
  </si>
  <si>
    <t>NGÔ QUANG TRƠN</t>
  </si>
  <si>
    <t>001199007447</t>
  </si>
  <si>
    <t>079205021253</t>
  </si>
  <si>
    <t>049204011812</t>
  </si>
  <si>
    <t>XUÂN VŨ</t>
  </si>
  <si>
    <t>079204010263</t>
  </si>
  <si>
    <t>066193010848</t>
  </si>
  <si>
    <t>026200001911</t>
  </si>
  <si>
    <t>082086018846</t>
  </si>
  <si>
    <t>082207012000</t>
  </si>
  <si>
    <t>079089023074</t>
  </si>
  <si>
    <t>079206010490</t>
  </si>
  <si>
    <t>051198000159</t>
  </si>
  <si>
    <t>060099008570</t>
  </si>
  <si>
    <t>072305003453</t>
  </si>
  <si>
    <t>079082030446</t>
  </si>
  <si>
    <t>NGÔ VĂN HƯNG</t>
  </si>
  <si>
    <t>072198002688</t>
  </si>
  <si>
    <t>072302002673</t>
  </si>
  <si>
    <t>082095004647</t>
  </si>
  <si>
    <t>079094018014</t>
  </si>
  <si>
    <t>056207012575</t>
  </si>
  <si>
    <t>079208001041</t>
  </si>
  <si>
    <t>LÊ CÔNG VIÊN</t>
  </si>
  <si>
    <t>052086014304</t>
  </si>
  <si>
    <t>079203015323</t>
  </si>
  <si>
    <t>045084007584</t>
  </si>
  <si>
    <t>072188001412</t>
  </si>
  <si>
    <t>072095002815</t>
  </si>
  <si>
    <t>056205001688</t>
  </si>
  <si>
    <t>051099011729</t>
  </si>
  <si>
    <t>087205011713</t>
  </si>
  <si>
    <t>082307007818</t>
  </si>
  <si>
    <t>Tổng cộng khóa</t>
  </si>
  <si>
    <t>079206007281</t>
  </si>
  <si>
    <t>NGUYỄN TRUNG THÀNH</t>
  </si>
  <si>
    <t>024099010591</t>
  </si>
  <si>
    <t>079086002538</t>
  </si>
  <si>
    <t>093082012014</t>
  </si>
  <si>
    <t>ĐẶNG QUỐC KHÁNH</t>
  </si>
  <si>
    <t>087087003477</t>
  </si>
  <si>
    <t>093097000667</t>
  </si>
  <si>
    <t>089205012677</t>
  </si>
  <si>
    <t>072092012683</t>
  </si>
  <si>
    <t>020200007988</t>
  </si>
  <si>
    <t>064207013370</t>
  </si>
  <si>
    <t>NGUYỄN NGỌC VỌNG</t>
  </si>
  <si>
    <t>052093005560</t>
  </si>
  <si>
    <t>PHẠM SỸ NGUYÊN</t>
  </si>
  <si>
    <t>068204000531</t>
  </si>
  <si>
    <t>HUỲNH ĐHAN</t>
  </si>
  <si>
    <t>070205010184</t>
  </si>
  <si>
    <t>079201011037</t>
  </si>
  <si>
    <t>051200009804</t>
  </si>
  <si>
    <t>A VŨ TL</t>
  </si>
  <si>
    <t>094204005721</t>
  </si>
  <si>
    <t>074201000067</t>
  </si>
  <si>
    <t>079085029751</t>
  </si>
  <si>
    <t>072202001763</t>
  </si>
  <si>
    <t>072206011378</t>
  </si>
  <si>
    <t>051097014680</t>
  </si>
  <si>
    <t>083090016026</t>
  </si>
  <si>
    <t>GIANG NAM</t>
  </si>
  <si>
    <t>035207000742</t>
  </si>
  <si>
    <t>087098009192</t>
  </si>
  <si>
    <t>066205012144</t>
  </si>
  <si>
    <t>089201019677</t>
  </si>
  <si>
    <t>079204033191</t>
  </si>
  <si>
    <t>049206000043</t>
  </si>
  <si>
    <t>072302001365</t>
  </si>
  <si>
    <t>037202005212</t>
  </si>
  <si>
    <t>PHẠM ĐĂNG VỸ</t>
  </si>
  <si>
    <t>051205000865</t>
  </si>
  <si>
    <t>072200004476</t>
  </si>
  <si>
    <t>066200005566</t>
  </si>
  <si>
    <t>049091000081</t>
  </si>
  <si>
    <t>072301007940</t>
  </si>
  <si>
    <t>066207002194</t>
  </si>
  <si>
    <t>060092012844</t>
  </si>
  <si>
    <t>072200004143</t>
  </si>
  <si>
    <t>083206008198</t>
  </si>
  <si>
    <t>035207000743</t>
  </si>
  <si>
    <t>082087006414</t>
  </si>
  <si>
    <t>096099006853</t>
  </si>
  <si>
    <t>089206002650</t>
  </si>
  <si>
    <t>038206001588</t>
  </si>
  <si>
    <t>072305004990</t>
  </si>
  <si>
    <t>075086013571</t>
  </si>
  <si>
    <t>095097000814</t>
  </si>
  <si>
    <t>052097011644</t>
  </si>
  <si>
    <t>052080010585</t>
  </si>
  <si>
    <t>049201004713</t>
  </si>
  <si>
    <t>079202033740</t>
  </si>
  <si>
    <t>096200013863</t>
  </si>
  <si>
    <t>079099014332</t>
  </si>
  <si>
    <t>051094004945</t>
  </si>
  <si>
    <t>089093014420</t>
  </si>
  <si>
    <t>091094013198</t>
  </si>
  <si>
    <t xml:space="preserve">Tổng cộng khóa </t>
  </si>
  <si>
    <t xml:space="preserve">116BTĐ </t>
  </si>
  <si>
    <t>034205000222</t>
  </si>
  <si>
    <t>079206024600</t>
  </si>
  <si>
    <t>079184013381</t>
  </si>
  <si>
    <t>051190018309</t>
  </si>
  <si>
    <t>079088037988</t>
  </si>
  <si>
    <t>087091009297</t>
  </si>
  <si>
    <t>079187018641</t>
  </si>
  <si>
    <t>056302005367</t>
  </si>
  <si>
    <t>NGUYỄN HỮU DƯƠNG</t>
  </si>
  <si>
    <t>049195000173</t>
  </si>
  <si>
    <t>096188000111</t>
  </si>
  <si>
    <t>060187002347</t>
  </si>
  <si>
    <t>VŨ VĂN THẠO</t>
  </si>
  <si>
    <t>001186011499</t>
  </si>
  <si>
    <t>052206001650</t>
  </si>
  <si>
    <t>031193011978</t>
  </si>
  <si>
    <t>042090002222</t>
  </si>
  <si>
    <t>051183009145</t>
  </si>
  <si>
    <t>080202010211</t>
  </si>
  <si>
    <t>040088042438</t>
  </si>
  <si>
    <t>064303003340</t>
  </si>
  <si>
    <t>072181007768</t>
  </si>
  <si>
    <t>082198011678</t>
  </si>
  <si>
    <t>ĐẶNG TRƯỜNG KỲ</t>
  </si>
  <si>
    <t>095300004055</t>
  </si>
  <si>
    <t>079176029611</t>
  </si>
  <si>
    <t>DUY SANG</t>
  </si>
  <si>
    <t>049092000449</t>
  </si>
  <si>
    <t>038195036613</t>
  </si>
  <si>
    <t>079203011879</t>
  </si>
  <si>
    <t>038192024800</t>
  </si>
  <si>
    <t>079307029607</t>
  </si>
  <si>
    <t>024088000005</t>
  </si>
  <si>
    <t>060197002748</t>
  </si>
  <si>
    <t>051197002316</t>
  </si>
  <si>
    <t>048184000076</t>
  </si>
  <si>
    <t>TRẦN ĐỨC HẢI</t>
  </si>
  <si>
    <t>049196001510</t>
  </si>
  <si>
    <t>079095038246</t>
  </si>
  <si>
    <t>087092000098</t>
  </si>
  <si>
    <t>079303031007</t>
  </si>
  <si>
    <t>079095025685</t>
  </si>
  <si>
    <t>038186004560</t>
  </si>
  <si>
    <t>LÊ VĂN THÀNH</t>
  </si>
  <si>
    <t>038202000357</t>
  </si>
  <si>
    <t>049192002195</t>
  </si>
  <si>
    <t>079307026881</t>
  </si>
  <si>
    <t>052199003189</t>
  </si>
  <si>
    <t>083188006466</t>
  </si>
  <si>
    <t>027084002567</t>
  </si>
  <si>
    <t>046305000137</t>
  </si>
  <si>
    <t>079206037621</t>
  </si>
  <si>
    <t>049087009207</t>
  </si>
  <si>
    <t>070307006913</t>
  </si>
  <si>
    <t>066186006735</t>
  </si>
  <si>
    <t>079086001188</t>
  </si>
  <si>
    <t>CAO DŨNG</t>
  </si>
  <si>
    <t>079305040193</t>
  </si>
  <si>
    <t>079302025762</t>
  </si>
  <si>
    <t>TRẦN TRUNG ĐẠO</t>
  </si>
  <si>
    <t>068302006482</t>
  </si>
  <si>
    <t>NGUYỄN THÀNH TUẤN</t>
  </si>
  <si>
    <t>077192001091</t>
  </si>
  <si>
    <t>NGUYỄN TIẾN KHÔI</t>
  </si>
  <si>
    <t>038066001316</t>
  </si>
  <si>
    <t>049195010067</t>
  </si>
  <si>
    <t>094204002664</t>
  </si>
  <si>
    <t>038192012887</t>
  </si>
  <si>
    <t>054305000717</t>
  </si>
  <si>
    <t>042193000179</t>
  </si>
  <si>
    <t xml:space="preserve">TỔNG CỘNG THANH TOÁN TRONG KỲ </t>
  </si>
  <si>
    <t>DANH SÁCH THANH TOÁN
TIỀN NHIÊN LIỆU, LƯƠNG CHO GIÁO VIÊN DẠY THỰC HÀNH HẠNG 195BSS</t>
  </si>
  <si>
    <t>Tháng 06 Năm 2026</t>
  </si>
  <si>
    <t xml:space="preserve">Võ Duy Thiện </t>
  </si>
  <si>
    <t>Ngày  01  tháng  06   năm 2026</t>
  </si>
  <si>
    <t>DANH SÁCH TỐT NGHIỆP
TIỀN NHIÊN LIỆU, LƯƠNG CHO GIÁO VIÊN DẠY THỰC HÀNH 97 HẠNG B=&gt;C</t>
  </si>
  <si>
    <t>Tháng 05 Năm 2026</t>
  </si>
  <si>
    <t xml:space="preserve">GV Nguyễn Trung Thành </t>
  </si>
  <si>
    <t>NGUYỄN NGỌC  ĐỆP</t>
  </si>
  <si>
    <t>TRỊNH VIẾT LONG</t>
  </si>
  <si>
    <t>NGUYỄN VĂN NHÂN</t>
  </si>
  <si>
    <t xml:space="preserve">TRẦN MINH QUÂN </t>
  </si>
  <si>
    <t xml:space="preserve">CHÂU THANH SÁNG </t>
  </si>
  <si>
    <t>NGUYỄN MINH TRÍ</t>
  </si>
  <si>
    <t xml:space="preserve">NGUYỄN TẤN TRUNG </t>
  </si>
  <si>
    <t xml:space="preserve">TRƯƠNG VĂN VUI </t>
  </si>
  <si>
    <t>(Bằng chữ: Bốn triệu,  một trăm mười hai nghìn đồng chẵn.)</t>
  </si>
  <si>
    <t>Ngày 28 tháng  05 năm 2026</t>
  </si>
  <si>
    <t xml:space="preserve">    DANH SÁCH THANH TOÁN</t>
  </si>
  <si>
    <t>KHÓA  132 - HẠNG CE.</t>
  </si>
  <si>
    <t>HỌ TÊN GIÁO VIÊN</t>
  </si>
  <si>
    <t>BIỂN SỐ XE</t>
  </si>
  <si>
    <t>Hạng</t>
  </si>
  <si>
    <t>Thanh toán</t>
  </si>
  <si>
    <t xml:space="preserve">Tạm ứng xăng dầu
(2tr/hv) </t>
  </si>
  <si>
    <t>Số tiền còn lại được nhận</t>
  </si>
  <si>
    <t>51C-939.23</t>
  </si>
  <si>
    <t>51D-735.18</t>
  </si>
  <si>
    <t>51C-459.09</t>
  </si>
  <si>
    <t xml:space="preserve">Nguyễn Thanh Bình </t>
  </si>
  <si>
    <t>51C-556.82</t>
  </si>
  <si>
    <t>Ngày 26 Tháng 05 Năm 2026</t>
  </si>
  <si>
    <t xml:space="preserve"> NGƯỜI LẬP</t>
  </si>
  <si>
    <t xml:space="preserve">Chiêu sinh
TTTN </t>
  </si>
  <si>
    <t>Dạy LT
Sát hạch</t>
  </si>
  <si>
    <t>B(TĐ) - K116</t>
  </si>
  <si>
    <t>B(SS) - K195</t>
  </si>
  <si>
    <t>C1 - K11</t>
  </si>
  <si>
    <t>Làm thêm
giờ</t>
  </si>
  <si>
    <t>lưu văn huy</t>
  </si>
  <si>
    <t>Trừ vào công nợ</t>
  </si>
  <si>
    <t>BẢNG KÊ THANH TOÁN THÁNG 05 - 2026</t>
  </si>
  <si>
    <t>Nghĩa vụ
GV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</si>
</sst>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-&quot;ñ&quot;* #,##0_-;\-&quot;ñ&quot;* #,##0_-;_-&quot;ñ&quot;* &quot;-&quot;_-;_-@_-"/>
    <numFmt numFmtId="166" formatCode="_ * #,##0.00_)&quot;VND&quot;_ ;_ * \(#,##0.00\)&quot;VND&quot;_ ;_ * &quot;-&quot;??_)&quot;VND&quot;_ ;_ @_ "/>
    <numFmt numFmtId="167" formatCode="_ * #,##0.00_)_V_N_D_ ;_ * \(#,##0.00\)_V_N_D_ ;_ * &quot;-&quot;??_)_V_N_D_ ;_ @_ "/>
    <numFmt numFmtId="168" formatCode="_ * #,##0.00_ ;_ * \-#,##0.00_ ;_ * &quot;-&quot;??_ ;_ @_ "/>
    <numFmt numFmtId="169" formatCode="_-* #,##0&quot;ñ&quot;_-;\-* #,##0&quot;ñ&quot;_-;_-* &quot;-&quot;&quot;ñ&quot;_-;_-@_-"/>
    <numFmt numFmtId="170" formatCode="_-&quot;$&quot;* #,##0_-;\-&quot;$&quot;* #,##0_-;_-&quot;$&quot;* &quot;-&quot;_-;_-@_-"/>
    <numFmt numFmtId="171" formatCode="_-* #,##0.00_-;\-* #,##0.00_-;_-* &quot;-&quot;??_-;_-@_-"/>
    <numFmt numFmtId="172" formatCode="_-* #,##0.00\ _ñ_-;\-* #,##0.00\ _ñ_-;_-* &quot;-&quot;??\ _ñ_-;_-@_-"/>
    <numFmt numFmtId="173" formatCode="_-* #,##0_-;\-* #,##0_-;_-* &quot;-&quot;_-;_-@_-"/>
    <numFmt numFmtId="174" formatCode="_-* #,##0\ &quot;ñ&quot;_-;\-* #,##0\ &quot;ñ&quot;_-;_-* &quot;-&quot;\ &quot;ñ&quot;_-;_-@_-"/>
    <numFmt numFmtId="175" formatCode="_-* #,##0.00000000_-;\-* #,##0.00000000_-;_-* &quot;-&quot;??_-;_-@_-"/>
    <numFmt numFmtId="176" formatCode="_-* #,##0\ &quot;F&quot;_-;\-* #,##0\ &quot;F&quot;_-;_-* &quot;-&quot;\ &quot;F&quot;_-;_-@_-"/>
    <numFmt numFmtId="177" formatCode="_-* #,##0\ &quot;$&quot;_-;\-* #,##0\ &quot;$&quot;_-;_-* &quot;-&quot;\ &quot;$&quot;_-;_-@_-"/>
    <numFmt numFmtId="178" formatCode="_-* #,##0\ _ñ_-;\-* #,##0\ _ñ_-;_-* &quot;-&quot;\ _ñ_-;_-@_-"/>
    <numFmt numFmtId="179" formatCode="&quot;$&quot;#,##0;\-&quot;$&quot;#,##0"/>
    <numFmt numFmtId="180" formatCode="0.0"/>
    <numFmt numFmtId="181" formatCode="_ * #,##0_)_V_N_D_ ;_ * \(#,##0\)_V_N_D_ ;_ * &quot;-&quot;_)_V_N_D_ ;_ @_ "/>
    <numFmt numFmtId="182" formatCode="0.000"/>
    <numFmt numFmtId="183" formatCode="_-* #,##0.00\ &quot;F&quot;_-;\-* #,##0.00\ &quot;F&quot;_-;_-* &quot;-&quot;??\ &quot;F&quot;_-;_-@_-"/>
    <numFmt numFmtId="184" formatCode="\$#,##0\ ;\(\$#,##0\)"/>
    <numFmt numFmtId="185" formatCode="_(* #,##0.000_);_(* \(#,##0.000\);_(* &quot;-&quot;??_);_(@_)"/>
    <numFmt numFmtId="186" formatCode="_(* #,##0.0000_);_(* \(#,##0.0000\);_(* &quot;-&quot;??_);_(@_)"/>
    <numFmt numFmtId="187" formatCode="_-* #,##0\ _F_-;\-* #,##0\ _F_-;_-* &quot;-&quot;\ _F_-;_-@_-"/>
    <numFmt numFmtId="188" formatCode="#,##0\ &quot;$&quot;_);[Red]\(#,##0\ &quot;$&quot;\)"/>
    <numFmt numFmtId="189" formatCode="&quot;$&quot;###,0&quot;.&quot;00_);[Red]\(&quot;$&quot;###,0&quot;.&quot;00\)"/>
    <numFmt numFmtId="190" formatCode="0.00_)"/>
    <numFmt numFmtId="191" formatCode="#,##0.00\ &quot;F&quot;;[Red]\-#,##0.00\ &quot;F&quot;"/>
    <numFmt numFmtId="192" formatCode="#,##0\ &quot;F&quot;;[Red]\-#,##0\ &quot;F&quot;"/>
    <numFmt numFmtId="193" formatCode="#,##0.00\ &quot;F&quot;;\-#,##0.00\ &quot;F&quot;"/>
    <numFmt numFmtId="194" formatCode="_(* #,##0_);_(* \(#,##0\);_(* &quot;-&quot;??_);_(@_)"/>
    <numFmt numFmtId="195" formatCode="_-&quot;$&quot;* #,##0.00_-;\-&quot;$&quot;* #,##0.00_-;_-&quot;$&quot;* &quot;-&quot;??_-;_-@_-"/>
    <numFmt numFmtId="196" formatCode="&quot;\&quot;#,##0.00;[Red]&quot;\&quot;\-#,##0.00"/>
    <numFmt numFmtId="197" formatCode="&quot;\&quot;#,##0;[Red]&quot;\&quot;\-#,##0"/>
    <numFmt numFmtId="198" formatCode="@* \:"/>
    <numFmt numFmtId="199" formatCode="#,##0;[Red]#,##0"/>
    <numFmt numFmtId="200" formatCode="_-* #,##0_-;\-* #,##0_-;_-* &quot;-&quot;??_-;_-@_-"/>
    <numFmt numFmtId="202" formatCode="dd\/mm\/yyyy"/>
    <numFmt numFmtId="204" formatCode="dd/mm/yy"/>
    <numFmt numFmtId="207" formatCode="dd/yyyy"/>
    <numFmt numFmtId="209" formatCode="mm/yyyy"/>
    <numFmt numFmtId="211" formatCode="#,###,##0.00"/>
    <numFmt numFmtId="212" formatCode="#,###,##0"/>
  </numFmts>
  <fonts count="136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Times New Roman"/>
      <family val="1"/>
    </font>
    <font>
      <sz val="13"/>
      <name val="Times New Roman"/>
      <family val="1"/>
    </font>
    <font>
      <sz val="10"/>
      <name val="Times New Roman"/>
      <family val="1"/>
    </font>
    <font>
      <b/>
      <u/>
      <sz val="14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b/>
      <sz val="13"/>
      <name val="Times New Roman"/>
      <family val="1"/>
    </font>
    <font>
      <sz val="12"/>
      <color theme="1"/>
      <name val="Times New Roman"/>
      <family val="1"/>
    </font>
    <font>
      <b/>
      <i/>
      <sz val="13"/>
      <name val="Times New Roman"/>
      <family val="1"/>
    </font>
    <font>
      <i/>
      <sz val="13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5"/>
      <name val="Times New Roman"/>
      <family val="1"/>
    </font>
    <font>
      <sz val="13"/>
      <color theme="1"/>
      <name val="Times New Roman"/>
      <family val="1"/>
    </font>
    <font>
      <sz val="13"/>
      <color rgb="FFED0000"/>
      <name val="Times New Roman"/>
      <family val="1"/>
    </font>
    <font>
      <sz val="12"/>
      <color rgb="FFED0000"/>
      <name val="Times New Roman"/>
      <family val="1"/>
    </font>
    <font>
      <sz val="11"/>
      <name val="Times New Roman"/>
      <family val="1"/>
    </font>
    <font>
      <b/>
      <i/>
      <sz val="12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sz val="8"/>
      <name val="Times New Roman"/>
      <family val="1"/>
    </font>
    <font>
      <b/>
      <sz val="9"/>
      <name val="Times New Roman"/>
      <family val="1"/>
    </font>
    <font>
      <b/>
      <sz val="11"/>
      <name val="Times New Roman"/>
      <family val="1"/>
    </font>
    <font>
      <b/>
      <sz val="10"/>
      <color rgb="FFFF0000"/>
      <name val="Times New Roman"/>
      <family val="1"/>
    </font>
    <font>
      <b/>
      <sz val="9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8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i/>
      <sz val="12"/>
      <name val="Times New Roman"/>
      <family val="1"/>
    </font>
    <font>
      <sz val="12"/>
      <color indexed="8"/>
      <name val="Times New Roman"/>
      <family val="1"/>
    </font>
    <font>
      <sz val="10"/>
      <color indexed="8"/>
      <name val="Arial"/>
      <family val="2"/>
    </font>
    <font>
      <b/>
      <sz val="12"/>
      <color indexed="10"/>
      <name val="Times New Roman"/>
      <family val="1"/>
    </font>
    <font>
      <b/>
      <sz val="12"/>
      <color theme="1"/>
      <name val="Times New Roman"/>
      <family val="1"/>
    </font>
    <font>
      <b/>
      <i/>
      <sz val="11"/>
      <name val="Times New Roman"/>
      <family val="1"/>
    </font>
    <font>
      <sz val="8"/>
      <color theme="0"/>
      <name val="Times New Roman"/>
      <family val="1"/>
    </font>
    <font>
      <b/>
      <sz val="11"/>
      <color indexed="10"/>
      <name val="Times New Roman"/>
      <family val="1"/>
    </font>
    <font>
      <sz val="12"/>
      <color rgb="FFFF0000"/>
      <name val="Times New Roman"/>
      <family val="1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4"/>
      <name val="Times New Roman"/>
      <family val="1"/>
    </font>
    <font>
      <b/>
      <sz val="11"/>
      <color theme="1"/>
      <name val="Times New Roman"/>
      <family val="1"/>
    </font>
    <font>
      <b/>
      <sz val="12"/>
      <color rgb="FFC00000"/>
      <name val="Times New Roman"/>
      <family val="1"/>
    </font>
    <font>
      <sz val="13"/>
      <color rgb="FFFF0000"/>
      <name val="Times New Roman"/>
      <family val="1"/>
    </font>
    <font>
      <b/>
      <sz val="8"/>
      <color rgb="FFFF0000"/>
      <name val="Times New Roman"/>
      <family val="1"/>
    </font>
    <font>
      <sz val="12"/>
      <color theme="0"/>
      <name val="Times New Roman"/>
      <family val="1"/>
    </font>
    <font>
      <sz val="11"/>
      <color theme="0"/>
      <name val="Times New Roman"/>
      <family val="1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3"/>
      <color rgb="FFFF0000"/>
      <name val="Times New Roman"/>
      <family val="1"/>
    </font>
    <font>
      <sz val="12"/>
      <name val="VNI-Times"/>
    </font>
    <font>
      <sz val="10"/>
      <name val=".VnArial"/>
      <family val="2"/>
    </font>
    <font>
      <sz val="11"/>
      <name val="??"/>
      <charset val="129"/>
    </font>
    <font>
      <sz val="10"/>
      <name val="???"/>
      <charset val="129"/>
    </font>
    <font>
      <sz val="10"/>
      <name val="VNI-Times"/>
    </font>
    <font>
      <sz val="12"/>
      <name val="VNI-Helve"/>
    </font>
    <font>
      <sz val="10"/>
      <name val="Arial"/>
      <family val="2"/>
    </font>
    <font>
      <sz val="12"/>
      <name val="¹ÙÅÁÃ¼"/>
      <charset val="129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charset val="129"/>
    </font>
    <font>
      <sz val="12"/>
      <name val="Arial"/>
      <family val="2"/>
    </font>
    <font>
      <sz val="11"/>
      <name val="µ¸¿ò"/>
      <charset val="129"/>
    </font>
    <font>
      <b/>
      <sz val="10"/>
      <name val="Helv"/>
      <charset val="134"/>
    </font>
    <font>
      <b/>
      <sz val="12"/>
      <color indexed="9"/>
      <name val="Arial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8"/>
      <name val="Arial"/>
      <family val="2"/>
    </font>
    <font>
      <b/>
      <sz val="12"/>
      <name val="Helv"/>
      <charset val="134"/>
    </font>
    <font>
      <b/>
      <sz val="12"/>
      <name val="Arial"/>
      <family val="2"/>
    </font>
    <font>
      <sz val="12"/>
      <name val="NTTimes/Cyrillic"/>
      <charset val="134"/>
    </font>
    <font>
      <b/>
      <sz val="11"/>
      <color indexed="9"/>
      <name val="Calibri"/>
      <family val="2"/>
    </font>
    <font>
      <sz val="10"/>
      <name val="MS Sans Serif"/>
      <charset val="134"/>
    </font>
    <font>
      <b/>
      <sz val="11"/>
      <name val="Helv"/>
      <charset val="134"/>
    </font>
    <font>
      <b/>
      <i/>
      <sz val="16"/>
      <name val="Helv"/>
      <charset val="134"/>
    </font>
    <font>
      <sz val="11"/>
      <color indexed="8"/>
      <name val="Arial"/>
      <family val="2"/>
    </font>
    <font>
      <sz val="12"/>
      <name val=".VnTime"/>
      <family val="2"/>
    </font>
    <font>
      <sz val="11"/>
      <color indexed="52"/>
      <name val="Calibri"/>
      <family val="2"/>
    </font>
    <font>
      <sz val="13"/>
      <name val=".VnTime"/>
      <family val="2"/>
    </font>
    <font>
      <b/>
      <sz val="18"/>
      <color indexed="56"/>
      <name val="Cambria"/>
      <family val="1"/>
    </font>
    <font>
      <b/>
      <sz val="11"/>
      <color indexed="52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b/>
      <sz val="18"/>
      <name val="Arial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10"/>
      <name val="VNtimes new roman"/>
      <family val="2"/>
    </font>
    <font>
      <sz val="11"/>
      <color indexed="20"/>
      <name val="Calibri"/>
      <family val="2"/>
    </font>
    <font>
      <sz val="11"/>
      <name val="NTTimes/Cyrillic"/>
      <charset val="134"/>
    </font>
    <font>
      <sz val="16"/>
      <name val="AngsanaUPC"/>
      <family val="1"/>
      <charset val="222"/>
    </font>
    <font>
      <sz val="10"/>
      <name val=" "/>
      <charset val="136"/>
    </font>
    <font>
      <sz val="14"/>
      <name val="뼻뮝"/>
      <charset val="129"/>
    </font>
    <font>
      <sz val="12"/>
      <name val="바탕체"/>
      <charset val="134"/>
    </font>
    <font>
      <sz val="12"/>
      <name val="뼻뮝"/>
      <charset val="129"/>
    </font>
    <font>
      <sz val="12"/>
      <name val="바탕체"/>
      <charset val="129"/>
    </font>
    <font>
      <sz val="10"/>
      <name val="굴림체"/>
      <charset val="129"/>
    </font>
    <font>
      <b/>
      <sz val="9"/>
      <name val="Arial"/>
      <family val="2"/>
    </font>
    <font>
      <sz val="12"/>
      <name val="新細明體"/>
      <charset val="136"/>
    </font>
    <font>
      <sz val="12"/>
      <name val="Courier"/>
      <charset val="134"/>
    </font>
    <font>
      <u/>
      <sz val="10"/>
      <color indexed="36"/>
      <name val="VNI-Times"/>
    </font>
    <font>
      <sz val="7"/>
      <color theme="1"/>
      <name val="Times New Roman"/>
      <family val="1"/>
    </font>
    <font>
      <b/>
      <sz val="14"/>
      <color rgb="FF00B0F0"/>
      <name val="Times New Roman"/>
      <family val="1"/>
    </font>
    <font>
      <b/>
      <sz val="9"/>
      <name val="Segoe UI"/>
      <family val="2"/>
    </font>
    <font>
      <b/>
      <sz val="9"/>
      <name val="Tahoma"/>
      <family val="2"/>
    </font>
    <font>
      <sz val="9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u/>
      <sz val="11"/>
      <name val="Times New Roman"/>
      <family val="1"/>
    </font>
    <font>
      <b/>
      <sz val="10"/>
      <color indexed="10"/>
      <name val="Times New Roman"/>
      <family val="1"/>
    </font>
    <font>
      <b/>
      <u/>
      <sz val="13"/>
      <name val="Times New Roman"/>
      <family val="1"/>
    </font>
    <font>
      <i/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rgb="FF333333"/>
      <name val="Times New Roman"/>
      <family val="1"/>
    </font>
    <font>
      <sz val="11"/>
      <color rgb="FF000000"/>
      <name val="Calibri"/>
      <family val="2"/>
      <scheme val="minor"/>
    </font>
    <font>
      <b/>
      <sz val="16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indexed="8"/>
      <name val="Calibri"/>
      <family val="2"/>
      <charset val="163"/>
    </font>
    <font>
      <sz val="10"/>
      <color indexed="8"/>
      <name val="Arial"/>
      <charset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name val="Times New Roman"/>
      <family val="1"/>
    </font>
    <font>
      <sz val="10"/>
      <name val="Arial"/>
    </font>
    <font>
      <b/>
      <sz val="12"/>
      <color rgb="FFED0000"/>
      <name val="Times New Roman"/>
      <family val="1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mediumGray">
        <fgColor indexed="9"/>
        <bgColor indexed="13"/>
      </patternFill>
    </fill>
    <fill>
      <patternFill patternType="solid">
        <fgColor indexed="3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86">
    <xf numFmtId="0" fontId="0" fillId="0" borderId="0"/>
    <xf numFmtId="43" fontId="116" fillId="0" borderId="0" applyFont="0" applyFill="0" applyBorder="0" applyAlignment="0" applyProtection="0"/>
    <xf numFmtId="165" fontId="57" fillId="0" borderId="0" applyFont="0" applyFill="0" applyBorder="0" applyAlignment="0" applyProtection="0"/>
    <xf numFmtId="166" fontId="57" fillId="0" borderId="0" applyFont="0" applyFill="0" applyBorder="0" applyAlignment="0" applyProtection="0"/>
    <xf numFmtId="44" fontId="58" fillId="0" borderId="0" applyFont="0" applyFill="0" applyBorder="0" applyAlignment="0" applyProtection="0"/>
    <xf numFmtId="167" fontId="57" fillId="0" borderId="0" applyFont="0" applyFill="0" applyBorder="0" applyAlignment="0" applyProtection="0"/>
    <xf numFmtId="168" fontId="58" fillId="0" borderId="0" applyFont="0" applyFill="0" applyBorder="0" applyAlignment="0" applyProtection="0"/>
    <xf numFmtId="164" fontId="58" fillId="0" borderId="0" applyFont="0" applyFill="0" applyBorder="0" applyAlignment="0" applyProtection="0"/>
    <xf numFmtId="9" fontId="59" fillId="0" borderId="0" applyFont="0" applyFill="0" applyBorder="0" applyAlignment="0" applyProtection="0"/>
    <xf numFmtId="0" fontId="60" fillId="0" borderId="0"/>
    <xf numFmtId="169" fontId="61" fillId="0" borderId="0" applyFont="0" applyFill="0" applyBorder="0" applyAlignment="0" applyProtection="0"/>
    <xf numFmtId="42" fontId="61" fillId="0" borderId="0" applyFont="0" applyFill="0" applyBorder="0" applyAlignment="0" applyProtection="0"/>
    <xf numFmtId="170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71" fontId="57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3" fontId="57" fillId="0" borderId="0" applyFont="0" applyFill="0" applyBorder="0" applyAlignment="0" applyProtection="0"/>
    <xf numFmtId="42" fontId="61" fillId="0" borderId="0" applyFont="0" applyFill="0" applyBorder="0" applyAlignment="0" applyProtection="0"/>
    <xf numFmtId="169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66" fontId="57" fillId="0" borderId="0" applyFont="0" applyFill="0" applyBorder="0" applyAlignment="0" applyProtection="0"/>
    <xf numFmtId="175" fontId="62" fillId="0" borderId="0" applyFont="0" applyFill="0" applyBorder="0" applyAlignment="0" applyProtection="0"/>
    <xf numFmtId="176" fontId="61" fillId="0" borderId="0" applyFont="0" applyFill="0" applyBorder="0" applyAlignment="0" applyProtection="0"/>
    <xf numFmtId="177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1" fontId="57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69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66" fontId="57" fillId="0" borderId="0" applyFont="0" applyFill="0" applyBorder="0" applyAlignment="0" applyProtection="0"/>
    <xf numFmtId="175" fontId="62" fillId="0" borderId="0" applyFont="0" applyFill="0" applyBorder="0" applyAlignment="0" applyProtection="0"/>
    <xf numFmtId="176" fontId="61" fillId="0" borderId="0" applyFont="0" applyFill="0" applyBorder="0" applyAlignment="0" applyProtection="0"/>
    <xf numFmtId="173" fontId="57" fillId="0" borderId="0" applyFont="0" applyFill="0" applyBorder="0" applyAlignment="0" applyProtection="0"/>
    <xf numFmtId="177" fontId="61" fillId="0" borderId="0" applyFont="0" applyFill="0" applyBorder="0" applyAlignment="0" applyProtection="0"/>
    <xf numFmtId="171" fontId="57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3" fontId="57" fillId="0" borderId="0" applyFont="0" applyFill="0" applyBorder="0" applyAlignment="0" applyProtection="0"/>
    <xf numFmtId="170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74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66" fontId="57" fillId="0" borderId="0" applyFont="0" applyFill="0" applyBorder="0" applyAlignment="0" applyProtection="0"/>
    <xf numFmtId="175" fontId="62" fillId="0" borderId="0" applyFont="0" applyFill="0" applyBorder="0" applyAlignment="0" applyProtection="0"/>
    <xf numFmtId="176" fontId="61" fillId="0" borderId="0" applyFont="0" applyFill="0" applyBorder="0" applyAlignment="0" applyProtection="0"/>
    <xf numFmtId="173" fontId="57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2" fontId="61" fillId="0" borderId="0" applyFont="0" applyFill="0" applyBorder="0" applyAlignment="0" applyProtection="0"/>
    <xf numFmtId="170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65" fontId="57" fillId="0" borderId="0" applyFont="0" applyFill="0" applyBorder="0" applyAlignment="0" applyProtection="0"/>
    <xf numFmtId="171" fontId="57" fillId="0" borderId="0" applyFont="0" applyFill="0" applyBorder="0" applyAlignment="0" applyProtection="0"/>
    <xf numFmtId="177" fontId="61" fillId="0" borderId="0" applyFont="0" applyFill="0" applyBorder="0" applyAlignment="0" applyProtection="0"/>
    <xf numFmtId="0" fontId="63" fillId="0" borderId="0"/>
    <xf numFmtId="9" fontId="64" fillId="0" borderId="0" applyFont="0" applyFill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116" fillId="12" borderId="0" applyNumberFormat="0" applyBorder="0" applyAlignment="0" applyProtection="0"/>
    <xf numFmtId="0" fontId="65" fillId="12" borderId="0" applyNumberFormat="0" applyBorder="0" applyAlignment="0" applyProtection="0"/>
    <xf numFmtId="0" fontId="65" fillId="13" borderId="0" applyNumberFormat="0" applyBorder="0" applyAlignment="0" applyProtection="0"/>
    <xf numFmtId="0" fontId="65" fillId="14" borderId="0" applyNumberFormat="0" applyBorder="0" applyAlignment="0" applyProtection="0"/>
    <xf numFmtId="0" fontId="65" fillId="15" borderId="0" applyNumberFormat="0" applyBorder="0" applyAlignment="0" applyProtection="0"/>
    <xf numFmtId="0" fontId="65" fillId="16" borderId="0" applyNumberFormat="0" applyBorder="0" applyAlignment="0" applyProtection="0"/>
    <xf numFmtId="0" fontId="65" fillId="17" borderId="0" applyNumberFormat="0" applyBorder="0" applyAlignment="0" applyProtection="0"/>
    <xf numFmtId="0" fontId="65" fillId="18" borderId="0" applyNumberFormat="0" applyBorder="0" applyAlignment="0" applyProtection="0"/>
    <xf numFmtId="0" fontId="65" fillId="19" borderId="0" applyNumberFormat="0" applyBorder="0" applyAlignment="0" applyProtection="0"/>
    <xf numFmtId="0" fontId="65" fillId="20" borderId="0" applyNumberFormat="0" applyBorder="0" applyAlignment="0" applyProtection="0"/>
    <xf numFmtId="0" fontId="65" fillId="15" borderId="0" applyNumberFormat="0" applyBorder="0" applyAlignment="0" applyProtection="0"/>
    <xf numFmtId="0" fontId="65" fillId="18" borderId="0" applyNumberFormat="0" applyBorder="0" applyAlignment="0" applyProtection="0"/>
    <xf numFmtId="0" fontId="65" fillId="21" borderId="0" applyNumberFormat="0" applyBorder="0" applyAlignment="0" applyProtection="0"/>
    <xf numFmtId="0" fontId="66" fillId="22" borderId="0" applyNumberFormat="0" applyBorder="0" applyAlignment="0" applyProtection="0"/>
    <xf numFmtId="0" fontId="66" fillId="19" borderId="0" applyNumberFormat="0" applyBorder="0" applyAlignment="0" applyProtection="0"/>
    <xf numFmtId="0" fontId="66" fillId="20" borderId="0" applyNumberFormat="0" applyBorder="0" applyAlignment="0" applyProtection="0"/>
    <xf numFmtId="0" fontId="66" fillId="23" borderId="0" applyNumberFormat="0" applyBorder="0" applyAlignment="0" applyProtection="0"/>
    <xf numFmtId="0" fontId="66" fillId="24" borderId="0" applyNumberFormat="0" applyBorder="0" applyAlignment="0" applyProtection="0"/>
    <xf numFmtId="0" fontId="66" fillId="25" borderId="0" applyNumberFormat="0" applyBorder="0" applyAlignment="0" applyProtection="0"/>
    <xf numFmtId="179" fontId="57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4" fillId="0" borderId="0" applyFont="0" applyFill="0" applyBorder="0" applyAlignment="0" applyProtection="0"/>
    <xf numFmtId="180" fontId="63" fillId="0" borderId="0" applyFont="0" applyFill="0" applyBorder="0" applyAlignment="0" applyProtection="0"/>
    <xf numFmtId="0" fontId="67" fillId="0" borderId="0" applyFont="0" applyFill="0" applyBorder="0" applyAlignment="0" applyProtection="0"/>
    <xf numFmtId="181" fontId="57" fillId="0" borderId="0" applyFont="0" applyFill="0" applyBorder="0" applyAlignment="0" applyProtection="0"/>
    <xf numFmtId="0" fontId="67" fillId="0" borderId="0" applyFont="0" applyFill="0" applyBorder="0" applyAlignment="0" applyProtection="0"/>
    <xf numFmtId="182" fontId="63" fillId="0" borderId="0" applyFont="0" applyFill="0" applyBorder="0" applyAlignment="0" applyProtection="0"/>
    <xf numFmtId="0" fontId="67" fillId="0" borderId="0" applyFont="0" applyFill="0" applyBorder="0" applyAlignment="0" applyProtection="0"/>
    <xf numFmtId="170" fontId="57" fillId="0" borderId="0" applyFont="0" applyFill="0" applyBorder="0" applyAlignment="0" applyProtection="0"/>
    <xf numFmtId="0" fontId="63" fillId="0" borderId="0"/>
    <xf numFmtId="0" fontId="68" fillId="26" borderId="19"/>
    <xf numFmtId="0" fontId="67" fillId="0" borderId="0"/>
    <xf numFmtId="0" fontId="69" fillId="0" borderId="0"/>
    <xf numFmtId="0" fontId="67" fillId="0" borderId="0"/>
    <xf numFmtId="0" fontId="70" fillId="0" borderId="0"/>
    <xf numFmtId="183" fontId="61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116" fillId="0" borderId="0" applyFont="0" applyFill="0" applyBorder="0" applyAlignment="0" applyProtection="0"/>
    <xf numFmtId="171" fontId="65" fillId="0" borderId="0" applyFont="0" applyFill="0" applyBorder="0" applyAlignment="0" applyProtection="0"/>
    <xf numFmtId="3" fontId="63" fillId="0" borderId="0" applyFont="0" applyFill="0" applyBorder="0" applyAlignment="0" applyProtection="0"/>
    <xf numFmtId="0" fontId="71" fillId="27" borderId="2">
      <alignment horizontal="center"/>
    </xf>
    <xf numFmtId="184" fontId="63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72" fillId="28" borderId="23" applyNumberFormat="0" applyAlignment="0" applyProtection="0"/>
    <xf numFmtId="0" fontId="73" fillId="17" borderId="24" applyNumberFormat="0" applyAlignment="0" applyProtection="0"/>
    <xf numFmtId="0" fontId="74" fillId="0" borderId="25" applyNumberFormat="0" applyFill="0" applyAlignment="0" applyProtection="0"/>
    <xf numFmtId="0" fontId="75" fillId="0" borderId="26" applyNumberFormat="0" applyFill="0" applyAlignment="0" applyProtection="0"/>
    <xf numFmtId="0" fontId="76" fillId="0" borderId="27" applyNumberFormat="0" applyFill="0" applyAlignment="0" applyProtection="0"/>
    <xf numFmtId="0" fontId="76" fillId="0" borderId="0" applyNumberFormat="0" applyFill="0" applyBorder="0" applyAlignment="0" applyProtection="0"/>
    <xf numFmtId="185" fontId="57" fillId="0" borderId="0" applyFont="0" applyFill="0" applyBorder="0" applyAlignment="0" applyProtection="0"/>
    <xf numFmtId="186" fontId="57" fillId="0" borderId="0" applyFont="0" applyFill="0" applyBorder="0" applyAlignment="0" applyProtection="0"/>
    <xf numFmtId="2" fontId="63" fillId="0" borderId="0" applyFont="0" applyFill="0" applyBorder="0" applyAlignment="0" applyProtection="0"/>
    <xf numFmtId="0" fontId="65" fillId="29" borderId="28" applyNumberFormat="0" applyFont="0" applyAlignment="0" applyProtection="0"/>
    <xf numFmtId="38" fontId="77" fillId="2" borderId="0" applyNumberFormat="0" applyBorder="0" applyAlignment="0" applyProtection="0"/>
    <xf numFmtId="0" fontId="78" fillId="0" borderId="0">
      <alignment horizontal="left"/>
    </xf>
    <xf numFmtId="0" fontId="79" fillId="0" borderId="29" applyNumberFormat="0" applyAlignment="0" applyProtection="0">
      <alignment horizontal="left" vertical="center"/>
    </xf>
    <xf numFmtId="0" fontId="79" fillId="0" borderId="4">
      <alignment horizontal="left" vertical="center"/>
    </xf>
    <xf numFmtId="187" fontId="61" fillId="0" borderId="0">
      <protection locked="0"/>
    </xf>
    <xf numFmtId="187" fontId="61" fillId="0" borderId="0">
      <protection locked="0"/>
    </xf>
    <xf numFmtId="178" fontId="61" fillId="0" borderId="0" applyFont="0" applyFill="0" applyBorder="0" applyAlignment="0" applyProtection="0"/>
    <xf numFmtId="0" fontId="80" fillId="0" borderId="0"/>
    <xf numFmtId="10" fontId="77" fillId="2" borderId="2" applyNumberFormat="0" applyBorder="0" applyAlignment="0" applyProtection="0"/>
    <xf numFmtId="0" fontId="81" fillId="30" borderId="30" applyNumberFormat="0" applyAlignment="0" applyProtection="0"/>
    <xf numFmtId="38" fontId="82" fillId="0" borderId="0" applyFont="0" applyFill="0" applyBorder="0" applyAlignment="0" applyProtection="0"/>
    <xf numFmtId="40" fontId="82" fillId="0" borderId="0" applyFont="0" applyFill="0" applyBorder="0" applyAlignment="0" applyProtection="0"/>
    <xf numFmtId="0" fontId="83" fillId="0" borderId="31"/>
    <xf numFmtId="188" fontId="82" fillId="0" borderId="0" applyFont="0" applyFill="0" applyBorder="0" applyAlignment="0" applyProtection="0"/>
    <xf numFmtId="189" fontId="82" fillId="0" borderId="0" applyFont="0" applyFill="0" applyBorder="0" applyAlignment="0" applyProtection="0"/>
    <xf numFmtId="0" fontId="68" fillId="0" borderId="0" applyNumberFormat="0" applyFont="0" applyFill="0" applyAlignment="0"/>
    <xf numFmtId="0" fontId="66" fillId="31" borderId="0" applyNumberFormat="0" applyBorder="0" applyAlignment="0" applyProtection="0"/>
    <xf numFmtId="0" fontId="66" fillId="32" borderId="0" applyNumberFormat="0" applyBorder="0" applyAlignment="0" applyProtection="0"/>
    <xf numFmtId="0" fontId="66" fillId="33" borderId="0" applyNumberFormat="0" applyBorder="0" applyAlignment="0" applyProtection="0"/>
    <xf numFmtId="0" fontId="66" fillId="23" borderId="0" applyNumberFormat="0" applyBorder="0" applyAlignment="0" applyProtection="0"/>
    <xf numFmtId="0" fontId="66" fillId="24" borderId="0" applyNumberFormat="0" applyBorder="0" applyAlignment="0" applyProtection="0"/>
    <xf numFmtId="0" fontId="66" fillId="34" borderId="0" applyNumberFormat="0" applyBorder="0" applyAlignment="0" applyProtection="0"/>
    <xf numFmtId="190" fontId="84" fillId="0" borderId="0"/>
    <xf numFmtId="0" fontId="63" fillId="0" borderId="0"/>
    <xf numFmtId="0" fontId="63" fillId="0" borderId="0"/>
    <xf numFmtId="0" fontId="37" fillId="0" borderId="0"/>
    <xf numFmtId="0" fontId="63" fillId="0" borderId="0" applyAlignment="0">
      <alignment vertical="top" wrapText="1"/>
      <protection locked="0"/>
    </xf>
    <xf numFmtId="0" fontId="63" fillId="0" borderId="0" applyAlignment="0">
      <alignment vertical="top" wrapText="1"/>
      <protection locked="0"/>
    </xf>
    <xf numFmtId="0" fontId="57" fillId="0" borderId="0"/>
    <xf numFmtId="0" fontId="116" fillId="0" borderId="0"/>
    <xf numFmtId="0" fontId="63" fillId="0" borderId="0" applyAlignment="0">
      <alignment vertical="top" wrapText="1"/>
      <protection locked="0"/>
    </xf>
    <xf numFmtId="0" fontId="63" fillId="0" borderId="0" applyAlignment="0">
      <alignment vertical="top" wrapText="1"/>
      <protection locked="0"/>
    </xf>
    <xf numFmtId="0" fontId="116" fillId="0" borderId="0"/>
    <xf numFmtId="0" fontId="116" fillId="0" borderId="0"/>
    <xf numFmtId="0" fontId="85" fillId="0" borderId="0"/>
    <xf numFmtId="0" fontId="63" fillId="0" borderId="0">
      <alignment vertical="top"/>
      <protection locked="0"/>
    </xf>
    <xf numFmtId="0" fontId="63" fillId="0" borderId="0"/>
    <xf numFmtId="0" fontId="63" fillId="0" borderId="0"/>
    <xf numFmtId="0" fontId="57" fillId="0" borderId="0"/>
    <xf numFmtId="0" fontId="86" fillId="0" borderId="0"/>
    <xf numFmtId="0" fontId="63" fillId="0" borderId="0">
      <protection locked="0"/>
    </xf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87" fillId="0" borderId="32" applyNumberFormat="0" applyFill="0" applyAlignment="0" applyProtection="0"/>
    <xf numFmtId="0" fontId="63" fillId="0" borderId="0" applyFont="0" applyFill="0" applyBorder="0" applyAlignment="0" applyProtection="0"/>
    <xf numFmtId="0" fontId="5" fillId="0" borderId="0"/>
    <xf numFmtId="10" fontId="63" fillId="0" borderId="0" applyFont="0" applyFill="0" applyBorder="0" applyAlignment="0" applyProtection="0"/>
    <xf numFmtId="9" fontId="57" fillId="0" borderId="0" applyFont="0" applyFill="0" applyBorder="0" applyAlignment="0" applyProtection="0"/>
    <xf numFmtId="9" fontId="116" fillId="0" borderId="0" applyFont="0" applyFill="0" applyBorder="0" applyAlignment="0" applyProtection="0"/>
    <xf numFmtId="9" fontId="85" fillId="0" borderId="0" applyFont="0" applyFill="0" applyBorder="0" applyAlignment="0" applyProtection="0"/>
    <xf numFmtId="178" fontId="61" fillId="0" borderId="0" applyFont="0" applyFill="0" applyBorder="0" applyAlignment="0" applyProtection="0"/>
    <xf numFmtId="42" fontId="61" fillId="0" borderId="0" applyFont="0" applyFill="0" applyBorder="0" applyAlignment="0" applyProtection="0"/>
    <xf numFmtId="42" fontId="61" fillId="0" borderId="0" applyFont="0" applyFill="0" applyBorder="0" applyAlignment="0" applyProtection="0"/>
    <xf numFmtId="169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74" fontId="61" fillId="0" borderId="0" applyFont="0" applyFill="0" applyBorder="0" applyAlignment="0" applyProtection="0"/>
    <xf numFmtId="166" fontId="57" fillId="0" borderId="0" applyFont="0" applyFill="0" applyBorder="0" applyAlignment="0" applyProtection="0"/>
    <xf numFmtId="175" fontId="62" fillId="0" borderId="0" applyFont="0" applyFill="0" applyBorder="0" applyAlignment="0" applyProtection="0"/>
    <xf numFmtId="176" fontId="61" fillId="0" borderId="0" applyFont="0" applyFill="0" applyBorder="0" applyAlignment="0" applyProtection="0"/>
    <xf numFmtId="177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0" fontId="83" fillId="0" borderId="0"/>
    <xf numFmtId="191" fontId="88" fillId="0" borderId="3">
      <alignment horizontal="right" vertical="center"/>
    </xf>
    <xf numFmtId="191" fontId="88" fillId="0" borderId="3">
      <alignment horizontal="right" vertical="center"/>
    </xf>
    <xf numFmtId="191" fontId="88" fillId="0" borderId="3">
      <alignment horizontal="right" vertical="center"/>
    </xf>
    <xf numFmtId="191" fontId="88" fillId="0" borderId="3">
      <alignment horizontal="right" vertical="center"/>
    </xf>
    <xf numFmtId="176" fontId="88" fillId="0" borderId="3">
      <alignment horizontal="center"/>
    </xf>
    <xf numFmtId="0" fontId="89" fillId="0" borderId="0" applyNumberFormat="0" applyFill="0" applyBorder="0" applyAlignment="0" applyProtection="0"/>
    <xf numFmtId="0" fontId="90" fillId="28" borderId="24" applyNumberFormat="0" applyAlignment="0" applyProtection="0"/>
    <xf numFmtId="0" fontId="91" fillId="0" borderId="33" applyNumberFormat="0" applyFill="0" applyAlignment="0" applyProtection="0"/>
    <xf numFmtId="0" fontId="92" fillId="14" borderId="0" applyNumberFormat="0" applyBorder="0" applyAlignment="0" applyProtection="0"/>
    <xf numFmtId="0" fontId="93" fillId="35" borderId="0" applyNumberFormat="0" applyBorder="0" applyAlignment="0" applyProtection="0"/>
    <xf numFmtId="0" fontId="94" fillId="0" borderId="0">
      <alignment horizontal="center"/>
    </xf>
    <xf numFmtId="0" fontId="95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192" fontId="88" fillId="0" borderId="0"/>
    <xf numFmtId="193" fontId="88" fillId="0" borderId="2"/>
    <xf numFmtId="0" fontId="97" fillId="0" borderId="0"/>
    <xf numFmtId="0" fontId="97" fillId="0" borderId="0"/>
    <xf numFmtId="182" fontId="57" fillId="0" borderId="0" applyFont="0" applyFill="0" applyBorder="0" applyAlignment="0" applyProtection="0"/>
    <xf numFmtId="194" fontId="57" fillId="0" borderId="0" applyFont="0" applyFill="0" applyBorder="0" applyAlignment="0" applyProtection="0"/>
    <xf numFmtId="0" fontId="98" fillId="13" borderId="0" applyNumberFormat="0" applyBorder="0" applyAlignment="0" applyProtection="0"/>
    <xf numFmtId="0" fontId="99" fillId="0" borderId="0">
      <alignment horizontal="left" wrapText="1"/>
    </xf>
    <xf numFmtId="170" fontId="100" fillId="0" borderId="0" applyFont="0" applyFill="0" applyBorder="0" applyAlignment="0" applyProtection="0"/>
    <xf numFmtId="195" fontId="100" fillId="0" borderId="0" applyFont="0" applyFill="0" applyBorder="0" applyAlignment="0" applyProtection="0"/>
    <xf numFmtId="0" fontId="100" fillId="0" borderId="0"/>
    <xf numFmtId="0" fontId="101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10" fillId="0" borderId="0">
      <alignment vertical="center"/>
    </xf>
    <xf numFmtId="40" fontId="102" fillId="0" borderId="0" applyFont="0" applyFill="0" applyBorder="0" applyAlignment="0" applyProtection="0"/>
    <xf numFmtId="38" fontId="102" fillId="0" borderId="0" applyFont="0" applyFill="0" applyBorder="0" applyAlignment="0" applyProtection="0"/>
    <xf numFmtId="0" fontId="102" fillId="0" borderId="0" applyFont="0" applyFill="0" applyBorder="0" applyAlignment="0" applyProtection="0"/>
    <xf numFmtId="0" fontId="102" fillId="0" borderId="0" applyFont="0" applyFill="0" applyBorder="0" applyAlignment="0" applyProtection="0"/>
    <xf numFmtId="9" fontId="103" fillId="0" borderId="0" applyFont="0" applyFill="0" applyBorder="0" applyAlignment="0" applyProtection="0"/>
    <xf numFmtId="0" fontId="104" fillId="0" borderId="0"/>
    <xf numFmtId="0" fontId="105" fillId="0" borderId="0" applyFont="0" applyFill="0" applyBorder="0" applyAlignment="0" applyProtection="0"/>
    <xf numFmtId="0" fontId="105" fillId="0" borderId="0" applyFont="0" applyFill="0" applyBorder="0" applyAlignment="0" applyProtection="0"/>
    <xf numFmtId="196" fontId="105" fillId="0" borderId="0" applyFont="0" applyFill="0" applyBorder="0" applyAlignment="0" applyProtection="0"/>
    <xf numFmtId="197" fontId="105" fillId="0" borderId="0" applyFont="0" applyFill="0" applyBorder="0" applyAlignment="0" applyProtection="0"/>
    <xf numFmtId="0" fontId="106" fillId="0" borderId="0"/>
    <xf numFmtId="0" fontId="107" fillId="0" borderId="0" applyProtection="0"/>
    <xf numFmtId="173" fontId="108" fillId="0" borderId="0" applyFont="0" applyFill="0" applyBorder="0" applyAlignment="0" applyProtection="0"/>
    <xf numFmtId="40" fontId="109" fillId="0" borderId="0" applyFont="0" applyFill="0" applyBorder="0" applyAlignment="0" applyProtection="0"/>
    <xf numFmtId="168" fontId="58" fillId="0" borderId="0" applyFont="0" applyFill="0" applyBorder="0" applyAlignment="0" applyProtection="0"/>
    <xf numFmtId="164" fontId="58" fillId="0" borderId="0" applyFont="0" applyFill="0" applyBorder="0" applyAlignment="0" applyProtection="0"/>
    <xf numFmtId="0" fontId="58" fillId="0" borderId="0"/>
    <xf numFmtId="170" fontId="108" fillId="0" borderId="0" applyFont="0" applyFill="0" applyBorder="0" applyAlignment="0" applyProtection="0"/>
    <xf numFmtId="6" fontId="109" fillId="0" borderId="0" applyFont="0" applyFill="0" applyBorder="0" applyAlignment="0" applyProtection="0"/>
    <xf numFmtId="195" fontId="108" fillId="0" borderId="0" applyFont="0" applyFill="0" applyBorder="0" applyAlignment="0" applyProtection="0"/>
    <xf numFmtId="195" fontId="58" fillId="0" borderId="0" applyFont="0" applyFill="0" applyBorder="0" applyAlignment="0" applyProtection="0"/>
    <xf numFmtId="170" fontId="58" fillId="0" borderId="0" applyFon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38" fillId="0" borderId="0"/>
    <xf numFmtId="43" fontId="2" fillId="0" borderId="0" applyFont="0" applyFill="0" applyBorder="0" applyAlignment="0" applyProtection="0"/>
    <xf numFmtId="0" fontId="2" fillId="0" borderId="0"/>
    <xf numFmtId="0" fontId="125" fillId="0" borderId="0"/>
    <xf numFmtId="43" fontId="125" fillId="0" borderId="0" applyFont="0" applyFill="0" applyBorder="0" applyAlignment="0" applyProtection="0"/>
    <xf numFmtId="0" fontId="1" fillId="0" borderId="0"/>
    <xf numFmtId="0" fontId="129" fillId="0" borderId="0"/>
    <xf numFmtId="43" fontId="1" fillId="0" borderId="0" applyFont="0" applyFill="0" applyBorder="0" applyAlignment="0" applyProtection="0"/>
    <xf numFmtId="43" fontId="63" fillId="0" borderId="0" applyFont="0" applyFill="0" applyBorder="0" applyAlignment="0" applyProtection="0"/>
    <xf numFmtId="43" fontId="63" fillId="0" borderId="0" applyFont="0" applyFill="0" applyBorder="0" applyAlignment="0" applyProtection="0"/>
    <xf numFmtId="0" fontId="38" fillId="0" borderId="0"/>
    <xf numFmtId="0" fontId="130" fillId="0" borderId="0"/>
    <xf numFmtId="211" fontId="130" fillId="0" borderId="0" applyBorder="0" applyProtection="0"/>
    <xf numFmtId="0" fontId="134" fillId="0" borderId="0"/>
    <xf numFmtId="43" fontId="134" fillId="0" borderId="0" applyFont="0" applyFill="0" applyBorder="0" applyAlignment="0" applyProtection="0"/>
  </cellStyleXfs>
  <cellXfs count="840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vertical="center"/>
    </xf>
    <xf numFmtId="194" fontId="10" fillId="0" borderId="2" xfId="1" applyNumberFormat="1" applyFont="1" applyFill="1" applyBorder="1" applyAlignment="1">
      <alignment horizontal="center" vertical="center" wrapText="1"/>
    </xf>
    <xf numFmtId="194" fontId="10" fillId="0" borderId="2" xfId="1" applyNumberFormat="1" applyFont="1" applyFill="1" applyBorder="1" applyAlignment="1">
      <alignment horizontal="right" vertical="center" wrapText="1"/>
    </xf>
    <xf numFmtId="3" fontId="10" fillId="0" borderId="2" xfId="0" applyNumberFormat="1" applyFont="1" applyBorder="1" applyAlignment="1">
      <alignment horizontal="center" vertical="center"/>
    </xf>
    <xf numFmtId="194" fontId="12" fillId="0" borderId="2" xfId="1" applyNumberFormat="1" applyFon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3" fontId="7" fillId="2" borderId="2" xfId="0" applyNumberFormat="1" applyFont="1" applyFill="1" applyBorder="1" applyAlignment="1">
      <alignment horizontal="right" vertical="center"/>
    </xf>
    <xf numFmtId="0" fontId="11" fillId="0" borderId="0" xfId="0" applyFont="1" applyAlignment="1">
      <alignment horizontal="center"/>
    </xf>
    <xf numFmtId="3" fontId="11" fillId="0" borderId="0" xfId="0" applyNumberFormat="1" applyFont="1" applyAlignment="1">
      <alignment horizontal="right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right" vertical="center"/>
    </xf>
    <xf numFmtId="3" fontId="14" fillId="0" borderId="0" xfId="0" applyNumberFormat="1" applyFont="1"/>
    <xf numFmtId="194" fontId="7" fillId="0" borderId="0" xfId="125" applyNumberFormat="1" applyFont="1" applyAlignment="1"/>
    <xf numFmtId="0" fontId="11" fillId="0" borderId="0" xfId="0" applyFont="1"/>
    <xf numFmtId="0" fontId="8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194" fontId="10" fillId="0" borderId="2" xfId="0" applyNumberFormat="1" applyFont="1" applyBorder="1" applyAlignment="1">
      <alignment horizontal="center" vertical="center" wrapText="1"/>
    </xf>
    <xf numFmtId="3" fontId="15" fillId="2" borderId="2" xfId="0" applyNumberFormat="1" applyFont="1" applyFill="1" applyBorder="1" applyAlignment="1">
      <alignment horizontal="right" vertical="center"/>
    </xf>
    <xf numFmtId="3" fontId="4" fillId="0" borderId="0" xfId="0" applyNumberFormat="1" applyFont="1"/>
    <xf numFmtId="3" fontId="11" fillId="2" borderId="0" xfId="0" applyNumberFormat="1" applyFont="1" applyFill="1" applyAlignment="1">
      <alignment horizontal="right"/>
    </xf>
    <xf numFmtId="3" fontId="11" fillId="0" borderId="0" xfId="0" applyNumberFormat="1" applyFont="1" applyAlignment="1">
      <alignment vertical="center"/>
    </xf>
    <xf numFmtId="0" fontId="4" fillId="3" borderId="0" xfId="0" applyFont="1" applyFill="1"/>
    <xf numFmtId="3" fontId="3" fillId="0" borderId="2" xfId="0" applyNumberFormat="1" applyFont="1" applyBorder="1" applyAlignment="1">
      <alignment horizontal="right" vertical="center"/>
    </xf>
    <xf numFmtId="3" fontId="3" fillId="0" borderId="2" xfId="0" applyNumberFormat="1" applyFont="1" applyBorder="1" applyAlignment="1">
      <alignment horizontal="center" vertical="center"/>
    </xf>
    <xf numFmtId="194" fontId="4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3" fontId="3" fillId="3" borderId="2" xfId="0" applyNumberFormat="1" applyFont="1" applyFill="1" applyBorder="1" applyAlignment="1">
      <alignment horizontal="right"/>
    </xf>
    <xf numFmtId="194" fontId="4" fillId="3" borderId="0" xfId="1" applyNumberFormat="1" applyFont="1" applyFill="1" applyAlignment="1">
      <alignment vertical="center"/>
    </xf>
    <xf numFmtId="43" fontId="4" fillId="3" borderId="0" xfId="1" applyFont="1" applyFill="1"/>
    <xf numFmtId="3" fontId="3" fillId="0" borderId="2" xfId="0" applyNumberFormat="1" applyFont="1" applyBorder="1" applyAlignment="1">
      <alignment horizontal="right"/>
    </xf>
    <xf numFmtId="0" fontId="3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94" fontId="5" fillId="0" borderId="0" xfId="1" applyNumberFormat="1" applyFont="1" applyAlignment="1">
      <alignment vertical="center"/>
    </xf>
    <xf numFmtId="194" fontId="5" fillId="0" borderId="0" xfId="1" applyNumberFormat="1" applyFont="1" applyAlignment="1">
      <alignment horizontal="center" vertical="center"/>
    </xf>
    <xf numFmtId="14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8" fillId="0" borderId="2" xfId="0" applyFont="1" applyBorder="1" applyAlignment="1" applyProtection="1">
      <alignment vertical="center"/>
      <protection locked="0"/>
    </xf>
    <xf numFmtId="0" fontId="18" fillId="0" borderId="2" xfId="0" applyFont="1" applyBorder="1" applyAlignment="1" applyProtection="1">
      <alignment horizontal="center" vertical="center"/>
      <protection locked="0"/>
    </xf>
    <xf numFmtId="3" fontId="10" fillId="0" borderId="2" xfId="0" applyNumberFormat="1" applyFont="1" applyBorder="1" applyAlignment="1">
      <alignment horizontal="right" vertical="center"/>
    </xf>
    <xf numFmtId="3" fontId="10" fillId="2" borderId="2" xfId="0" applyNumberFormat="1" applyFont="1" applyFill="1" applyBorder="1" applyAlignment="1">
      <alignment horizontal="right" vertical="center"/>
    </xf>
    <xf numFmtId="3" fontId="10" fillId="2" borderId="2" xfId="0" applyNumberFormat="1" applyFont="1" applyFill="1" applyBorder="1" applyAlignment="1">
      <alignment horizontal="center" vertical="center"/>
    </xf>
    <xf numFmtId="0" fontId="12" fillId="0" borderId="2" xfId="0" applyFont="1" applyBorder="1" applyAlignment="1" applyProtection="1">
      <alignment vertical="center"/>
      <protection locked="0"/>
    </xf>
    <xf numFmtId="3" fontId="10" fillId="3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 applyProtection="1">
      <alignment vertical="center"/>
      <protection locked="0"/>
    </xf>
    <xf numFmtId="3" fontId="10" fillId="3" borderId="2" xfId="0" applyNumberFormat="1" applyFont="1" applyFill="1" applyBorder="1" applyAlignment="1">
      <alignment horizontal="right" vertical="center"/>
    </xf>
    <xf numFmtId="194" fontId="7" fillId="0" borderId="0" xfId="1" applyNumberFormat="1" applyFont="1" applyAlignment="1">
      <alignment vertical="center"/>
    </xf>
    <xf numFmtId="194" fontId="7" fillId="0" borderId="0" xfId="1" applyNumberFormat="1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3" fontId="10" fillId="2" borderId="0" xfId="0" applyNumberFormat="1" applyFont="1" applyFill="1" applyAlignment="1">
      <alignment horizontal="right" vertical="center"/>
    </xf>
    <xf numFmtId="194" fontId="4" fillId="0" borderId="0" xfId="1" applyNumberFormat="1" applyFont="1" applyFill="1" applyAlignment="1">
      <alignment vertical="center"/>
    </xf>
    <xf numFmtId="0" fontId="12" fillId="3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20" fillId="0" borderId="2" xfId="0" applyFont="1" applyBorder="1" applyAlignment="1">
      <alignment horizontal="left" vertical="center"/>
    </xf>
    <xf numFmtId="0" fontId="19" fillId="0" borderId="8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3" fontId="15" fillId="2" borderId="2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11" fillId="2" borderId="0" xfId="0" applyNumberFormat="1" applyFont="1" applyFill="1" applyAlignment="1">
      <alignment horizontal="right" vertical="center"/>
    </xf>
    <xf numFmtId="3" fontId="11" fillId="2" borderId="0" xfId="0" applyNumberFormat="1" applyFont="1" applyFill="1" applyAlignment="1">
      <alignment horizontal="center" vertical="center"/>
    </xf>
    <xf numFmtId="3" fontId="22" fillId="0" borderId="0" xfId="0" applyNumberFormat="1" applyFont="1" applyAlignment="1">
      <alignment vertical="center"/>
    </xf>
    <xf numFmtId="3" fontId="22" fillId="0" borderId="0" xfId="0" applyNumberFormat="1" applyFont="1" applyAlignment="1">
      <alignment horizontal="center" vertical="center"/>
    </xf>
    <xf numFmtId="3" fontId="15" fillId="0" borderId="0" xfId="0" applyNumberFormat="1" applyFont="1" applyAlignment="1">
      <alignment vertical="center"/>
    </xf>
    <xf numFmtId="3" fontId="15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3" fontId="11" fillId="2" borderId="9" xfId="0" applyNumberFormat="1" applyFont="1" applyFill="1" applyBorder="1" applyAlignment="1">
      <alignment horizontal="right" vertical="center"/>
    </xf>
    <xf numFmtId="3" fontId="11" fillId="2" borderId="2" xfId="0" applyNumberFormat="1" applyFont="1" applyFill="1" applyBorder="1" applyAlignment="1">
      <alignment horizontal="right" vertical="center"/>
    </xf>
    <xf numFmtId="194" fontId="10" fillId="0" borderId="0" xfId="1" applyNumberFormat="1" applyFont="1" applyAlignment="1">
      <alignment vertical="center"/>
    </xf>
    <xf numFmtId="194" fontId="10" fillId="0" borderId="0" xfId="1" applyNumberFormat="1" applyFont="1" applyAlignment="1">
      <alignment horizontal="center" vertical="center"/>
    </xf>
    <xf numFmtId="194" fontId="4" fillId="0" borderId="0" xfId="1" applyNumberFormat="1" applyFont="1" applyAlignment="1">
      <alignment vertical="center"/>
    </xf>
    <xf numFmtId="194" fontId="4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23" fillId="0" borderId="0" xfId="0" applyFont="1"/>
    <xf numFmtId="194" fontId="23" fillId="0" borderId="0" xfId="1" applyNumberFormat="1" applyFont="1"/>
    <xf numFmtId="198" fontId="23" fillId="0" borderId="2" xfId="0" applyNumberFormat="1" applyFont="1" applyBorder="1" applyProtection="1">
      <protection hidden="1"/>
    </xf>
    <xf numFmtId="194" fontId="23" fillId="4" borderId="2" xfId="1" applyNumberFormat="1" applyFont="1" applyFill="1" applyBorder="1" applyAlignment="1" applyProtection="1">
      <alignment horizontal="right"/>
      <protection hidden="1"/>
    </xf>
    <xf numFmtId="0" fontId="23" fillId="0" borderId="0" xfId="0" applyFont="1" applyAlignment="1">
      <alignment horizontal="center"/>
    </xf>
    <xf numFmtId="194" fontId="23" fillId="5" borderId="2" xfId="1" applyNumberFormat="1" applyFont="1" applyFill="1" applyBorder="1" applyAlignment="1" applyProtection="1">
      <alignment horizontal="right"/>
      <protection hidden="1"/>
    </xf>
    <xf numFmtId="198" fontId="23" fillId="3" borderId="2" xfId="0" applyNumberFormat="1" applyFont="1" applyFill="1" applyBorder="1" applyProtection="1">
      <protection hidden="1"/>
    </xf>
    <xf numFmtId="194" fontId="23" fillId="3" borderId="2" xfId="1" applyNumberFormat="1" applyFont="1" applyFill="1" applyBorder="1" applyAlignment="1" applyProtection="1">
      <alignment horizontal="right"/>
      <protection hidden="1"/>
    </xf>
    <xf numFmtId="194" fontId="23" fillId="6" borderId="2" xfId="1" applyNumberFormat="1" applyFont="1" applyFill="1" applyBorder="1" applyAlignment="1" applyProtection="1">
      <alignment horizontal="right"/>
      <protection hidden="1"/>
    </xf>
    <xf numFmtId="194" fontId="23" fillId="7" borderId="2" xfId="1" applyNumberFormat="1" applyFont="1" applyFill="1" applyBorder="1" applyAlignment="1" applyProtection="1">
      <alignment horizontal="right"/>
      <protection hidden="1"/>
    </xf>
    <xf numFmtId="198" fontId="23" fillId="0" borderId="0" xfId="0" applyNumberFormat="1" applyFont="1"/>
    <xf numFmtId="0" fontId="10" fillId="0" borderId="0" xfId="0" applyFont="1"/>
    <xf numFmtId="0" fontId="15" fillId="0" borderId="0" xfId="0" applyFont="1" applyAlignment="1">
      <alignment horizontal="center"/>
    </xf>
    <xf numFmtId="0" fontId="10" fillId="3" borderId="8" xfId="0" applyFont="1" applyFill="1" applyBorder="1" applyAlignment="1">
      <alignment horizontal="center" vertical="center"/>
    </xf>
    <xf numFmtId="0" fontId="10" fillId="0" borderId="8" xfId="0" applyFont="1" applyBorder="1" applyAlignment="1" applyProtection="1">
      <alignment horizontal="left" vertical="center"/>
      <protection locked="0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/>
    <xf numFmtId="194" fontId="10" fillId="0" borderId="0" xfId="1" applyNumberFormat="1" applyFont="1" applyFill="1"/>
    <xf numFmtId="199" fontId="10" fillId="0" borderId="0" xfId="0" applyNumberFormat="1" applyFont="1"/>
    <xf numFmtId="3" fontId="10" fillId="0" borderId="0" xfId="0" applyNumberFormat="1" applyFont="1"/>
    <xf numFmtId="0" fontId="36" fillId="0" borderId="0" xfId="0" applyFont="1" applyAlignment="1">
      <alignment horizontal="center"/>
    </xf>
    <xf numFmtId="0" fontId="10" fillId="0" borderId="19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194" fontId="26" fillId="0" borderId="0" xfId="1" applyNumberFormat="1" applyFont="1"/>
    <xf numFmtId="194" fontId="26" fillId="0" borderId="0" xfId="1" applyNumberFormat="1" applyFont="1" applyAlignment="1">
      <alignment horizontal="center"/>
    </xf>
    <xf numFmtId="194" fontId="24" fillId="0" borderId="1" xfId="1" applyNumberFormat="1" applyFont="1" applyBorder="1" applyAlignment="1">
      <alignment horizontal="center"/>
    </xf>
    <xf numFmtId="194" fontId="48" fillId="0" borderId="6" xfId="1" applyNumberFormat="1" applyFont="1" applyBorder="1" applyAlignment="1">
      <alignment horizontal="center" vertical="center"/>
    </xf>
    <xf numFmtId="194" fontId="48" fillId="0" borderId="7" xfId="1" applyNumberFormat="1" applyFont="1" applyBorder="1" applyAlignment="1">
      <alignment horizontal="center" vertical="center"/>
    </xf>
    <xf numFmtId="194" fontId="48" fillId="0" borderId="2" xfId="1" applyNumberFormat="1" applyFont="1" applyBorder="1" applyAlignment="1">
      <alignment horizontal="center"/>
    </xf>
    <xf numFmtId="194" fontId="26" fillId="0" borderId="2" xfId="1" applyNumberFormat="1" applyFont="1" applyBorder="1"/>
    <xf numFmtId="0" fontId="10" fillId="3" borderId="2" xfId="0" applyFont="1" applyFill="1" applyBorder="1" applyAlignment="1" applyProtection="1">
      <alignment vertical="center"/>
      <protection locked="0"/>
    </xf>
    <xf numFmtId="194" fontId="26" fillId="6" borderId="2" xfId="1" applyNumberFormat="1" applyFont="1" applyFill="1" applyBorder="1"/>
    <xf numFmtId="200" fontId="49" fillId="6" borderId="2" xfId="128" applyNumberFormat="1" applyFont="1" applyFill="1" applyBorder="1" applyAlignment="1" applyProtection="1">
      <alignment vertical="center" shrinkToFit="1"/>
      <protection locked="0"/>
    </xf>
    <xf numFmtId="0" fontId="10" fillId="3" borderId="8" xfId="0" applyFont="1" applyFill="1" applyBorder="1" applyAlignment="1" applyProtection="1">
      <alignment vertical="center"/>
      <protection locked="0"/>
    </xf>
    <xf numFmtId="0" fontId="12" fillId="3" borderId="2" xfId="179" applyFont="1" applyFill="1" applyBorder="1" applyAlignment="1" applyProtection="1">
      <alignment horizontal="left" vertical="center"/>
      <protection locked="0"/>
    </xf>
    <xf numFmtId="0" fontId="19" fillId="0" borderId="2" xfId="0" applyFont="1" applyBorder="1" applyAlignment="1" applyProtection="1">
      <alignment vertical="center"/>
      <protection locked="0"/>
    </xf>
    <xf numFmtId="0" fontId="18" fillId="0" borderId="8" xfId="0" applyFont="1" applyBorder="1" applyAlignment="1" applyProtection="1">
      <alignment vertical="center"/>
      <protection locked="0"/>
    </xf>
    <xf numFmtId="0" fontId="18" fillId="3" borderId="8" xfId="0" applyFont="1" applyFill="1" applyBorder="1" applyAlignment="1" applyProtection="1">
      <alignment vertical="center"/>
      <protection locked="0"/>
    </xf>
    <xf numFmtId="1" fontId="20" fillId="3" borderId="18" xfId="0" applyNumberFormat="1" applyFont="1" applyFill="1" applyBorder="1" applyAlignment="1" applyProtection="1">
      <alignment vertical="center"/>
      <protection locked="0"/>
    </xf>
    <xf numFmtId="1" fontId="3" fillId="3" borderId="2" xfId="0" applyNumberFormat="1" applyFont="1" applyFill="1" applyBorder="1" applyAlignment="1" applyProtection="1">
      <alignment vertical="center"/>
      <protection locked="0"/>
    </xf>
    <xf numFmtId="1" fontId="20" fillId="3" borderId="10" xfId="0" applyNumberFormat="1" applyFont="1" applyFill="1" applyBorder="1" applyAlignment="1" applyProtection="1">
      <alignment vertical="center"/>
      <protection locked="0"/>
    </xf>
    <xf numFmtId="1" fontId="20" fillId="3" borderId="8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/>
    <xf numFmtId="0" fontId="10" fillId="6" borderId="0" xfId="0" applyFont="1" applyFill="1"/>
    <xf numFmtId="0" fontId="10" fillId="6" borderId="0" xfId="0" applyFont="1" applyFill="1" applyProtection="1">
      <protection locked="0"/>
    </xf>
    <xf numFmtId="0" fontId="10" fillId="3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3" borderId="0" xfId="0" applyFont="1" applyFill="1"/>
    <xf numFmtId="0" fontId="10" fillId="9" borderId="0" xfId="0" applyFont="1" applyFill="1"/>
    <xf numFmtId="3" fontId="10" fillId="3" borderId="0" xfId="0" applyNumberFormat="1" applyFont="1" applyFill="1"/>
    <xf numFmtId="3" fontId="10" fillId="3" borderId="0" xfId="1" applyNumberFormat="1" applyFont="1" applyFill="1"/>
    <xf numFmtId="0" fontId="32" fillId="3" borderId="0" xfId="0" applyFont="1" applyFill="1" applyAlignment="1">
      <alignment horizontal="center"/>
    </xf>
    <xf numFmtId="0" fontId="15" fillId="3" borderId="0" xfId="0" applyFont="1" applyFill="1" applyAlignment="1">
      <alignment vertical="center"/>
    </xf>
    <xf numFmtId="0" fontId="10" fillId="3" borderId="19" xfId="0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99" fontId="21" fillId="0" borderId="8" xfId="0" applyNumberFormat="1" applyFont="1" applyBorder="1" applyAlignment="1">
      <alignment horizontal="right" vertical="center"/>
    </xf>
    <xf numFmtId="199" fontId="21" fillId="3" borderId="8" xfId="0" applyNumberFormat="1" applyFont="1" applyFill="1" applyBorder="1" applyAlignment="1">
      <alignment horizontal="right" vertical="center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199" fontId="10" fillId="6" borderId="2" xfId="0" applyNumberFormat="1" applyFont="1" applyFill="1" applyBorder="1" applyAlignment="1" applyProtection="1">
      <alignment horizontal="right"/>
      <protection locked="0"/>
    </xf>
    <xf numFmtId="199" fontId="29" fillId="6" borderId="2" xfId="0" applyNumberFormat="1" applyFont="1" applyFill="1" applyBorder="1" applyAlignment="1" applyProtection="1">
      <alignment horizontal="right" vertical="center"/>
      <protection locked="0"/>
    </xf>
    <xf numFmtId="0" fontId="18" fillId="0" borderId="19" xfId="0" applyFont="1" applyBorder="1" applyAlignment="1" applyProtection="1">
      <alignment vertical="center"/>
      <protection locked="0"/>
    </xf>
    <xf numFmtId="14" fontId="10" fillId="3" borderId="19" xfId="0" applyNumberFormat="1" applyFont="1" applyFill="1" applyBorder="1" applyAlignment="1" applyProtection="1">
      <alignment horizontal="center" vertical="center"/>
      <protection locked="0"/>
    </xf>
    <xf numFmtId="199" fontId="10" fillId="3" borderId="19" xfId="0" applyNumberFormat="1" applyFont="1" applyFill="1" applyBorder="1" applyAlignment="1">
      <alignment horizontal="right"/>
    </xf>
    <xf numFmtId="199" fontId="21" fillId="3" borderId="19" xfId="0" applyNumberFormat="1" applyFont="1" applyFill="1" applyBorder="1" applyAlignment="1" applyProtection="1">
      <alignment horizontal="right" vertical="center"/>
      <protection locked="0"/>
    </xf>
    <xf numFmtId="199" fontId="21" fillId="3" borderId="19" xfId="0" applyNumberFormat="1" applyFont="1" applyFill="1" applyBorder="1" applyAlignment="1">
      <alignment horizontal="right" vertical="center"/>
    </xf>
    <xf numFmtId="14" fontId="10" fillId="3" borderId="8" xfId="0" applyNumberFormat="1" applyFont="1" applyFill="1" applyBorder="1" applyAlignment="1" applyProtection="1">
      <alignment horizontal="center" vertical="center"/>
      <protection locked="0"/>
    </xf>
    <xf numFmtId="199" fontId="10" fillId="3" borderId="8" xfId="0" applyNumberFormat="1" applyFont="1" applyFill="1" applyBorder="1" applyAlignment="1">
      <alignment horizontal="right"/>
    </xf>
    <xf numFmtId="199" fontId="21" fillId="3" borderId="8" xfId="0" applyNumberFormat="1" applyFont="1" applyFill="1" applyBorder="1" applyAlignment="1" applyProtection="1">
      <alignment horizontal="right" vertical="center"/>
      <protection locked="0"/>
    </xf>
    <xf numFmtId="0" fontId="50" fillId="6" borderId="8" xfId="0" applyFont="1" applyFill="1" applyBorder="1" applyAlignment="1" applyProtection="1">
      <alignment vertical="center"/>
      <protection locked="0"/>
    </xf>
    <xf numFmtId="202" fontId="10" fillId="3" borderId="8" xfId="0" applyNumberFormat="1" applyFont="1" applyFill="1" applyBorder="1" applyAlignment="1" applyProtection="1">
      <alignment horizontal="center" vertical="center"/>
      <protection locked="0"/>
    </xf>
    <xf numFmtId="0" fontId="10" fillId="3" borderId="8" xfId="0" applyFont="1" applyFill="1" applyBorder="1" applyAlignment="1" applyProtection="1">
      <alignment horizontal="center" vertical="center"/>
      <protection locked="0"/>
    </xf>
    <xf numFmtId="202" fontId="10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9" fillId="6" borderId="8" xfId="0" applyFont="1" applyFill="1" applyBorder="1" applyAlignment="1" applyProtection="1">
      <alignment vertical="center"/>
      <protection locked="0"/>
    </xf>
    <xf numFmtId="0" fontId="19" fillId="0" borderId="8" xfId="0" applyFont="1" applyBorder="1" applyAlignment="1" applyProtection="1">
      <alignment vertical="center"/>
      <protection locked="0"/>
    </xf>
    <xf numFmtId="0" fontId="20" fillId="0" borderId="8" xfId="0" applyFont="1" applyBorder="1" applyAlignment="1" applyProtection="1">
      <alignment vertical="center"/>
      <protection locked="0"/>
    </xf>
    <xf numFmtId="0" fontId="19" fillId="3" borderId="8" xfId="0" applyFont="1" applyFill="1" applyBorder="1" applyAlignment="1" applyProtection="1">
      <alignment vertical="center"/>
      <protection locked="0"/>
    </xf>
    <xf numFmtId="0" fontId="50" fillId="0" borderId="8" xfId="0" applyFont="1" applyBorder="1" applyAlignment="1" applyProtection="1">
      <alignment vertical="center"/>
      <protection locked="0"/>
    </xf>
    <xf numFmtId="199" fontId="10" fillId="3" borderId="8" xfId="0" applyNumberFormat="1" applyFont="1" applyFill="1" applyBorder="1" applyAlignment="1">
      <alignment horizontal="right" vertical="center"/>
    </xf>
    <xf numFmtId="0" fontId="29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3" fontId="21" fillId="3" borderId="19" xfId="0" applyNumberFormat="1" applyFont="1" applyFill="1" applyBorder="1" applyAlignment="1" applyProtection="1">
      <alignment horizontal="right" vertical="center"/>
      <protection locked="0"/>
    </xf>
    <xf numFmtId="199" fontId="21" fillId="3" borderId="19" xfId="0" applyNumberFormat="1" applyFont="1" applyFill="1" applyBorder="1" applyAlignment="1" applyProtection="1">
      <alignment horizontal="right" vertical="center"/>
      <protection hidden="1"/>
    </xf>
    <xf numFmtId="199" fontId="21" fillId="0" borderId="19" xfId="0" applyNumberFormat="1" applyFont="1" applyBorder="1" applyAlignment="1" applyProtection="1">
      <alignment horizontal="right" vertical="center"/>
      <protection hidden="1"/>
    </xf>
    <xf numFmtId="199" fontId="21" fillId="0" borderId="19" xfId="0" applyNumberFormat="1" applyFont="1" applyBorder="1" applyAlignment="1" applyProtection="1">
      <alignment horizontal="right" vertical="center"/>
      <protection locked="0"/>
    </xf>
    <xf numFmtId="199" fontId="21" fillId="0" borderId="8" xfId="0" applyNumberFormat="1" applyFont="1" applyBorder="1" applyAlignment="1" applyProtection="1">
      <alignment horizontal="right" vertical="center"/>
      <protection hidden="1"/>
    </xf>
    <xf numFmtId="199" fontId="21" fillId="0" borderId="8" xfId="0" applyNumberFormat="1" applyFont="1" applyBorder="1" applyAlignment="1" applyProtection="1">
      <alignment horizontal="right" vertical="center"/>
      <protection locked="0"/>
    </xf>
    <xf numFmtId="199" fontId="21" fillId="0" borderId="10" xfId="0" applyNumberFormat="1" applyFont="1" applyBorder="1" applyAlignment="1" applyProtection="1">
      <alignment horizontal="right" vertical="center"/>
      <protection locked="0"/>
    </xf>
    <xf numFmtId="3" fontId="21" fillId="3" borderId="8" xfId="0" applyNumberFormat="1" applyFont="1" applyFill="1" applyBorder="1" applyAlignment="1" applyProtection="1">
      <alignment horizontal="right" vertical="center"/>
      <protection locked="0"/>
    </xf>
    <xf numFmtId="199" fontId="21" fillId="3" borderId="8" xfId="0" applyNumberFormat="1" applyFont="1" applyFill="1" applyBorder="1" applyAlignment="1" applyProtection="1">
      <alignment horizontal="right" vertical="center"/>
      <protection hidden="1"/>
    </xf>
    <xf numFmtId="199" fontId="21" fillId="6" borderId="8" xfId="0" applyNumberFormat="1" applyFont="1" applyFill="1" applyBorder="1" applyAlignment="1" applyProtection="1">
      <alignment horizontal="right" vertical="center"/>
      <protection hidden="1"/>
    </xf>
    <xf numFmtId="199" fontId="21" fillId="3" borderId="9" xfId="0" applyNumberFormat="1" applyFont="1" applyFill="1" applyBorder="1" applyAlignment="1" applyProtection="1">
      <alignment horizontal="right" vertical="center"/>
      <protection hidden="1"/>
    </xf>
    <xf numFmtId="199" fontId="21" fillId="0" borderId="19" xfId="0" applyNumberFormat="1" applyFont="1" applyBorder="1" applyAlignment="1">
      <alignment horizontal="right" vertical="center"/>
    </xf>
    <xf numFmtId="0" fontId="15" fillId="3" borderId="2" xfId="0" applyFont="1" applyFill="1" applyBorder="1" applyAlignment="1">
      <alignment horizontal="center" vertical="center" wrapText="1"/>
    </xf>
    <xf numFmtId="0" fontId="15" fillId="3" borderId="6" xfId="0" applyFont="1" applyFill="1" applyBorder="1" applyAlignment="1">
      <alignment horizontal="center" vertical="center" wrapText="1"/>
    </xf>
    <xf numFmtId="199" fontId="26" fillId="3" borderId="8" xfId="0" applyNumberFormat="1" applyFont="1" applyFill="1" applyBorder="1" applyAlignment="1" applyProtection="1">
      <alignment horizontal="right" vertical="center"/>
      <protection hidden="1"/>
    </xf>
    <xf numFmtId="0" fontId="15" fillId="3" borderId="0" xfId="0" applyFont="1" applyFill="1" applyAlignment="1">
      <alignment horizontal="center"/>
    </xf>
    <xf numFmtId="194" fontId="33" fillId="3" borderId="0" xfId="1" applyNumberFormat="1" applyFont="1" applyFill="1"/>
    <xf numFmtId="194" fontId="33" fillId="3" borderId="0" xfId="1" applyNumberFormat="1" applyFont="1" applyFill="1" applyAlignment="1">
      <alignment vertical="center" wrapText="1"/>
    </xf>
    <xf numFmtId="3" fontId="10" fillId="3" borderId="8" xfId="0" applyNumberFormat="1" applyFont="1" applyFill="1" applyBorder="1"/>
    <xf numFmtId="199" fontId="10" fillId="0" borderId="8" xfId="0" applyNumberFormat="1" applyFont="1" applyBorder="1" applyAlignment="1" applyProtection="1">
      <alignment horizontal="right" vertical="center"/>
      <protection locked="0"/>
    </xf>
    <xf numFmtId="199" fontId="21" fillId="6" borderId="19" xfId="0" applyNumberFormat="1" applyFont="1" applyFill="1" applyBorder="1" applyAlignment="1" applyProtection="1">
      <alignment horizontal="right" vertical="center"/>
      <protection hidden="1"/>
    </xf>
    <xf numFmtId="3" fontId="15" fillId="3" borderId="0" xfId="0" applyNumberFormat="1" applyFont="1" applyFill="1"/>
    <xf numFmtId="194" fontId="15" fillId="3" borderId="0" xfId="1" applyNumberFormat="1" applyFont="1" applyFill="1" applyBorder="1"/>
    <xf numFmtId="194" fontId="15" fillId="3" borderId="0" xfId="1" applyNumberFormat="1" applyFont="1" applyFill="1"/>
    <xf numFmtId="3" fontId="10" fillId="3" borderId="8" xfId="0" applyNumberFormat="1" applyFont="1" applyFill="1" applyBorder="1" applyAlignment="1">
      <alignment horizontal="right" vertical="center"/>
    </xf>
    <xf numFmtId="0" fontId="10" fillId="3" borderId="8" xfId="0" applyFont="1" applyFill="1" applyBorder="1" applyAlignment="1">
      <alignment horizontal="right" vertical="center"/>
    </xf>
    <xf numFmtId="0" fontId="10" fillId="0" borderId="10" xfId="0" applyFont="1" applyBorder="1" applyAlignment="1">
      <alignment horizontal="right" vertical="center"/>
    </xf>
    <xf numFmtId="0" fontId="10" fillId="0" borderId="8" xfId="0" applyFont="1" applyBorder="1" applyAlignment="1" applyProtection="1">
      <alignment horizontal="right" vertical="center"/>
      <protection locked="0"/>
    </xf>
    <xf numFmtId="3" fontId="10" fillId="6" borderId="2" xfId="0" applyNumberFormat="1" applyFont="1" applyFill="1" applyBorder="1" applyAlignment="1" applyProtection="1">
      <alignment horizontal="right" vertical="center"/>
      <protection locked="0"/>
    </xf>
    <xf numFmtId="200" fontId="10" fillId="6" borderId="14" xfId="128" applyNumberFormat="1" applyFont="1" applyFill="1" applyBorder="1" applyAlignment="1" applyProtection="1">
      <alignment horizontal="right" vertical="center" shrinkToFit="1"/>
      <protection locked="0"/>
    </xf>
    <xf numFmtId="0" fontId="10" fillId="6" borderId="14" xfId="0" applyFont="1" applyFill="1" applyBorder="1" applyAlignment="1" applyProtection="1">
      <alignment horizontal="right" vertical="center"/>
      <protection locked="0"/>
    </xf>
    <xf numFmtId="0" fontId="10" fillId="10" borderId="19" xfId="0" applyFont="1" applyFill="1" applyBorder="1" applyAlignment="1" applyProtection="1">
      <alignment horizontal="right" vertical="center"/>
      <protection locked="0"/>
    </xf>
    <xf numFmtId="3" fontId="10" fillId="4" borderId="19" xfId="0" applyNumberFormat="1" applyFont="1" applyFill="1" applyBorder="1" applyAlignment="1" applyProtection="1">
      <alignment horizontal="right" vertical="center"/>
      <protection locked="0"/>
    </xf>
    <xf numFmtId="0" fontId="10" fillId="10" borderId="8" xfId="0" applyFont="1" applyFill="1" applyBorder="1" applyAlignment="1" applyProtection="1">
      <alignment horizontal="right" vertical="center"/>
      <protection locked="0"/>
    </xf>
    <xf numFmtId="3" fontId="10" fillId="4" borderId="8" xfId="0" applyNumberFormat="1" applyFont="1" applyFill="1" applyBorder="1" applyAlignment="1" applyProtection="1">
      <alignment horizontal="right" vertical="center"/>
      <protection locked="0"/>
    </xf>
    <xf numFmtId="200" fontId="10" fillId="3" borderId="22" xfId="128" applyNumberFormat="1" applyFont="1" applyFill="1" applyBorder="1" applyAlignment="1" applyProtection="1">
      <alignment horizontal="right" vertical="center" shrinkToFit="1"/>
    </xf>
    <xf numFmtId="3" fontId="15" fillId="3" borderId="0" xfId="1" applyNumberFormat="1" applyFont="1" applyFill="1"/>
    <xf numFmtId="194" fontId="10" fillId="3" borderId="0" xfId="1" applyNumberFormat="1" applyFont="1" applyFill="1"/>
    <xf numFmtId="3" fontId="10" fillId="6" borderId="0" xfId="0" applyNumberFormat="1" applyFont="1" applyFill="1"/>
    <xf numFmtId="3" fontId="10" fillId="6" borderId="0" xfId="1" applyNumberFormat="1" applyFont="1" applyFill="1"/>
    <xf numFmtId="194" fontId="10" fillId="0" borderId="0" xfId="0" applyNumberFormat="1" applyFont="1"/>
    <xf numFmtId="0" fontId="44" fillId="6" borderId="0" xfId="0" applyFont="1" applyFill="1" applyProtection="1">
      <protection locked="0"/>
    </xf>
    <xf numFmtId="0" fontId="10" fillId="3" borderId="0" xfId="0" applyFont="1" applyFill="1" applyAlignment="1" applyProtection="1">
      <alignment horizontal="center"/>
      <protection locked="0"/>
    </xf>
    <xf numFmtId="199" fontId="10" fillId="3" borderId="0" xfId="0" applyNumberFormat="1" applyFont="1" applyFill="1" applyProtection="1">
      <protection locked="0"/>
    </xf>
    <xf numFmtId="1" fontId="10" fillId="3" borderId="8" xfId="0" applyNumberFormat="1" applyFont="1" applyFill="1" applyBorder="1" applyAlignment="1" applyProtection="1">
      <alignment vertical="center"/>
      <protection locked="0"/>
    </xf>
    <xf numFmtId="200" fontId="44" fillId="3" borderId="8" xfId="128" applyNumberFormat="1" applyFont="1" applyFill="1" applyBorder="1" applyAlignment="1" applyProtection="1">
      <alignment horizontal="right" vertical="center" shrinkToFit="1"/>
      <protection locked="0"/>
    </xf>
    <xf numFmtId="1" fontId="20" fillId="3" borderId="9" xfId="0" applyNumberFormat="1" applyFont="1" applyFill="1" applyBorder="1" applyAlignment="1" applyProtection="1">
      <alignment vertical="center"/>
      <protection locked="0"/>
    </xf>
    <xf numFmtId="14" fontId="10" fillId="3" borderId="9" xfId="0" applyNumberFormat="1" applyFont="1" applyFill="1" applyBorder="1" applyAlignment="1" applyProtection="1">
      <alignment horizontal="center" vertical="center"/>
      <protection locked="0"/>
    </xf>
    <xf numFmtId="199" fontId="10" fillId="3" borderId="9" xfId="0" applyNumberFormat="1" applyFont="1" applyFill="1" applyBorder="1" applyAlignment="1">
      <alignment horizontal="right"/>
    </xf>
    <xf numFmtId="199" fontId="21" fillId="3" borderId="9" xfId="0" applyNumberFormat="1" applyFont="1" applyFill="1" applyBorder="1" applyAlignment="1" applyProtection="1">
      <alignment horizontal="right" vertical="center"/>
      <protection locked="0"/>
    </xf>
    <xf numFmtId="199" fontId="21" fillId="3" borderId="9" xfId="0" applyNumberFormat="1" applyFont="1" applyFill="1" applyBorder="1" applyAlignment="1">
      <alignment horizontal="right" vertical="center"/>
    </xf>
    <xf numFmtId="14" fontId="10" fillId="6" borderId="2" xfId="0" applyNumberFormat="1" applyFont="1" applyFill="1" applyBorder="1" applyAlignment="1" applyProtection="1">
      <alignment horizontal="center" vertical="center"/>
      <protection locked="0"/>
    </xf>
    <xf numFmtId="199" fontId="10" fillId="6" borderId="2" xfId="0" applyNumberFormat="1" applyFont="1" applyFill="1" applyBorder="1" applyAlignment="1">
      <alignment horizontal="right"/>
    </xf>
    <xf numFmtId="199" fontId="21" fillId="6" borderId="2" xfId="0" applyNumberFormat="1" applyFont="1" applyFill="1" applyBorder="1" applyAlignment="1" applyProtection="1">
      <alignment horizontal="right" vertical="center"/>
      <protection locked="0"/>
    </xf>
    <xf numFmtId="0" fontId="46" fillId="0" borderId="0" xfId="0" applyFont="1" applyAlignment="1">
      <alignment horizontal="center" vertical="center"/>
    </xf>
    <xf numFmtId="199" fontId="31" fillId="0" borderId="0" xfId="0" applyNumberFormat="1" applyFont="1" applyAlignment="1">
      <alignment horizontal="right" vertical="center"/>
    </xf>
    <xf numFmtId="199" fontId="51" fillId="0" borderId="0" xfId="0" applyNumberFormat="1" applyFont="1" applyAlignment="1">
      <alignment horizontal="right" vertical="center"/>
    </xf>
    <xf numFmtId="199" fontId="21" fillId="0" borderId="9" xfId="0" applyNumberFormat="1" applyFont="1" applyBorder="1" applyAlignment="1">
      <alignment horizontal="right" vertical="center"/>
    </xf>
    <xf numFmtId="199" fontId="21" fillId="9" borderId="2" xfId="0" applyNumberFormat="1" applyFont="1" applyFill="1" applyBorder="1" applyAlignment="1" applyProtection="1">
      <alignment horizontal="right" vertical="center"/>
      <protection locked="0"/>
    </xf>
    <xf numFmtId="199" fontId="21" fillId="3" borderId="0" xfId="0" applyNumberFormat="1" applyFont="1" applyFill="1" applyAlignment="1" applyProtection="1">
      <alignment horizontal="right" vertical="center"/>
      <protection locked="0"/>
    </xf>
    <xf numFmtId="0" fontId="7" fillId="0" borderId="0" xfId="177" applyFont="1" applyProtection="1">
      <protection locked="0"/>
    </xf>
    <xf numFmtId="0" fontId="47" fillId="0" borderId="0" xfId="0" applyFont="1" applyAlignment="1">
      <alignment horizontal="center"/>
    </xf>
    <xf numFmtId="3" fontId="10" fillId="3" borderId="9" xfId="0" applyNumberFormat="1" applyFont="1" applyFill="1" applyBorder="1"/>
    <xf numFmtId="199" fontId="26" fillId="6" borderId="2" xfId="0" applyNumberFormat="1" applyFont="1" applyFill="1" applyBorder="1" applyAlignment="1" applyProtection="1">
      <alignment horizontal="right" vertical="center"/>
      <protection locked="0"/>
    </xf>
    <xf numFmtId="199" fontId="21" fillId="0" borderId="0" xfId="0" applyNumberFormat="1" applyFont="1" applyAlignment="1" applyProtection="1">
      <alignment horizontal="right" vertical="center"/>
      <protection hidden="1"/>
    </xf>
    <xf numFmtId="199" fontId="30" fillId="3" borderId="0" xfId="0" applyNumberFormat="1" applyFont="1" applyFill="1" applyAlignment="1">
      <alignment horizontal="right" vertical="center"/>
    </xf>
    <xf numFmtId="0" fontId="47" fillId="0" borderId="0" xfId="0" applyFont="1"/>
    <xf numFmtId="0" fontId="36" fillId="3" borderId="0" xfId="0" applyFont="1" applyFill="1" applyAlignment="1">
      <alignment horizontal="center"/>
    </xf>
    <xf numFmtId="0" fontId="52" fillId="3" borderId="8" xfId="0" applyFont="1" applyFill="1" applyBorder="1" applyAlignment="1">
      <alignment horizontal="right" vertical="center"/>
    </xf>
    <xf numFmtId="199" fontId="52" fillId="3" borderId="22" xfId="0" applyNumberFormat="1" applyFont="1" applyFill="1" applyBorder="1" applyAlignment="1">
      <alignment horizontal="right" vertical="center"/>
    </xf>
    <xf numFmtId="199" fontId="52" fillId="3" borderId="8" xfId="0" applyNumberFormat="1" applyFont="1" applyFill="1" applyBorder="1" applyAlignment="1">
      <alignment horizontal="right" vertical="center"/>
    </xf>
    <xf numFmtId="199" fontId="10" fillId="3" borderId="22" xfId="0" applyNumberFormat="1" applyFont="1" applyFill="1" applyBorder="1" applyAlignment="1">
      <alignment horizontal="right" vertical="center"/>
    </xf>
    <xf numFmtId="199" fontId="10" fillId="3" borderId="0" xfId="0" applyNumberFormat="1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199" fontId="10" fillId="6" borderId="0" xfId="0" applyNumberFormat="1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0" fontId="10" fillId="10" borderId="9" xfId="0" applyFont="1" applyFill="1" applyBorder="1" applyAlignment="1" applyProtection="1">
      <alignment horizontal="right" vertical="center"/>
      <protection locked="0"/>
    </xf>
    <xf numFmtId="3" fontId="10" fillId="4" borderId="9" xfId="0" applyNumberFormat="1" applyFont="1" applyFill="1" applyBorder="1" applyAlignment="1" applyProtection="1">
      <alignment horizontal="right" vertical="center"/>
      <protection locked="0"/>
    </xf>
    <xf numFmtId="199" fontId="10" fillId="6" borderId="0" xfId="0" applyNumberFormat="1" applyFont="1" applyFill="1" applyProtection="1">
      <protection locked="0"/>
    </xf>
    <xf numFmtId="194" fontId="10" fillId="6" borderId="0" xfId="1" applyNumberFormat="1" applyFont="1" applyFill="1" applyAlignment="1">
      <alignment vertical="center"/>
    </xf>
    <xf numFmtId="194" fontId="3" fillId="3" borderId="0" xfId="1" applyNumberFormat="1" applyFont="1" applyFill="1"/>
    <xf numFmtId="0" fontId="12" fillId="0" borderId="0" xfId="0" applyFont="1" applyAlignment="1">
      <alignment horizontal="left" vertical="center"/>
    </xf>
    <xf numFmtId="3" fontId="10" fillId="0" borderId="0" xfId="1" applyNumberFormat="1" applyFont="1" applyFill="1"/>
    <xf numFmtId="0" fontId="3" fillId="9" borderId="0" xfId="0" applyFont="1" applyFill="1"/>
    <xf numFmtId="0" fontId="7" fillId="9" borderId="0" xfId="177" applyFont="1" applyFill="1" applyProtection="1">
      <protection locked="0"/>
    </xf>
    <xf numFmtId="0" fontId="29" fillId="6" borderId="0" xfId="0" applyFont="1" applyFill="1" applyAlignment="1">
      <alignment vertical="center" wrapText="1"/>
    </xf>
    <xf numFmtId="199" fontId="21" fillId="10" borderId="8" xfId="0" applyNumberFormat="1" applyFont="1" applyFill="1" applyBorder="1" applyAlignment="1" applyProtection="1">
      <alignment horizontal="right" vertical="center"/>
      <protection locked="0"/>
    </xf>
    <xf numFmtId="49" fontId="21" fillId="0" borderId="8" xfId="0" quotePrefix="1" applyNumberFormat="1" applyFont="1" applyBorder="1" applyAlignment="1">
      <alignment horizontal="center" vertical="center"/>
    </xf>
    <xf numFmtId="49" fontId="21" fillId="0" borderId="8" xfId="184" quotePrefix="1" applyNumberFormat="1" applyFont="1" applyBorder="1" applyAlignment="1">
      <alignment horizontal="center" vertical="center"/>
    </xf>
    <xf numFmtId="49" fontId="21" fillId="0" borderId="9" xfId="0" quotePrefix="1" applyNumberFormat="1" applyFont="1" applyBorder="1" applyAlignment="1">
      <alignment horizontal="center" vertical="center"/>
    </xf>
    <xf numFmtId="194" fontId="4" fillId="0" borderId="2" xfId="1" quotePrefix="1" applyNumberFormat="1" applyFont="1" applyFill="1" applyBorder="1" applyAlignment="1">
      <alignment horizontal="center" vertical="center" wrapText="1"/>
    </xf>
    <xf numFmtId="0" fontId="4" fillId="0" borderId="2" xfId="0" quotePrefix="1" applyFont="1" applyBorder="1" applyAlignment="1">
      <alignment horizontal="center" vertical="center"/>
    </xf>
    <xf numFmtId="0" fontId="117" fillId="4" borderId="40" xfId="0" applyFont="1" applyFill="1" applyBorder="1" applyAlignment="1" applyProtection="1">
      <alignment horizontal="center" vertical="center" wrapText="1"/>
      <protection locked="0"/>
    </xf>
    <xf numFmtId="0" fontId="118" fillId="4" borderId="40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199" fontId="10" fillId="0" borderId="19" xfId="0" applyNumberFormat="1" applyFont="1" applyBorder="1" applyAlignment="1" applyProtection="1">
      <alignment horizontal="right" vertical="center"/>
      <protection locked="0"/>
    </xf>
    <xf numFmtId="199" fontId="10" fillId="0" borderId="9" xfId="0" applyNumberFormat="1" applyFont="1" applyBorder="1" applyAlignment="1" applyProtection="1">
      <alignment horizontal="right" vertical="center"/>
      <protection locked="0"/>
    </xf>
    <xf numFmtId="199" fontId="30" fillId="0" borderId="0" xfId="0" applyNumberFormat="1" applyFont="1" applyAlignment="1">
      <alignment horizontal="right" vertical="center"/>
    </xf>
    <xf numFmtId="0" fontId="54" fillId="3" borderId="0" xfId="0" applyFont="1" applyFill="1"/>
    <xf numFmtId="0" fontId="16" fillId="3" borderId="0" xfId="0" applyFont="1" applyFill="1" applyAlignment="1">
      <alignment horizontal="center"/>
    </xf>
    <xf numFmtId="0" fontId="55" fillId="3" borderId="0" xfId="0" applyFont="1" applyFill="1"/>
    <xf numFmtId="0" fontId="9" fillId="3" borderId="34" xfId="0" applyFont="1" applyFill="1" applyBorder="1" applyAlignment="1">
      <alignment horizontal="center" vertical="center" wrapText="1"/>
    </xf>
    <xf numFmtId="3" fontId="9" fillId="3" borderId="7" xfId="0" applyNumberFormat="1" applyFont="1" applyFill="1" applyBorder="1" applyAlignment="1">
      <alignment horizontal="center" vertical="center" wrapText="1"/>
    </xf>
    <xf numFmtId="0" fontId="15" fillId="3" borderId="41" xfId="0" applyFont="1" applyFill="1" applyBorder="1" applyAlignment="1">
      <alignment horizontal="center" vertical="center"/>
    </xf>
    <xf numFmtId="0" fontId="15" fillId="3" borderId="44" xfId="0" applyFont="1" applyFill="1" applyBorder="1" applyAlignment="1">
      <alignment horizontal="left" vertical="center"/>
    </xf>
    <xf numFmtId="0" fontId="10" fillId="3" borderId="41" xfId="0" applyFont="1" applyFill="1" applyBorder="1" applyAlignment="1">
      <alignment horizontal="left" vertical="center"/>
    </xf>
    <xf numFmtId="4" fontId="10" fillId="3" borderId="41" xfId="0" applyNumberFormat="1" applyFont="1" applyFill="1" applyBorder="1" applyAlignment="1">
      <alignment horizontal="center" vertical="center"/>
    </xf>
    <xf numFmtId="3" fontId="10" fillId="3" borderId="41" xfId="0" applyNumberFormat="1" applyFont="1" applyFill="1" applyBorder="1" applyAlignment="1">
      <alignment horizontal="right" vertical="center"/>
    </xf>
    <xf numFmtId="9" fontId="54" fillId="3" borderId="0" xfId="0" applyNumberFormat="1" applyFont="1" applyFill="1"/>
    <xf numFmtId="0" fontId="10" fillId="3" borderId="8" xfId="0" quotePrefix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left" vertical="center"/>
    </xf>
    <xf numFmtId="204" fontId="10" fillId="3" borderId="8" xfId="0" quotePrefix="1" applyNumberFormat="1" applyFont="1" applyFill="1" applyBorder="1" applyAlignment="1">
      <alignment horizontal="left" vertical="center"/>
    </xf>
    <xf numFmtId="4" fontId="10" fillId="3" borderId="8" xfId="0" quotePrefix="1" applyNumberFormat="1" applyFont="1" applyFill="1" applyBorder="1" applyAlignment="1">
      <alignment horizontal="center" vertical="center"/>
    </xf>
    <xf numFmtId="4" fontId="10" fillId="3" borderId="8" xfId="0" applyNumberFormat="1" applyFont="1" applyFill="1" applyBorder="1" applyAlignment="1">
      <alignment horizontal="center" vertical="center"/>
    </xf>
    <xf numFmtId="0" fontId="15" fillId="3" borderId="8" xfId="0" quotePrefix="1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left" vertical="center"/>
    </xf>
    <xf numFmtId="3" fontId="10" fillId="3" borderId="8" xfId="0" quotePrefix="1" applyNumberFormat="1" applyFont="1" applyFill="1" applyBorder="1" applyAlignment="1">
      <alignment horizontal="left" vertical="center"/>
    </xf>
    <xf numFmtId="3" fontId="10" fillId="3" borderId="8" xfId="0" quotePrefix="1" applyNumberFormat="1" applyFont="1" applyFill="1" applyBorder="1" applyAlignment="1">
      <alignment horizontal="right" vertical="center"/>
    </xf>
    <xf numFmtId="0" fontId="10" fillId="3" borderId="8" xfId="0" applyFont="1" applyFill="1" applyBorder="1"/>
    <xf numFmtId="0" fontId="10" fillId="3" borderId="8" xfId="0" applyFont="1" applyFill="1" applyBorder="1" applyAlignment="1">
      <alignment horizontal="left"/>
    </xf>
    <xf numFmtId="4" fontId="10" fillId="3" borderId="8" xfId="0" applyNumberFormat="1" applyFont="1" applyFill="1" applyBorder="1"/>
    <xf numFmtId="209" fontId="10" fillId="3" borderId="8" xfId="0" quotePrefix="1" applyNumberFormat="1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left" vertical="center"/>
    </xf>
    <xf numFmtId="3" fontId="10" fillId="3" borderId="18" xfId="0" quotePrefix="1" applyNumberFormat="1" applyFont="1" applyFill="1" applyBorder="1" applyAlignment="1">
      <alignment horizontal="right" vertical="center"/>
    </xf>
    <xf numFmtId="0" fontId="10" fillId="3" borderId="18" xfId="0" applyFont="1" applyFill="1" applyBorder="1" applyAlignment="1">
      <alignment horizontal="left" vertical="center"/>
    </xf>
    <xf numFmtId="207" fontId="10" fillId="3" borderId="18" xfId="0" quotePrefix="1" applyNumberFormat="1" applyFont="1" applyFill="1" applyBorder="1" applyAlignment="1">
      <alignment horizontal="left" vertical="center"/>
    </xf>
    <xf numFmtId="0" fontId="10" fillId="3" borderId="42" xfId="179" applyFont="1" applyFill="1" applyBorder="1" applyAlignment="1">
      <alignment vertical="center"/>
    </xf>
    <xf numFmtId="14" fontId="10" fillId="3" borderId="8" xfId="0" quotePrefix="1" applyNumberFormat="1" applyFont="1" applyFill="1" applyBorder="1" applyAlignment="1">
      <alignment horizontal="left" vertical="center"/>
    </xf>
    <xf numFmtId="0" fontId="5" fillId="3" borderId="9" xfId="0" quotePrefix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14" fontId="5" fillId="3" borderId="9" xfId="0" quotePrefix="1" applyNumberFormat="1" applyFont="1" applyFill="1" applyBorder="1" applyAlignment="1">
      <alignment horizontal="center" vertical="center"/>
    </xf>
    <xf numFmtId="209" fontId="5" fillId="3" borderId="9" xfId="0" quotePrefix="1" applyNumberFormat="1" applyFont="1" applyFill="1" applyBorder="1" applyAlignment="1">
      <alignment horizontal="center" vertical="center"/>
    </xf>
    <xf numFmtId="3" fontId="5" fillId="3" borderId="9" xfId="0" quotePrefix="1" applyNumberFormat="1" applyFont="1" applyFill="1" applyBorder="1" applyAlignment="1">
      <alignment horizontal="center" vertical="center"/>
    </xf>
    <xf numFmtId="199" fontId="31" fillId="9" borderId="0" xfId="0" applyNumberFormat="1" applyFont="1" applyFill="1" applyAlignment="1">
      <alignment horizontal="center" vertical="center"/>
    </xf>
    <xf numFmtId="0" fontId="48" fillId="0" borderId="0" xfId="184" applyFont="1" applyAlignment="1">
      <alignment vertical="center"/>
    </xf>
    <xf numFmtId="3" fontId="35" fillId="0" borderId="0" xfId="184" applyNumberFormat="1" applyFont="1" applyAlignment="1">
      <alignment vertical="center"/>
    </xf>
    <xf numFmtId="0" fontId="48" fillId="0" borderId="0" xfId="184" applyFont="1" applyAlignment="1">
      <alignment horizontal="center" vertical="center"/>
    </xf>
    <xf numFmtId="0" fontId="123" fillId="0" borderId="0" xfId="184" applyFont="1" applyAlignment="1">
      <alignment vertical="center"/>
    </xf>
    <xf numFmtId="3" fontId="48" fillId="0" borderId="0" xfId="184" applyNumberFormat="1" applyFont="1" applyAlignment="1">
      <alignment vertical="center"/>
    </xf>
    <xf numFmtId="194" fontId="48" fillId="0" borderId="0" xfId="184" applyNumberFormat="1" applyFont="1" applyAlignment="1">
      <alignment horizontal="center" vertical="center"/>
    </xf>
    <xf numFmtId="194" fontId="48" fillId="0" borderId="0" xfId="184" applyNumberFormat="1" applyFont="1" applyAlignment="1">
      <alignment vertical="center"/>
    </xf>
    <xf numFmtId="3" fontId="48" fillId="0" borderId="0" xfId="184" applyNumberFormat="1" applyFont="1" applyAlignment="1">
      <alignment horizontal="center" vertical="center"/>
    </xf>
    <xf numFmtId="199" fontId="10" fillId="0" borderId="41" xfId="0" applyNumberFormat="1" applyFont="1" applyBorder="1"/>
    <xf numFmtId="200" fontId="10" fillId="3" borderId="45" xfId="128" applyNumberFormat="1" applyFont="1" applyFill="1" applyBorder="1" applyAlignment="1" applyProtection="1">
      <alignment horizontal="right" vertical="center" shrinkToFit="1"/>
    </xf>
    <xf numFmtId="0" fontId="10" fillId="3" borderId="19" xfId="0" applyFont="1" applyFill="1" applyBorder="1" applyAlignment="1">
      <alignment horizontal="right" vertical="center"/>
    </xf>
    <xf numFmtId="199" fontId="21" fillId="11" borderId="8" xfId="0" applyNumberFormat="1" applyFont="1" applyFill="1" applyBorder="1" applyAlignment="1" applyProtection="1">
      <alignment horizontal="right" vertical="center"/>
      <protection hidden="1"/>
    </xf>
    <xf numFmtId="199" fontId="21" fillId="11" borderId="19" xfId="0" applyNumberFormat="1" applyFont="1" applyFill="1" applyBorder="1" applyAlignment="1" applyProtection="1">
      <alignment horizontal="right" vertical="center"/>
      <protection hidden="1"/>
    </xf>
    <xf numFmtId="3" fontId="10" fillId="11" borderId="0" xfId="0" applyNumberFormat="1" applyFont="1" applyFill="1"/>
    <xf numFmtId="3" fontId="10" fillId="11" borderId="0" xfId="1" applyNumberFormat="1" applyFont="1" applyFill="1"/>
    <xf numFmtId="14" fontId="10" fillId="11" borderId="19" xfId="0" applyNumberFormat="1" applyFont="1" applyFill="1" applyBorder="1" applyAlignment="1" applyProtection="1">
      <alignment horizontal="center" vertical="center"/>
      <protection locked="0"/>
    </xf>
    <xf numFmtId="199" fontId="10" fillId="11" borderId="19" xfId="0" applyNumberFormat="1" applyFont="1" applyFill="1" applyBorder="1" applyAlignment="1">
      <alignment horizontal="right"/>
    </xf>
    <xf numFmtId="199" fontId="21" fillId="11" borderId="19" xfId="0" applyNumberFormat="1" applyFont="1" applyFill="1" applyBorder="1" applyAlignment="1">
      <alignment horizontal="right" vertical="center"/>
    </xf>
    <xf numFmtId="199" fontId="21" fillId="11" borderId="10" xfId="0" applyNumberFormat="1" applyFont="1" applyFill="1" applyBorder="1" applyAlignment="1" applyProtection="1">
      <alignment horizontal="right" vertical="center"/>
      <protection locked="0"/>
    </xf>
    <xf numFmtId="199" fontId="21" fillId="11" borderId="10" xfId="0" applyNumberFormat="1" applyFont="1" applyFill="1" applyBorder="1" applyAlignment="1">
      <alignment horizontal="right" vertical="center"/>
    </xf>
    <xf numFmtId="200" fontId="49" fillId="6" borderId="40" xfId="128" applyNumberFormat="1" applyFont="1" applyFill="1" applyBorder="1" applyAlignment="1" applyProtection="1">
      <alignment vertical="center" shrinkToFit="1"/>
      <protection locked="0"/>
    </xf>
    <xf numFmtId="1" fontId="20" fillId="6" borderId="40" xfId="0" applyNumberFormat="1" applyFont="1" applyFill="1" applyBorder="1" applyAlignment="1" applyProtection="1">
      <alignment vertical="center"/>
      <protection locked="0"/>
    </xf>
    <xf numFmtId="194" fontId="33" fillId="6" borderId="0" xfId="1" applyNumberFormat="1" applyFont="1" applyFill="1"/>
    <xf numFmtId="0" fontId="15" fillId="6" borderId="0" xfId="0" applyFont="1" applyFill="1" applyAlignment="1">
      <alignment vertical="center"/>
    </xf>
    <xf numFmtId="0" fontId="15" fillId="6" borderId="0" xfId="0" applyFont="1" applyFill="1" applyAlignment="1">
      <alignment horizontal="center" vertical="center"/>
    </xf>
    <xf numFmtId="0" fontId="15" fillId="6" borderId="0" xfId="0" applyFont="1" applyFill="1" applyAlignment="1">
      <alignment vertical="center" wrapText="1"/>
    </xf>
    <xf numFmtId="194" fontId="33" fillId="6" borderId="0" xfId="1" applyNumberFormat="1" applyFont="1" applyFill="1" applyBorder="1" applyAlignment="1">
      <alignment vertical="center" wrapText="1"/>
    </xf>
    <xf numFmtId="1" fontId="20" fillId="0" borderId="8" xfId="0" applyNumberFormat="1" applyFont="1" applyBorder="1" applyAlignment="1" applyProtection="1">
      <alignment vertical="center"/>
      <protection locked="0"/>
    </xf>
    <xf numFmtId="14" fontId="10" fillId="0" borderId="8" xfId="0" applyNumberFormat="1" applyFont="1" applyBorder="1" applyAlignment="1" applyProtection="1">
      <alignment horizontal="center" vertical="center"/>
      <protection locked="0"/>
    </xf>
    <xf numFmtId="199" fontId="10" fillId="0" borderId="8" xfId="0" applyNumberFormat="1" applyFont="1" applyBorder="1" applyAlignment="1">
      <alignment horizontal="right"/>
    </xf>
    <xf numFmtId="199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199" fontId="10" fillId="0" borderId="0" xfId="0" applyNumberFormat="1" applyFont="1" applyProtection="1">
      <protection locked="0"/>
    </xf>
    <xf numFmtId="0" fontId="32" fillId="6" borderId="0" xfId="0" applyFont="1" applyFill="1" applyAlignment="1">
      <alignment horizontal="center"/>
    </xf>
    <xf numFmtId="199" fontId="34" fillId="6" borderId="19" xfId="0" applyNumberFormat="1" applyFont="1" applyFill="1" applyBorder="1" applyAlignment="1" applyProtection="1">
      <alignment horizontal="right" vertical="center"/>
      <protection hidden="1"/>
    </xf>
    <xf numFmtId="3" fontId="10" fillId="0" borderId="8" xfId="0" applyNumberFormat="1" applyFont="1" applyBorder="1" applyAlignment="1" applyProtection="1">
      <alignment horizontal="right" vertical="center"/>
      <protection locked="0"/>
    </xf>
    <xf numFmtId="199" fontId="44" fillId="3" borderId="0" xfId="0" applyNumberFormat="1" applyFont="1" applyFill="1" applyProtection="1">
      <protection locked="0"/>
    </xf>
    <xf numFmtId="3" fontId="15" fillId="0" borderId="0" xfId="0" applyNumberFormat="1" applyFont="1"/>
    <xf numFmtId="3" fontId="15" fillId="0" borderId="0" xfId="1" applyNumberFormat="1" applyFont="1" applyFill="1"/>
    <xf numFmtId="0" fontId="8" fillId="0" borderId="0" xfId="0" applyFont="1" applyProtection="1">
      <protection locked="0"/>
    </xf>
    <xf numFmtId="194" fontId="33" fillId="0" borderId="0" xfId="1" applyNumberFormat="1" applyFont="1" applyFill="1" applyBorder="1" applyAlignment="1">
      <alignment vertical="center" wrapText="1"/>
    </xf>
    <xf numFmtId="194" fontId="33" fillId="0" borderId="0" xfId="1" applyNumberFormat="1" applyFont="1" applyFill="1" applyAlignment="1">
      <alignment vertical="center" wrapText="1"/>
    </xf>
    <xf numFmtId="0" fontId="15" fillId="0" borderId="0" xfId="0" applyFont="1" applyAlignment="1">
      <alignment vertical="center" wrapText="1"/>
    </xf>
    <xf numFmtId="194" fontId="33" fillId="0" borderId="0" xfId="1" applyNumberFormat="1" applyFont="1" applyFill="1" applyBorder="1" applyAlignment="1" applyProtection="1">
      <alignment vertical="center" wrapText="1"/>
      <protection locked="0"/>
    </xf>
    <xf numFmtId="194" fontId="33" fillId="0" borderId="0" xfId="1" applyNumberFormat="1" applyFont="1" applyFill="1" applyAlignment="1" applyProtection="1">
      <alignment vertical="center" wrapText="1"/>
      <protection locked="0"/>
    </xf>
    <xf numFmtId="194" fontId="15" fillId="0" borderId="0" xfId="1" applyNumberFormat="1" applyFont="1" applyFill="1"/>
    <xf numFmtId="199" fontId="47" fillId="0" borderId="0" xfId="0" applyNumberFormat="1" applyFont="1"/>
    <xf numFmtId="0" fontId="10" fillId="10" borderId="0" xfId="0" applyFont="1" applyFill="1"/>
    <xf numFmtId="0" fontId="15" fillId="10" borderId="0" xfId="0" applyFont="1" applyFill="1" applyAlignment="1">
      <alignment horizontal="center" vertical="center"/>
    </xf>
    <xf numFmtId="199" fontId="21" fillId="10" borderId="19" xfId="0" applyNumberFormat="1" applyFont="1" applyFill="1" applyBorder="1" applyAlignment="1" applyProtection="1">
      <alignment horizontal="right" vertical="center"/>
      <protection locked="0"/>
    </xf>
    <xf numFmtId="200" fontId="34" fillId="10" borderId="8" xfId="128" applyNumberFormat="1" applyFont="1" applyFill="1" applyBorder="1" applyAlignment="1" applyProtection="1">
      <alignment horizontal="right" vertical="center" shrinkToFit="1"/>
      <protection locked="0"/>
    </xf>
    <xf numFmtId="199" fontId="21" fillId="10" borderId="9" xfId="0" applyNumberFormat="1" applyFont="1" applyFill="1" applyBorder="1" applyAlignment="1" applyProtection="1">
      <alignment horizontal="right" vertical="center"/>
      <protection locked="0"/>
    </xf>
    <xf numFmtId="199" fontId="21" fillId="10" borderId="2" xfId="0" applyNumberFormat="1" applyFont="1" applyFill="1" applyBorder="1" applyAlignment="1" applyProtection="1">
      <alignment horizontal="right" vertical="center"/>
      <protection locked="0"/>
    </xf>
    <xf numFmtId="199" fontId="31" fillId="10" borderId="0" xfId="0" applyNumberFormat="1" applyFont="1" applyFill="1" applyAlignment="1">
      <alignment horizontal="right" vertical="center"/>
    </xf>
    <xf numFmtId="199" fontId="21" fillId="10" borderId="8" xfId="0" applyNumberFormat="1" applyFont="1" applyFill="1" applyBorder="1" applyAlignment="1" applyProtection="1">
      <alignment horizontal="right" vertical="center"/>
      <protection hidden="1"/>
    </xf>
    <xf numFmtId="199" fontId="21" fillId="10" borderId="0" xfId="0" applyNumberFormat="1" applyFont="1" applyFill="1" applyAlignment="1" applyProtection="1">
      <alignment horizontal="right" vertical="center"/>
      <protection locked="0"/>
    </xf>
    <xf numFmtId="0" fontId="7" fillId="10" borderId="0" xfId="177" applyFont="1" applyFill="1" applyProtection="1">
      <protection locked="0"/>
    </xf>
    <xf numFmtId="0" fontId="15" fillId="10" borderId="0" xfId="0" applyFont="1" applyFill="1" applyAlignment="1">
      <alignment vertical="center" wrapText="1"/>
    </xf>
    <xf numFmtId="199" fontId="21" fillId="0" borderId="2" xfId="0" applyNumberFormat="1" applyFont="1" applyBorder="1" applyAlignment="1" applyProtection="1">
      <alignment horizontal="right" vertical="center"/>
      <protection locked="0"/>
    </xf>
    <xf numFmtId="0" fontId="29" fillId="3" borderId="4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7" borderId="6" xfId="0" applyFont="1" applyFill="1" applyBorder="1" applyAlignment="1">
      <alignment horizontal="center" vertical="center" wrapText="1"/>
    </xf>
    <xf numFmtId="0" fontId="28" fillId="0" borderId="11" xfId="0" applyFont="1" applyBorder="1" applyAlignment="1">
      <alignment horizontal="center" vertical="center" wrapText="1"/>
    </xf>
    <xf numFmtId="199" fontId="21" fillId="0" borderId="0" xfId="0" applyNumberFormat="1" applyFont="1" applyAlignment="1" applyProtection="1">
      <alignment horizontal="right" vertical="center"/>
      <protection locked="0"/>
    </xf>
    <xf numFmtId="199" fontId="56" fillId="0" borderId="0" xfId="0" applyNumberFormat="1" applyFont="1" applyAlignment="1" applyProtection="1">
      <alignment horizontal="right" vertical="center"/>
      <protection locked="0"/>
    </xf>
    <xf numFmtId="0" fontId="10" fillId="0" borderId="0" xfId="0" applyFont="1" applyAlignment="1">
      <alignment horizontal="center" vertical="center"/>
    </xf>
    <xf numFmtId="199" fontId="15" fillId="0" borderId="0" xfId="0" applyNumberFormat="1" applyFont="1"/>
    <xf numFmtId="194" fontId="15" fillId="0" borderId="0" xfId="0" applyNumberFormat="1" applyFont="1"/>
    <xf numFmtId="194" fontId="8" fillId="0" borderId="0" xfId="0" applyNumberFormat="1" applyFont="1" applyProtection="1">
      <protection locked="0"/>
    </xf>
    <xf numFmtId="0" fontId="15" fillId="0" borderId="6" xfId="0" applyFont="1" applyBorder="1" applyAlignment="1">
      <alignment horizontal="center" vertical="center"/>
    </xf>
    <xf numFmtId="194" fontId="29" fillId="0" borderId="13" xfId="1" applyNumberFormat="1" applyFont="1" applyFill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0" fillId="0" borderId="2" xfId="0" applyFont="1" applyBorder="1"/>
    <xf numFmtId="3" fontId="21" fillId="0" borderId="10" xfId="0" applyNumberFormat="1" applyFont="1" applyBorder="1" applyAlignment="1" applyProtection="1">
      <alignment horizontal="right" vertical="center"/>
      <protection locked="0"/>
    </xf>
    <xf numFmtId="199" fontId="21" fillId="0" borderId="41" xfId="0" applyNumberFormat="1" applyFont="1" applyBorder="1" applyAlignment="1" applyProtection="1">
      <alignment horizontal="right" vertical="center"/>
      <protection locked="0"/>
    </xf>
    <xf numFmtId="0" fontId="10" fillId="0" borderId="19" xfId="0" applyFont="1" applyBorder="1" applyAlignment="1" applyProtection="1">
      <alignment horizontal="right" vertical="center"/>
      <protection locked="0"/>
    </xf>
    <xf numFmtId="3" fontId="10" fillId="0" borderId="19" xfId="0" applyNumberFormat="1" applyFont="1" applyBorder="1" applyAlignment="1" applyProtection="1">
      <alignment horizontal="right" vertical="center"/>
      <protection locked="0"/>
    </xf>
    <xf numFmtId="200" fontId="10" fillId="0" borderId="21" xfId="128" applyNumberFormat="1" applyFont="1" applyFill="1" applyBorder="1" applyAlignment="1" applyProtection="1">
      <alignment horizontal="right" vertical="center" shrinkToFit="1"/>
    </xf>
    <xf numFmtId="0" fontId="15" fillId="6" borderId="2" xfId="0" applyFont="1" applyFill="1" applyBorder="1" applyAlignment="1">
      <alignment horizontal="center" vertical="center" wrapText="1"/>
    </xf>
    <xf numFmtId="0" fontId="15" fillId="6" borderId="6" xfId="0" applyFont="1" applyFill="1" applyBorder="1" applyAlignment="1">
      <alignment horizontal="center" vertical="center" wrapText="1"/>
    </xf>
    <xf numFmtId="199" fontId="10" fillId="7" borderId="0" xfId="0" applyNumberFormat="1" applyFont="1" applyFill="1"/>
    <xf numFmtId="0" fontId="127" fillId="0" borderId="0" xfId="274" applyFont="1"/>
    <xf numFmtId="0" fontId="128" fillId="0" borderId="7" xfId="274" applyFont="1" applyBorder="1" applyAlignment="1">
      <alignment horizontal="center" vertical="center"/>
    </xf>
    <xf numFmtId="0" fontId="128" fillId="0" borderId="20" xfId="274" applyFont="1" applyBorder="1" applyAlignment="1">
      <alignment horizontal="center" vertical="center"/>
    </xf>
    <xf numFmtId="49" fontId="128" fillId="0" borderId="20" xfId="274" applyNumberFormat="1" applyFont="1" applyBorder="1" applyAlignment="1">
      <alignment horizontal="center" vertical="center"/>
    </xf>
    <xf numFmtId="194" fontId="128" fillId="0" borderId="20" xfId="275" applyNumberFormat="1" applyFont="1" applyBorder="1" applyAlignment="1">
      <alignment horizontal="center" vertical="center"/>
    </xf>
    <xf numFmtId="0" fontId="127" fillId="0" borderId="0" xfId="274" applyFont="1" applyAlignment="1">
      <alignment vertical="center"/>
    </xf>
    <xf numFmtId="0" fontId="127" fillId="0" borderId="7" xfId="274" applyFont="1" applyBorder="1" applyAlignment="1">
      <alignment horizontal="center"/>
    </xf>
    <xf numFmtId="14" fontId="127" fillId="0" borderId="20" xfId="274" applyNumberFormat="1" applyFont="1" applyBorder="1" applyAlignment="1">
      <alignment horizontal="center"/>
    </xf>
    <xf numFmtId="49" fontId="127" fillId="0" borderId="20" xfId="274" applyNumberFormat="1" applyFont="1" applyBorder="1"/>
    <xf numFmtId="0" fontId="127" fillId="0" borderId="20" xfId="274" applyFont="1" applyBorder="1"/>
    <xf numFmtId="0" fontId="127" fillId="0" borderId="20" xfId="274" applyFont="1" applyBorder="1" applyAlignment="1">
      <alignment horizontal="center"/>
    </xf>
    <xf numFmtId="194" fontId="127" fillId="0" borderId="20" xfId="275" applyNumberFormat="1" applyFont="1" applyBorder="1"/>
    <xf numFmtId="194" fontId="128" fillId="0" borderId="20" xfId="275" applyNumberFormat="1" applyFont="1" applyBorder="1" applyAlignment="1">
      <alignment vertical="center"/>
    </xf>
    <xf numFmtId="0" fontId="127" fillId="0" borderId="20" xfId="274" applyFont="1" applyBorder="1" applyAlignment="1">
      <alignment horizontal="center" vertical="center"/>
    </xf>
    <xf numFmtId="0" fontId="127" fillId="0" borderId="0" xfId="274" applyFont="1" applyAlignment="1">
      <alignment horizontal="center"/>
    </xf>
    <xf numFmtId="49" fontId="127" fillId="0" borderId="0" xfId="274" applyNumberFormat="1" applyFont="1"/>
    <xf numFmtId="194" fontId="127" fillId="0" borderId="0" xfId="275" applyNumberFormat="1" applyFont="1"/>
    <xf numFmtId="0" fontId="127" fillId="0" borderId="40" xfId="274" applyFont="1" applyBorder="1" applyAlignment="1">
      <alignment horizontal="center"/>
    </xf>
    <xf numFmtId="0" fontId="10" fillId="0" borderId="0" xfId="276" applyFont="1"/>
    <xf numFmtId="0" fontId="121" fillId="0" borderId="0" xfId="277" applyFont="1" applyAlignment="1">
      <alignment vertical="center"/>
    </xf>
    <xf numFmtId="0" fontId="121" fillId="0" borderId="0" xfId="277" applyFont="1" applyAlignment="1">
      <alignment horizontal="center" vertical="center"/>
    </xf>
    <xf numFmtId="194" fontId="121" fillId="0" borderId="0" xfId="277" applyNumberFormat="1" applyFont="1" applyAlignment="1">
      <alignment horizontal="left" vertical="center"/>
    </xf>
    <xf numFmtId="194" fontId="11" fillId="0" borderId="0" xfId="277" applyNumberFormat="1" applyFont="1" applyAlignment="1">
      <alignment vertical="center"/>
    </xf>
    <xf numFmtId="0" fontId="11" fillId="0" borderId="0" xfId="277" applyFont="1" applyAlignment="1">
      <alignment vertical="center"/>
    </xf>
    <xf numFmtId="194" fontId="56" fillId="0" borderId="0" xfId="278" applyNumberFormat="1" applyFont="1" applyAlignment="1">
      <alignment vertical="center"/>
    </xf>
    <xf numFmtId="0" fontId="56" fillId="0" borderId="0" xfId="277" applyFont="1" applyAlignment="1">
      <alignment horizontal="center" vertical="center"/>
    </xf>
    <xf numFmtId="0" fontId="11" fillId="0" borderId="0" xfId="277" applyFont="1" applyAlignment="1">
      <alignment horizontal="center" vertical="center"/>
    </xf>
    <xf numFmtId="0" fontId="18" fillId="0" borderId="0" xfId="276" applyFont="1" applyAlignment="1">
      <alignment vertical="center"/>
    </xf>
    <xf numFmtId="0" fontId="119" fillId="0" borderId="0" xfId="277" applyFont="1" applyAlignment="1">
      <alignment horizontal="center" vertical="center"/>
    </xf>
    <xf numFmtId="0" fontId="29" fillId="0" borderId="0" xfId="277" applyFont="1" applyAlignment="1">
      <alignment horizontal="center" vertical="center"/>
    </xf>
    <xf numFmtId="0" fontId="29" fillId="0" borderId="0" xfId="277" applyFont="1" applyAlignment="1">
      <alignment vertical="center"/>
    </xf>
    <xf numFmtId="194" fontId="35" fillId="0" borderId="0" xfId="278" applyNumberFormat="1" applyFont="1" applyAlignment="1">
      <alignment vertical="center"/>
    </xf>
    <xf numFmtId="0" fontId="35" fillId="0" borderId="0" xfId="277" applyFont="1" applyAlignment="1">
      <alignment horizontal="center" vertical="center"/>
    </xf>
    <xf numFmtId="0" fontId="26" fillId="0" borderId="0" xfId="276" applyFont="1" applyAlignment="1">
      <alignment vertical="center"/>
    </xf>
    <xf numFmtId="0" fontId="21" fillId="0" borderId="9" xfId="276" applyFont="1" applyBorder="1" applyAlignment="1">
      <alignment horizontal="center" vertical="center" wrapText="1"/>
    </xf>
    <xf numFmtId="0" fontId="29" fillId="0" borderId="0" xfId="277" applyFont="1" applyAlignment="1">
      <alignment horizontal="center" vertical="center" wrapText="1"/>
    </xf>
    <xf numFmtId="194" fontId="29" fillId="0" borderId="0" xfId="278" applyNumberFormat="1" applyFont="1" applyAlignment="1">
      <alignment horizontal="center" vertical="center" wrapText="1"/>
    </xf>
    <xf numFmtId="0" fontId="21" fillId="0" borderId="0" xfId="277" applyFont="1" applyAlignment="1">
      <alignment vertical="center"/>
    </xf>
    <xf numFmtId="194" fontId="29" fillId="0" borderId="0" xfId="279" applyNumberFormat="1" applyFont="1" applyFill="1" applyAlignment="1">
      <alignment vertical="center"/>
    </xf>
    <xf numFmtId="194" fontId="29" fillId="0" borderId="0" xfId="278" applyNumberFormat="1" applyFont="1" applyFill="1" applyAlignment="1">
      <alignment vertical="center"/>
    </xf>
    <xf numFmtId="194" fontId="29" fillId="36" borderId="34" xfId="278" applyNumberFormat="1" applyFont="1" applyFill="1" applyBorder="1" applyAlignment="1">
      <alignment horizontal="center" vertical="center" wrapText="1"/>
    </xf>
    <xf numFmtId="194" fontId="29" fillId="36" borderId="14" xfId="278" applyNumberFormat="1" applyFont="1" applyFill="1" applyBorder="1" applyAlignment="1">
      <alignment horizontal="center" vertical="center" wrapText="1"/>
    </xf>
    <xf numFmtId="0" fontId="29" fillId="36" borderId="40" xfId="276" applyFont="1" applyFill="1" applyBorder="1" applyAlignment="1">
      <alignment horizontal="center" vertical="center" wrapText="1"/>
    </xf>
    <xf numFmtId="194" fontId="29" fillId="36" borderId="7" xfId="278" applyNumberFormat="1" applyFont="1" applyFill="1" applyBorder="1" applyAlignment="1">
      <alignment horizontal="center" vertical="center" wrapText="1"/>
    </xf>
    <xf numFmtId="0" fontId="29" fillId="0" borderId="40" xfId="276" applyFont="1" applyBorder="1" applyAlignment="1">
      <alignment horizontal="center" vertical="center"/>
    </xf>
    <xf numFmtId="0" fontId="29" fillId="0" borderId="40" xfId="276" applyFont="1" applyBorder="1" applyAlignment="1">
      <alignment vertical="center"/>
    </xf>
    <xf numFmtId="194" fontId="21" fillId="0" borderId="8" xfId="276" applyNumberFormat="1" applyFont="1" applyBorder="1" applyAlignment="1">
      <alignment vertical="center" wrapText="1"/>
    </xf>
    <xf numFmtId="194" fontId="29" fillId="0" borderId="8" xfId="276" applyNumberFormat="1" applyFont="1" applyBorder="1" applyAlignment="1">
      <alignment horizontal="right" vertical="center" wrapText="1"/>
    </xf>
    <xf numFmtId="194" fontId="29" fillId="0" borderId="41" xfId="278" applyNumberFormat="1" applyFont="1" applyFill="1" applyBorder="1" applyAlignment="1">
      <alignment horizontal="right" vertical="center" wrapText="1"/>
    </xf>
    <xf numFmtId="194" fontId="21" fillId="0" borderId="0" xfId="277" applyNumberFormat="1" applyFont="1" applyAlignment="1">
      <alignment vertical="center"/>
    </xf>
    <xf numFmtId="0" fontId="21" fillId="0" borderId="41" xfId="276" applyFont="1" applyBorder="1" applyAlignment="1">
      <alignment horizontal="center" vertical="center"/>
    </xf>
    <xf numFmtId="0" fontId="21" fillId="0" borderId="41" xfId="276" applyFont="1" applyBorder="1" applyAlignment="1">
      <alignment vertical="center"/>
    </xf>
    <xf numFmtId="0" fontId="21" fillId="0" borderId="41" xfId="277" applyFont="1" applyBorder="1" applyAlignment="1">
      <alignment horizontal="center" vertical="center" wrapText="1"/>
    </xf>
    <xf numFmtId="194" fontId="21" fillId="0" borderId="41" xfId="276" applyNumberFormat="1" applyFont="1" applyBorder="1" applyAlignment="1">
      <alignment horizontal="right" vertical="center" wrapText="1"/>
    </xf>
    <xf numFmtId="194" fontId="21" fillId="0" borderId="41" xfId="276" applyNumberFormat="1" applyFont="1" applyBorder="1" applyAlignment="1">
      <alignment vertical="center" wrapText="1"/>
    </xf>
    <xf numFmtId="194" fontId="21" fillId="0" borderId="8" xfId="276" applyNumberFormat="1" applyFont="1" applyBorder="1" applyAlignment="1">
      <alignment horizontal="right" vertical="center" wrapText="1"/>
    </xf>
    <xf numFmtId="194" fontId="21" fillId="0" borderId="8" xfId="278" applyNumberFormat="1" applyFont="1" applyFill="1" applyBorder="1" applyAlignment="1">
      <alignment horizontal="right" vertical="center" wrapText="1"/>
    </xf>
    <xf numFmtId="194" fontId="29" fillId="0" borderId="14" xfId="277" applyNumberFormat="1" applyFont="1" applyBorder="1" applyAlignment="1">
      <alignment horizontal="center" vertical="center" wrapText="1"/>
    </xf>
    <xf numFmtId="0" fontId="21" fillId="0" borderId="8" xfId="276" applyFont="1" applyBorder="1" applyAlignment="1">
      <alignment horizontal="center" vertical="center"/>
    </xf>
    <xf numFmtId="0" fontId="21" fillId="0" borderId="8" xfId="276" applyFont="1" applyBorder="1" applyAlignment="1">
      <alignment vertical="center"/>
    </xf>
    <xf numFmtId="0" fontId="21" fillId="0" borderId="8" xfId="277" applyFont="1" applyBorder="1" applyAlignment="1">
      <alignment horizontal="center" vertical="center" wrapText="1"/>
    </xf>
    <xf numFmtId="0" fontId="29" fillId="0" borderId="40" xfId="277" applyFont="1" applyBorder="1" applyAlignment="1">
      <alignment horizontal="center" vertical="center" wrapText="1"/>
    </xf>
    <xf numFmtId="194" fontId="29" fillId="0" borderId="40" xfId="276" applyNumberFormat="1" applyFont="1" applyBorder="1" applyAlignment="1">
      <alignment horizontal="right" vertical="center" wrapText="1"/>
    </xf>
    <xf numFmtId="194" fontId="29" fillId="0" borderId="40" xfId="276" applyNumberFormat="1" applyFont="1" applyBorder="1" applyAlignment="1">
      <alignment vertical="center" wrapText="1"/>
    </xf>
    <xf numFmtId="0" fontId="10" fillId="0" borderId="41" xfId="276" applyFont="1" applyBorder="1" applyAlignment="1">
      <alignment vertical="center"/>
    </xf>
    <xf numFmtId="0" fontId="12" fillId="8" borderId="41" xfId="276" applyFont="1" applyFill="1" applyBorder="1" applyAlignment="1">
      <alignment horizontal="center" vertical="center"/>
    </xf>
    <xf numFmtId="0" fontId="26" fillId="8" borderId="41" xfId="276" applyFont="1" applyFill="1" applyBorder="1" applyAlignment="1">
      <alignment horizontal="center" vertical="center"/>
    </xf>
    <xf numFmtId="194" fontId="21" fillId="0" borderId="41" xfId="278" applyNumberFormat="1" applyFont="1" applyFill="1" applyBorder="1" applyAlignment="1">
      <alignment horizontal="right" vertical="center" wrapText="1"/>
    </xf>
    <xf numFmtId="0" fontId="21" fillId="0" borderId="9" xfId="276" applyFont="1" applyBorder="1" applyAlignment="1">
      <alignment horizontal="center" vertical="center"/>
    </xf>
    <xf numFmtId="0" fontId="10" fillId="0" borderId="9" xfId="276" applyFont="1" applyBorder="1" applyAlignment="1">
      <alignment vertical="center"/>
    </xf>
    <xf numFmtId="0" fontId="12" fillId="8" borderId="9" xfId="276" applyFont="1" applyFill="1" applyBorder="1" applyAlignment="1">
      <alignment horizontal="center" vertical="center"/>
    </xf>
    <xf numFmtId="0" fontId="26" fillId="8" borderId="9" xfId="276" applyFont="1" applyFill="1" applyBorder="1" applyAlignment="1">
      <alignment horizontal="center" vertical="center"/>
    </xf>
    <xf numFmtId="194" fontId="21" fillId="0" borderId="9" xfId="276" applyNumberFormat="1" applyFont="1" applyBorder="1" applyAlignment="1">
      <alignment horizontal="right" vertical="center" wrapText="1"/>
    </xf>
    <xf numFmtId="194" fontId="21" fillId="0" borderId="9" xfId="276" applyNumberFormat="1" applyFont="1" applyBorder="1" applyAlignment="1">
      <alignment vertical="center" wrapText="1"/>
    </xf>
    <xf numFmtId="194" fontId="21" fillId="0" borderId="9" xfId="278" applyNumberFormat="1" applyFont="1" applyFill="1" applyBorder="1" applyAlignment="1">
      <alignment horizontal="right" vertical="center" wrapText="1"/>
    </xf>
    <xf numFmtId="0" fontId="26" fillId="8" borderId="41" xfId="276" applyFont="1" applyFill="1" applyBorder="1" applyAlignment="1">
      <alignment vertical="center"/>
    </xf>
    <xf numFmtId="0" fontId="26" fillId="8" borderId="9" xfId="276" applyFont="1" applyFill="1" applyBorder="1" applyAlignment="1">
      <alignment vertical="center"/>
    </xf>
    <xf numFmtId="3" fontId="48" fillId="0" borderId="40" xfId="277" applyNumberFormat="1" applyFont="1" applyBorder="1" applyAlignment="1">
      <alignment horizontal="center" vertical="center"/>
    </xf>
    <xf numFmtId="3" fontId="48" fillId="0" borderId="40" xfId="277" applyNumberFormat="1" applyFont="1" applyBorder="1" applyAlignment="1">
      <alignment horizontal="right" vertical="center"/>
    </xf>
    <xf numFmtId="3" fontId="48" fillId="0" borderId="40" xfId="277" applyNumberFormat="1" applyFont="1" applyBorder="1" applyAlignment="1">
      <alignment vertical="center"/>
    </xf>
    <xf numFmtId="194" fontId="29" fillId="0" borderId="40" xfId="277" applyNumberFormat="1" applyFont="1" applyBorder="1" applyAlignment="1">
      <alignment horizontal="center" vertical="center" wrapText="1"/>
    </xf>
    <xf numFmtId="0" fontId="41" fillId="0" borderId="43" xfId="277" applyFont="1" applyBorder="1" applyAlignment="1">
      <alignment vertical="center"/>
    </xf>
    <xf numFmtId="0" fontId="41" fillId="0" borderId="43" xfId="277" applyFont="1" applyBorder="1" applyAlignment="1">
      <alignment horizontal="center" vertical="center"/>
    </xf>
    <xf numFmtId="0" fontId="21" fillId="0" borderId="0" xfId="277" applyFont="1" applyAlignment="1">
      <alignment horizontal="center" vertical="center"/>
    </xf>
    <xf numFmtId="3" fontId="21" fillId="0" borderId="0" xfId="277" applyNumberFormat="1" applyFont="1" applyAlignment="1">
      <alignment vertical="center"/>
    </xf>
    <xf numFmtId="199" fontId="21" fillId="0" borderId="0" xfId="279" quotePrefix="1" applyNumberFormat="1" applyFont="1" applyFill="1" applyBorder="1" applyAlignment="1">
      <alignment horizontal="center" vertical="center"/>
    </xf>
    <xf numFmtId="0" fontId="21" fillId="0" borderId="0" xfId="277" applyFont="1" applyAlignment="1">
      <alignment horizontal="right" vertical="center"/>
    </xf>
    <xf numFmtId="0" fontId="29" fillId="0" borderId="0" xfId="277" applyFont="1" applyAlignment="1">
      <alignment horizontal="right" vertical="center"/>
    </xf>
    <xf numFmtId="0" fontId="29" fillId="0" borderId="34" xfId="277" applyFont="1" applyBorder="1" applyAlignment="1">
      <alignment horizontal="center" vertical="center" wrapText="1"/>
    </xf>
    <xf numFmtId="0" fontId="29" fillId="0" borderId="40" xfId="277" applyFont="1" applyBorder="1" applyAlignment="1">
      <alignment horizontal="center" vertical="center"/>
    </xf>
    <xf numFmtId="194" fontId="21" fillId="0" borderId="40" xfId="279" applyNumberFormat="1" applyFont="1" applyFill="1" applyBorder="1" applyAlignment="1">
      <alignment horizontal="center" vertical="center"/>
    </xf>
    <xf numFmtId="3" fontId="124" fillId="0" borderId="40" xfId="276" applyNumberFormat="1" applyFont="1" applyBorder="1"/>
    <xf numFmtId="194" fontId="21" fillId="0" borderId="40" xfId="279" applyNumberFormat="1" applyFont="1" applyBorder="1" applyAlignment="1">
      <alignment vertical="center"/>
    </xf>
    <xf numFmtId="194" fontId="21" fillId="0" borderId="0" xfId="279" applyNumberFormat="1" applyFont="1" applyFill="1" applyBorder="1" applyAlignment="1">
      <alignment horizontal="center" vertical="center" wrapText="1"/>
    </xf>
    <xf numFmtId="194" fontId="21" fillId="0" borderId="40" xfId="278" applyNumberFormat="1" applyFont="1" applyBorder="1" applyAlignment="1">
      <alignment vertical="center"/>
    </xf>
    <xf numFmtId="194" fontId="21" fillId="0" borderId="40" xfId="278" applyNumberFormat="1" applyFont="1" applyBorder="1" applyAlignment="1">
      <alignment horizontal="center" vertical="center"/>
    </xf>
    <xf numFmtId="0" fontId="21" fillId="0" borderId="0" xfId="276" applyFont="1" applyAlignment="1">
      <alignment vertical="center"/>
    </xf>
    <xf numFmtId="0" fontId="15" fillId="0" borderId="0" xfId="276" applyFont="1"/>
    <xf numFmtId="0" fontId="53" fillId="0" borderId="0" xfId="277" applyFont="1" applyAlignment="1">
      <alignment horizontal="center" vertical="center"/>
    </xf>
    <xf numFmtId="0" fontId="53" fillId="0" borderId="0" xfId="277" applyFont="1" applyAlignment="1">
      <alignment vertical="center"/>
    </xf>
    <xf numFmtId="0" fontId="10" fillId="0" borderId="0" xfId="277" applyFont="1" applyAlignment="1">
      <alignment vertical="center"/>
    </xf>
    <xf numFmtId="0" fontId="44" fillId="0" borderId="0" xfId="276" applyFont="1" applyAlignment="1">
      <alignment vertical="center"/>
    </xf>
    <xf numFmtId="0" fontId="43" fillId="0" borderId="0" xfId="277" applyFont="1" applyAlignment="1">
      <alignment horizontal="center" vertical="center"/>
    </xf>
    <xf numFmtId="194" fontId="21" fillId="0" borderId="0" xfId="278" applyNumberFormat="1" applyFont="1" applyAlignment="1">
      <alignment vertical="center"/>
    </xf>
    <xf numFmtId="0" fontId="26" fillId="0" borderId="0" xfId="276" applyFont="1" applyAlignment="1">
      <alignment horizontal="center" vertical="center"/>
    </xf>
    <xf numFmtId="0" fontId="6" fillId="0" borderId="0" xfId="277" applyFont="1" applyAlignment="1">
      <alignment vertical="top"/>
    </xf>
    <xf numFmtId="0" fontId="15" fillId="0" borderId="0" xfId="277" applyFont="1" applyAlignment="1">
      <alignment horizontal="center"/>
    </xf>
    <xf numFmtId="0" fontId="15" fillId="0" borderId="0" xfId="277" applyFont="1"/>
    <xf numFmtId="0" fontId="46" fillId="0" borderId="0" xfId="277" applyFont="1"/>
    <xf numFmtId="0" fontId="63" fillId="0" borderId="0" xfId="118"/>
    <xf numFmtId="0" fontId="29" fillId="0" borderId="0" xfId="277" applyFont="1"/>
    <xf numFmtId="0" fontId="7" fillId="0" borderId="0" xfId="277" applyFont="1"/>
    <xf numFmtId="0" fontId="21" fillId="0" borderId="0" xfId="277" applyFont="1"/>
    <xf numFmtId="0" fontId="29" fillId="0" borderId="34" xfId="118" applyFont="1" applyBorder="1" applyAlignment="1">
      <alignment horizontal="center" vertical="center" wrapText="1"/>
    </xf>
    <xf numFmtId="0" fontId="5" fillId="0" borderId="0" xfId="277" applyFont="1"/>
    <xf numFmtId="0" fontId="33" fillId="0" borderId="40" xfId="118" applyFont="1" applyBorder="1" applyAlignment="1">
      <alignment horizontal="center" vertical="center" wrapText="1"/>
    </xf>
    <xf numFmtId="0" fontId="15" fillId="0" borderId="39" xfId="277" applyFont="1" applyBorder="1" applyAlignment="1">
      <alignment vertical="center" wrapText="1"/>
    </xf>
    <xf numFmtId="194" fontId="15" fillId="0" borderId="40" xfId="118" applyNumberFormat="1" applyFont="1" applyBorder="1" applyAlignment="1">
      <alignment horizontal="center" vertical="center" wrapText="1"/>
    </xf>
    <xf numFmtId="0" fontId="4" fillId="0" borderId="40" xfId="277" applyFont="1" applyBorder="1"/>
    <xf numFmtId="0" fontId="4" fillId="0" borderId="0" xfId="277" applyFont="1"/>
    <xf numFmtId="0" fontId="11" fillId="0" borderId="0" xfId="277" applyFont="1"/>
    <xf numFmtId="3" fontId="21" fillId="0" borderId="41" xfId="118" applyNumberFormat="1" applyFont="1" applyBorder="1" applyAlignment="1">
      <alignment horizontal="center" vertical="center" wrapText="1"/>
    </xf>
    <xf numFmtId="3" fontId="21" fillId="0" borderId="8" xfId="118" applyNumberFormat="1" applyFont="1" applyBorder="1" applyAlignment="1">
      <alignment horizontal="left" vertical="center" wrapText="1"/>
    </xf>
    <xf numFmtId="194" fontId="10" fillId="0" borderId="41" xfId="280" applyNumberFormat="1" applyFont="1" applyBorder="1" applyAlignment="1">
      <alignment horizontal="right" vertical="center" wrapText="1"/>
    </xf>
    <xf numFmtId="0" fontId="5" fillId="0" borderId="0" xfId="277" applyFont="1" applyAlignment="1">
      <alignment vertical="center"/>
    </xf>
    <xf numFmtId="0" fontId="63" fillId="0" borderId="0" xfId="118" applyAlignment="1">
      <alignment vertical="center"/>
    </xf>
    <xf numFmtId="3" fontId="21" fillId="0" borderId="8" xfId="118" applyNumberFormat="1" applyFont="1" applyBorder="1" applyAlignment="1">
      <alignment horizontal="center" vertical="center" wrapText="1"/>
    </xf>
    <xf numFmtId="194" fontId="10" fillId="0" borderId="8" xfId="280" applyNumberFormat="1" applyFont="1" applyBorder="1" applyAlignment="1">
      <alignment horizontal="right" vertical="center" wrapText="1"/>
    </xf>
    <xf numFmtId="194" fontId="10" fillId="0" borderId="9" xfId="280" applyNumberFormat="1" applyFont="1" applyBorder="1" applyAlignment="1">
      <alignment horizontal="right" vertical="center" wrapText="1"/>
    </xf>
    <xf numFmtId="3" fontId="40" fillId="0" borderId="40" xfId="277" applyNumberFormat="1" applyFont="1" applyBorder="1" applyAlignment="1">
      <alignment horizontal="right" vertical="center"/>
    </xf>
    <xf numFmtId="0" fontId="10" fillId="0" borderId="0" xfId="277" applyFont="1" applyAlignment="1">
      <alignment horizontal="right" vertical="center"/>
    </xf>
    <xf numFmtId="0" fontId="15" fillId="0" borderId="0" xfId="277" applyFont="1" applyAlignment="1">
      <alignment horizontal="right" vertical="center"/>
    </xf>
    <xf numFmtId="0" fontId="41" fillId="0" borderId="0" xfId="277" applyFont="1" applyAlignment="1">
      <alignment vertical="center"/>
    </xf>
    <xf numFmtId="0" fontId="21" fillId="0" borderId="0" xfId="277" applyFont="1" applyAlignment="1">
      <alignment horizontal="center"/>
    </xf>
    <xf numFmtId="3" fontId="21" fillId="0" borderId="0" xfId="277" applyNumberFormat="1" applyFont="1"/>
    <xf numFmtId="0" fontId="7" fillId="0" borderId="0" xfId="277" applyFont="1" applyAlignment="1">
      <alignment horizontal="center"/>
    </xf>
    <xf numFmtId="0" fontId="24" fillId="0" borderId="0" xfId="281" applyFont="1"/>
    <xf numFmtId="3" fontId="24" fillId="0" borderId="0" xfId="281" applyNumberFormat="1" applyFont="1" applyAlignment="1">
      <alignment horizontal="center"/>
    </xf>
    <xf numFmtId="3" fontId="24" fillId="0" borderId="0" xfId="281" applyNumberFormat="1" applyFont="1"/>
    <xf numFmtId="0" fontId="24" fillId="0" borderId="0" xfId="281" applyFont="1" applyAlignment="1">
      <alignment horizontal="center"/>
    </xf>
    <xf numFmtId="0" fontId="41" fillId="0" borderId="0" xfId="277" applyFont="1" applyAlignment="1">
      <alignment horizontal="left"/>
    </xf>
    <xf numFmtId="194" fontId="21" fillId="0" borderId="0" xfId="277" applyNumberFormat="1" applyFont="1"/>
    <xf numFmtId="0" fontId="120" fillId="0" borderId="0" xfId="277" applyFont="1"/>
    <xf numFmtId="0" fontId="26" fillId="0" borderId="0" xfId="277" applyFont="1"/>
    <xf numFmtId="0" fontId="43" fillId="0" borderId="0" xfId="277" applyFont="1"/>
    <xf numFmtId="0" fontId="27" fillId="0" borderId="0" xfId="277" applyFont="1"/>
    <xf numFmtId="0" fontId="27" fillId="0" borderId="0" xfId="277" applyFont="1" applyAlignment="1">
      <alignment horizontal="center"/>
    </xf>
    <xf numFmtId="0" fontId="42" fillId="0" borderId="0" xfId="277" applyFont="1"/>
    <xf numFmtId="0" fontId="40" fillId="0" borderId="0" xfId="281" applyFont="1"/>
    <xf numFmtId="0" fontId="9" fillId="0" borderId="40" xfId="277" applyFont="1" applyBorder="1" applyAlignment="1">
      <alignment vertical="center"/>
    </xf>
    <xf numFmtId="0" fontId="9" fillId="0" borderId="40" xfId="277" applyFont="1" applyBorder="1" applyAlignment="1">
      <alignment horizontal="center" vertical="center"/>
    </xf>
    <xf numFmtId="194" fontId="5" fillId="0" borderId="40" xfId="280" applyNumberFormat="1" applyFont="1" applyFill="1" applyBorder="1" applyAlignment="1">
      <alignment horizontal="center" vertical="center"/>
    </xf>
    <xf numFmtId="194" fontId="5" fillId="0" borderId="34" xfId="280" applyNumberFormat="1" applyFont="1" applyBorder="1" applyAlignment="1">
      <alignment horizontal="center" vertical="center"/>
    </xf>
    <xf numFmtId="194" fontId="21" fillId="0" borderId="34" xfId="280" applyNumberFormat="1" applyFont="1" applyBorder="1" applyAlignment="1">
      <alignment horizontal="center" vertical="center"/>
    </xf>
    <xf numFmtId="194" fontId="21" fillId="0" borderId="0" xfId="280" applyNumberFormat="1" applyFont="1" applyBorder="1" applyAlignment="1">
      <alignment horizontal="center" vertical="center"/>
    </xf>
    <xf numFmtId="194" fontId="5" fillId="0" borderId="7" xfId="280" applyNumberFormat="1" applyFont="1" applyBorder="1" applyAlignment="1">
      <alignment horizontal="center" vertical="center"/>
    </xf>
    <xf numFmtId="194" fontId="21" fillId="0" borderId="7" xfId="280" applyNumberFormat="1" applyFont="1" applyBorder="1" applyAlignment="1">
      <alignment horizontal="center" vertical="center"/>
    </xf>
    <xf numFmtId="194" fontId="21" fillId="0" borderId="40" xfId="280" applyNumberFormat="1" applyFont="1" applyFill="1" applyBorder="1" applyAlignment="1">
      <alignment horizontal="center" vertical="center" wrapText="1"/>
    </xf>
    <xf numFmtId="194" fontId="21" fillId="0" borderId="0" xfId="280" applyNumberFormat="1" applyFont="1" applyFill="1" applyBorder="1" applyAlignment="1">
      <alignment horizontal="center" vertical="center" wrapText="1"/>
    </xf>
    <xf numFmtId="0" fontId="10" fillId="0" borderId="0" xfId="118" applyFont="1" applyAlignment="1">
      <alignment vertical="center"/>
    </xf>
    <xf numFmtId="0" fontId="10" fillId="0" borderId="0" xfId="118" applyFont="1"/>
    <xf numFmtId="0" fontId="128" fillId="0" borderId="37" xfId="274" applyFont="1" applyBorder="1" applyAlignment="1">
      <alignment vertical="center"/>
    </xf>
    <xf numFmtId="0" fontId="128" fillId="0" borderId="38" xfId="274" applyFont="1" applyBorder="1" applyAlignment="1">
      <alignment vertical="center"/>
    </xf>
    <xf numFmtId="0" fontId="128" fillId="0" borderId="46" xfId="274" applyFont="1" applyBorder="1" applyAlignment="1">
      <alignment vertical="center"/>
    </xf>
    <xf numFmtId="199" fontId="29" fillId="6" borderId="8" xfId="0" applyNumberFormat="1" applyFont="1" applyFill="1" applyBorder="1" applyAlignment="1" applyProtection="1">
      <alignment horizontal="right" vertical="center"/>
      <protection locked="0"/>
    </xf>
    <xf numFmtId="0" fontId="15" fillId="0" borderId="0" xfId="282" applyFont="1"/>
    <xf numFmtId="0" fontId="21" fillId="0" borderId="0" xfId="282" applyFont="1"/>
    <xf numFmtId="0" fontId="15" fillId="0" borderId="0" xfId="282" applyFont="1" applyAlignment="1">
      <alignment horizontal="center"/>
    </xf>
    <xf numFmtId="0" fontId="29" fillId="0" borderId="0" xfId="282" applyFont="1"/>
    <xf numFmtId="0" fontId="8" fillId="0" borderId="0" xfId="282" applyFont="1" applyAlignment="1">
      <alignment horizontal="center"/>
    </xf>
    <xf numFmtId="0" fontId="8" fillId="0" borderId="0" xfId="282" applyFont="1"/>
    <xf numFmtId="0" fontId="29" fillId="0" borderId="34" xfId="282" applyFont="1" applyBorder="1" applyAlignment="1">
      <alignment horizontal="center" vertical="center" wrapText="1"/>
    </xf>
    <xf numFmtId="0" fontId="29" fillId="2" borderId="35" xfId="282" applyFont="1" applyFill="1" applyBorder="1" applyAlignment="1">
      <alignment horizontal="center" vertical="center" wrapText="1"/>
    </xf>
    <xf numFmtId="0" fontId="29" fillId="3" borderId="34" xfId="282" applyFont="1" applyFill="1" applyBorder="1" applyAlignment="1">
      <alignment horizontal="center" vertical="center" wrapText="1"/>
    </xf>
    <xf numFmtId="0" fontId="29" fillId="0" borderId="0" xfId="282" applyFont="1" applyAlignment="1">
      <alignment horizontal="center" vertical="center" wrapText="1"/>
    </xf>
    <xf numFmtId="0" fontId="10" fillId="0" borderId="41" xfId="282" applyFont="1" applyBorder="1" applyAlignment="1">
      <alignment horizontal="center" vertical="center" wrapText="1"/>
    </xf>
    <xf numFmtId="0" fontId="21" fillId="0" borderId="41" xfId="282" applyFont="1" applyBorder="1" applyAlignment="1">
      <alignment vertical="center"/>
    </xf>
    <xf numFmtId="0" fontId="37" fillId="0" borderId="41" xfId="282" applyFont="1" applyBorder="1" applyAlignment="1">
      <alignment horizontal="center" vertical="center" wrapText="1"/>
    </xf>
    <xf numFmtId="0" fontId="10" fillId="2" borderId="41" xfId="282" applyFont="1" applyFill="1" applyBorder="1" applyAlignment="1">
      <alignment horizontal="center" vertical="center" wrapText="1"/>
    </xf>
    <xf numFmtId="212" fontId="131" fillId="0" borderId="41" xfId="283" applyNumberFormat="1" applyFont="1" applyBorder="1" applyAlignment="1">
      <alignment vertical="center"/>
    </xf>
    <xf numFmtId="212" fontId="21" fillId="0" borderId="41" xfId="282" applyNumberFormat="1" applyFont="1" applyBorder="1" applyAlignment="1">
      <alignment horizontal="right" vertical="center" wrapText="1"/>
    </xf>
    <xf numFmtId="0" fontId="10" fillId="0" borderId="8" xfId="282" applyFont="1" applyBorder="1" applyAlignment="1">
      <alignment horizontal="center" vertical="center" wrapText="1"/>
    </xf>
    <xf numFmtId="0" fontId="21" fillId="0" borderId="8" xfId="282" applyFont="1" applyBorder="1" applyAlignment="1">
      <alignment vertical="center"/>
    </xf>
    <xf numFmtId="0" fontId="37" fillId="0" borderId="8" xfId="282" applyFont="1" applyBorder="1" applyAlignment="1">
      <alignment horizontal="center" vertical="center" wrapText="1"/>
    </xf>
    <xf numFmtId="0" fontId="10" fillId="2" borderId="8" xfId="282" applyFont="1" applyFill="1" applyBorder="1" applyAlignment="1">
      <alignment horizontal="center" vertical="center" wrapText="1"/>
    </xf>
    <xf numFmtId="212" fontId="131" fillId="0" borderId="8" xfId="283" applyNumberFormat="1" applyFont="1" applyBorder="1" applyAlignment="1">
      <alignment vertical="center"/>
    </xf>
    <xf numFmtId="212" fontId="21" fillId="0" borderId="8" xfId="282" applyNumberFormat="1" applyFont="1" applyBorder="1" applyAlignment="1">
      <alignment horizontal="right" vertical="center" wrapText="1"/>
    </xf>
    <xf numFmtId="0" fontId="10" fillId="0" borderId="9" xfId="282" applyFont="1" applyBorder="1" applyAlignment="1">
      <alignment horizontal="center" vertical="center" wrapText="1"/>
    </xf>
    <xf numFmtId="0" fontId="21" fillId="0" borderId="9" xfId="282" applyFont="1" applyBorder="1" applyAlignment="1">
      <alignment vertical="center"/>
    </xf>
    <xf numFmtId="0" fontId="37" fillId="0" borderId="9" xfId="282" applyFont="1" applyBorder="1" applyAlignment="1">
      <alignment horizontal="center" vertical="center" wrapText="1"/>
    </xf>
    <xf numFmtId="0" fontId="10" fillId="2" borderId="9" xfId="282" applyFont="1" applyFill="1" applyBorder="1" applyAlignment="1">
      <alignment horizontal="center" vertical="center" wrapText="1"/>
    </xf>
    <xf numFmtId="212" fontId="131" fillId="0" borderId="9" xfId="283" applyNumberFormat="1" applyFont="1" applyBorder="1" applyAlignment="1">
      <alignment vertical="center"/>
    </xf>
    <xf numFmtId="212" fontId="21" fillId="0" borderId="9" xfId="282" applyNumberFormat="1" applyFont="1" applyBorder="1" applyAlignment="1">
      <alignment horizontal="right" vertical="center" wrapText="1"/>
    </xf>
    <xf numFmtId="0" fontId="10" fillId="0" borderId="19" xfId="282" applyFont="1" applyBorder="1" applyAlignment="1">
      <alignment horizontal="center" vertical="center" wrapText="1"/>
    </xf>
    <xf numFmtId="0" fontId="21" fillId="0" borderId="19" xfId="282" applyFont="1" applyBorder="1" applyAlignment="1">
      <alignment vertical="center"/>
    </xf>
    <xf numFmtId="0" fontId="37" fillId="0" borderId="19" xfId="282" applyFont="1" applyBorder="1" applyAlignment="1">
      <alignment horizontal="center" vertical="center" wrapText="1"/>
    </xf>
    <xf numFmtId="0" fontId="10" fillId="0" borderId="7" xfId="282" applyFont="1" applyBorder="1" applyAlignment="1">
      <alignment horizontal="center" vertical="center" wrapText="1"/>
    </xf>
    <xf numFmtId="0" fontId="10" fillId="2" borderId="7" xfId="282" applyFont="1" applyFill="1" applyBorder="1" applyAlignment="1">
      <alignment horizontal="center" vertical="center" wrapText="1"/>
    </xf>
    <xf numFmtId="212" fontId="131" fillId="0" borderId="7" xfId="283" applyNumberFormat="1" applyFont="1" applyBorder="1" applyAlignment="1">
      <alignment vertical="center"/>
    </xf>
    <xf numFmtId="212" fontId="21" fillId="0" borderId="7" xfId="282" applyNumberFormat="1" applyFont="1" applyBorder="1" applyAlignment="1">
      <alignment horizontal="right" vertical="center" wrapText="1"/>
    </xf>
    <xf numFmtId="212" fontId="21" fillId="0" borderId="14" xfId="282" applyNumberFormat="1" applyFont="1" applyBorder="1" applyAlignment="1">
      <alignment horizontal="right" vertical="center" wrapText="1"/>
    </xf>
    <xf numFmtId="0" fontId="10" fillId="0" borderId="14" xfId="282" applyFont="1" applyBorder="1" applyAlignment="1">
      <alignment horizontal="center" vertical="center" wrapText="1"/>
    </xf>
    <xf numFmtId="0" fontId="11" fillId="0" borderId="9" xfId="282" applyFont="1" applyBorder="1" applyAlignment="1">
      <alignment horizontal="right" vertical="center" shrinkToFit="1"/>
    </xf>
    <xf numFmtId="0" fontId="11" fillId="0" borderId="7" xfId="282" applyFont="1" applyBorder="1" applyAlignment="1">
      <alignment horizontal="center" vertical="center" shrinkToFit="1"/>
    </xf>
    <xf numFmtId="212" fontId="132" fillId="0" borderId="40" xfId="283" applyNumberFormat="1" applyFont="1" applyBorder="1" applyAlignment="1">
      <alignment vertical="center"/>
    </xf>
    <xf numFmtId="212" fontId="132" fillId="0" borderId="7" xfId="283" applyNumberFormat="1" applyFont="1" applyBorder="1" applyAlignment="1">
      <alignment vertical="center"/>
    </xf>
    <xf numFmtId="0" fontId="29" fillId="2" borderId="0" xfId="282" applyFont="1" applyFill="1" applyAlignment="1">
      <alignment horizontal="center" vertical="center"/>
    </xf>
    <xf numFmtId="0" fontId="29" fillId="0" borderId="0" xfId="282" applyFont="1" applyAlignment="1">
      <alignment vertical="center"/>
    </xf>
    <xf numFmtId="0" fontId="133" fillId="0" borderId="0" xfId="282" applyFont="1"/>
    <xf numFmtId="0" fontId="15" fillId="2" borderId="0" xfId="282" applyFont="1" applyFill="1" applyAlignment="1">
      <alignment horizontal="center"/>
    </xf>
    <xf numFmtId="0" fontId="4" fillId="0" borderId="0" xfId="282" applyFont="1"/>
    <xf numFmtId="0" fontId="10" fillId="0" borderId="0" xfId="282" applyFont="1"/>
    <xf numFmtId="0" fontId="29" fillId="0" borderId="0" xfId="282" applyFont="1" applyAlignment="1">
      <alignment horizontal="center"/>
    </xf>
    <xf numFmtId="0" fontId="11" fillId="0" borderId="0" xfId="282" applyFont="1"/>
    <xf numFmtId="0" fontId="130" fillId="0" borderId="0" xfId="282"/>
    <xf numFmtId="0" fontId="38" fillId="0" borderId="0" xfId="282" applyFont="1"/>
    <xf numFmtId="212" fontId="130" fillId="0" borderId="0" xfId="283" applyNumberFormat="1"/>
    <xf numFmtId="1" fontId="135" fillId="37" borderId="8" xfId="0" applyNumberFormat="1" applyFont="1" applyFill="1" applyBorder="1" applyAlignment="1" applyProtection="1">
      <alignment vertical="center"/>
      <protection locked="0"/>
    </xf>
    <xf numFmtId="199" fontId="29" fillId="37" borderId="8" xfId="0" applyNumberFormat="1" applyFont="1" applyFill="1" applyBorder="1" applyAlignment="1" applyProtection="1">
      <alignment horizontal="right" vertical="center"/>
      <protection locked="0"/>
    </xf>
    <xf numFmtId="199" fontId="29" fillId="37" borderId="8" xfId="0" applyNumberFormat="1" applyFont="1" applyFill="1" applyBorder="1" applyAlignment="1" applyProtection="1">
      <alignment horizontal="right" vertical="center"/>
      <protection hidden="1"/>
    </xf>
    <xf numFmtId="199" fontId="15" fillId="37" borderId="0" xfId="0" applyNumberFormat="1" applyFont="1" applyFill="1" applyAlignment="1">
      <alignment horizontal="right" vertical="center"/>
    </xf>
    <xf numFmtId="0" fontId="15" fillId="37" borderId="0" xfId="0" applyFont="1" applyFill="1" applyAlignment="1">
      <alignment horizontal="right" vertical="center"/>
    </xf>
    <xf numFmtId="199" fontId="15" fillId="37" borderId="0" xfId="0" applyNumberFormat="1" applyFont="1" applyFill="1" applyProtection="1">
      <protection locked="0"/>
    </xf>
    <xf numFmtId="0" fontId="15" fillId="37" borderId="0" xfId="0" applyFont="1" applyFill="1" applyAlignment="1">
      <alignment vertical="center"/>
    </xf>
    <xf numFmtId="3" fontId="15" fillId="37" borderId="0" xfId="0" applyNumberFormat="1" applyFont="1" applyFill="1"/>
    <xf numFmtId="3" fontId="15" fillId="37" borderId="0" xfId="1" applyNumberFormat="1" applyFont="1" applyFill="1"/>
    <xf numFmtId="194" fontId="15" fillId="37" borderId="0" xfId="1" applyNumberFormat="1" applyFont="1" applyFill="1"/>
    <xf numFmtId="194" fontId="26" fillId="0" borderId="40" xfId="1" applyNumberFormat="1" applyFont="1" applyBorder="1"/>
    <xf numFmtId="0" fontId="29" fillId="0" borderId="40" xfId="0" applyFont="1" applyBorder="1" applyAlignment="1">
      <alignment horizontal="center" wrapText="1"/>
    </xf>
    <xf numFmtId="0" fontId="29" fillId="0" borderId="40" xfId="0" applyFont="1" applyBorder="1" applyAlignment="1">
      <alignment horizontal="center" vertical="center" wrapText="1"/>
    </xf>
    <xf numFmtId="0" fontId="29" fillId="3" borderId="40" xfId="0" applyFont="1" applyFill="1" applyBorder="1" applyAlignment="1">
      <alignment horizontal="center" vertical="center" wrapText="1"/>
    </xf>
    <xf numFmtId="0" fontId="28" fillId="0" borderId="40" xfId="0" applyFont="1" applyBorder="1" applyAlignment="1">
      <alignment horizontal="center" vertical="center" wrapText="1"/>
    </xf>
    <xf numFmtId="199" fontId="26" fillId="3" borderId="19" xfId="0" applyNumberFormat="1" applyFont="1" applyFill="1" applyBorder="1" applyAlignment="1" applyProtection="1">
      <alignment horizontal="right" vertical="center"/>
      <protection hidden="1"/>
    </xf>
    <xf numFmtId="199" fontId="29" fillId="3" borderId="8" xfId="0" applyNumberFormat="1" applyFont="1" applyFill="1" applyBorder="1" applyAlignment="1" applyProtection="1">
      <alignment horizontal="right" vertical="center"/>
      <protection locked="0"/>
    </xf>
    <xf numFmtId="199" fontId="10" fillId="0" borderId="0" xfId="0" applyNumberFormat="1" applyFont="1" applyAlignment="1" applyProtection="1">
      <alignment horizontal="center"/>
      <protection locked="0"/>
    </xf>
    <xf numFmtId="194" fontId="10" fillId="0" borderId="0" xfId="1" applyNumberFormat="1" applyFont="1"/>
    <xf numFmtId="49" fontId="10" fillId="0" borderId="0" xfId="0" applyNumberFormat="1" applyFont="1"/>
    <xf numFmtId="49" fontId="15" fillId="0" borderId="0" xfId="0" applyNumberFormat="1" applyFont="1"/>
    <xf numFmtId="49" fontId="10" fillId="6" borderId="0" xfId="0" applyNumberFormat="1" applyFont="1" applyFill="1"/>
    <xf numFmtId="49" fontId="15" fillId="6" borderId="0" xfId="0" applyNumberFormat="1" applyFont="1" applyFill="1" applyAlignment="1">
      <alignment vertical="center"/>
    </xf>
    <xf numFmtId="49" fontId="15" fillId="0" borderId="0" xfId="0" applyNumberFormat="1" applyFont="1" applyAlignment="1">
      <alignment vertical="center"/>
    </xf>
    <xf numFmtId="49" fontId="15" fillId="0" borderId="6" xfId="0" applyNumberFormat="1" applyFont="1" applyBorder="1" applyAlignment="1">
      <alignment horizontal="center" vertical="center"/>
    </xf>
    <xf numFmtId="49" fontId="49" fillId="6" borderId="2" xfId="128" applyNumberFormat="1" applyFont="1" applyFill="1" applyBorder="1" applyAlignment="1" applyProtection="1">
      <alignment vertical="center" shrinkToFit="1"/>
      <protection locked="0"/>
    </xf>
    <xf numFmtId="49" fontId="10" fillId="3" borderId="8" xfId="0" applyNumberFormat="1" applyFont="1" applyFill="1" applyBorder="1" applyAlignment="1" applyProtection="1">
      <alignment vertical="center"/>
      <protection locked="0"/>
    </xf>
    <xf numFmtId="49" fontId="20" fillId="6" borderId="2" xfId="0" applyNumberFormat="1" applyFont="1" applyFill="1" applyBorder="1" applyAlignment="1" applyProtection="1">
      <alignment vertical="center"/>
      <protection locked="0"/>
    </xf>
    <xf numFmtId="49" fontId="46" fillId="0" borderId="0" xfId="0" applyNumberFormat="1" applyFont="1" applyAlignment="1">
      <alignment horizontal="center" vertical="center"/>
    </xf>
    <xf numFmtId="49" fontId="3" fillId="0" borderId="0" xfId="0" applyNumberFormat="1" applyFont="1"/>
    <xf numFmtId="49" fontId="10" fillId="3" borderId="0" xfId="0" applyNumberFormat="1" applyFont="1" applyFill="1"/>
    <xf numFmtId="0" fontId="15" fillId="6" borderId="8" xfId="0" applyFont="1" applyFill="1" applyBorder="1" applyAlignment="1">
      <alignment horizontal="center" vertical="center"/>
    </xf>
    <xf numFmtId="49" fontId="135" fillId="6" borderId="8" xfId="0" applyNumberFormat="1" applyFont="1" applyFill="1" applyBorder="1" applyAlignment="1" applyProtection="1">
      <alignment vertical="center"/>
      <protection locked="0"/>
    </xf>
    <xf numFmtId="14" fontId="15" fillId="6" borderId="8" xfId="0" applyNumberFormat="1" applyFont="1" applyFill="1" applyBorder="1" applyAlignment="1" applyProtection="1">
      <alignment horizontal="center" vertical="center"/>
      <protection locked="0"/>
    </xf>
    <xf numFmtId="199" fontId="15" fillId="6" borderId="8" xfId="0" applyNumberFormat="1" applyFont="1" applyFill="1" applyBorder="1" applyAlignment="1">
      <alignment horizontal="right"/>
    </xf>
    <xf numFmtId="3" fontId="29" fillId="6" borderId="8" xfId="0" applyNumberFormat="1" applyFont="1" applyFill="1" applyBorder="1" applyAlignment="1" applyProtection="1">
      <alignment horizontal="right" vertical="center"/>
      <protection locked="0"/>
    </xf>
    <xf numFmtId="199" fontId="29" fillId="6" borderId="19" xfId="0" applyNumberFormat="1" applyFont="1" applyFill="1" applyBorder="1" applyAlignment="1" applyProtection="1">
      <alignment horizontal="right" vertical="center"/>
      <protection hidden="1"/>
    </xf>
    <xf numFmtId="199" fontId="29" fillId="6" borderId="8" xfId="0" applyNumberFormat="1" applyFont="1" applyFill="1" applyBorder="1" applyAlignment="1" applyProtection="1">
      <alignment horizontal="right" vertical="center"/>
      <protection hidden="1"/>
    </xf>
    <xf numFmtId="0" fontId="10" fillId="3" borderId="19" xfId="0" applyFont="1" applyFill="1" applyBorder="1" applyAlignment="1">
      <alignment horizontal="left" vertical="center"/>
    </xf>
    <xf numFmtId="199" fontId="10" fillId="0" borderId="8" xfId="0" applyNumberFormat="1" applyFont="1" applyBorder="1"/>
    <xf numFmtId="199" fontId="44" fillId="0" borderId="8" xfId="0" applyNumberFormat="1" applyFont="1" applyBorder="1"/>
    <xf numFmtId="0" fontId="10" fillId="4" borderId="8" xfId="0" applyFont="1" applyFill="1" applyBorder="1" applyAlignment="1">
      <alignment horizontal="center" vertical="center"/>
    </xf>
    <xf numFmtId="14" fontId="10" fillId="4" borderId="8" xfId="0" applyNumberFormat="1" applyFont="1" applyFill="1" applyBorder="1" applyAlignment="1" applyProtection="1">
      <alignment horizontal="center" vertical="center"/>
      <protection locked="0"/>
    </xf>
    <xf numFmtId="199" fontId="10" fillId="4" borderId="8" xfId="0" applyNumberFormat="1" applyFont="1" applyFill="1" applyBorder="1" applyAlignment="1">
      <alignment horizontal="right"/>
    </xf>
    <xf numFmtId="199" fontId="21" fillId="4" borderId="8" xfId="0" applyNumberFormat="1" applyFont="1" applyFill="1" applyBorder="1" applyAlignment="1" applyProtection="1">
      <alignment horizontal="right" vertical="center"/>
      <protection locked="0"/>
    </xf>
    <xf numFmtId="3" fontId="21" fillId="4" borderId="8" xfId="0" applyNumberFormat="1" applyFont="1" applyFill="1" applyBorder="1" applyAlignment="1" applyProtection="1">
      <alignment horizontal="right" vertical="center"/>
      <protection locked="0"/>
    </xf>
    <xf numFmtId="199" fontId="21" fillId="4" borderId="8" xfId="0" applyNumberFormat="1" applyFont="1" applyFill="1" applyBorder="1" applyAlignment="1" applyProtection="1">
      <alignment horizontal="right" vertical="center"/>
      <protection hidden="1"/>
    </xf>
    <xf numFmtId="199" fontId="21" fillId="4" borderId="19" xfId="0" applyNumberFormat="1" applyFont="1" applyFill="1" applyBorder="1" applyAlignment="1" applyProtection="1">
      <alignment horizontal="right" vertical="center"/>
      <protection hidden="1"/>
    </xf>
    <xf numFmtId="199" fontId="21" fillId="4" borderId="19" xfId="0" applyNumberFormat="1" applyFont="1" applyFill="1" applyBorder="1" applyAlignment="1" applyProtection="1">
      <alignment horizontal="right" vertical="center"/>
      <protection locked="0"/>
    </xf>
    <xf numFmtId="3" fontId="10" fillId="4" borderId="0" xfId="0" applyNumberFormat="1" applyFont="1" applyFill="1"/>
    <xf numFmtId="3" fontId="10" fillId="4" borderId="0" xfId="1" applyNumberFormat="1" applyFont="1" applyFill="1"/>
    <xf numFmtId="0" fontId="10" fillId="4" borderId="0" xfId="0" applyFont="1" applyFill="1" applyAlignment="1">
      <alignment vertical="center"/>
    </xf>
    <xf numFmtId="1" fontId="20" fillId="4" borderId="8" xfId="0" applyNumberFormat="1" applyFont="1" applyFill="1" applyBorder="1" applyAlignment="1" applyProtection="1">
      <alignment vertical="center"/>
      <protection locked="0"/>
    </xf>
    <xf numFmtId="0" fontId="10" fillId="4" borderId="0" xfId="0" applyFont="1" applyFill="1"/>
    <xf numFmtId="49" fontId="4" fillId="3" borderId="19" xfId="0" applyNumberFormat="1" applyFont="1" applyFill="1" applyBorder="1" applyAlignment="1" applyProtection="1">
      <alignment vertical="center"/>
      <protection locked="0"/>
    </xf>
    <xf numFmtId="49" fontId="4" fillId="3" borderId="8" xfId="0" applyNumberFormat="1" applyFont="1" applyFill="1" applyBorder="1" applyAlignment="1" applyProtection="1">
      <alignment vertical="center"/>
      <protection locked="0"/>
    </xf>
    <xf numFmtId="49" fontId="10" fillId="3" borderId="9" xfId="0" applyNumberFormat="1" applyFont="1" applyFill="1" applyBorder="1" applyAlignment="1" applyProtection="1">
      <alignment vertical="center"/>
      <protection locked="0"/>
    </xf>
    <xf numFmtId="49" fontId="4" fillId="4" borderId="8" xfId="0" applyNumberFormat="1" applyFont="1" applyFill="1" applyBorder="1" applyAlignment="1" applyProtection="1">
      <alignment vertical="center"/>
      <protection locked="0"/>
    </xf>
    <xf numFmtId="0" fontId="18" fillId="3" borderId="2" xfId="0" applyFont="1" applyFill="1" applyBorder="1" applyAlignment="1" applyProtection="1">
      <alignment vertical="center"/>
      <protection locked="0"/>
    </xf>
    <xf numFmtId="199" fontId="10" fillId="7" borderId="19" xfId="0" applyNumberFormat="1" applyFont="1" applyFill="1" applyBorder="1" applyAlignment="1" applyProtection="1">
      <alignment horizontal="right" vertical="center"/>
      <protection locked="0"/>
    </xf>
    <xf numFmtId="199" fontId="10" fillId="7" borderId="8" xfId="0" applyNumberFormat="1" applyFont="1" applyFill="1" applyBorder="1" applyAlignment="1" applyProtection="1">
      <alignment horizontal="right" vertical="center"/>
      <protection locked="0"/>
    </xf>
    <xf numFmtId="199" fontId="29" fillId="7" borderId="8" xfId="0" applyNumberFormat="1" applyFont="1" applyFill="1" applyBorder="1" applyAlignment="1" applyProtection="1">
      <alignment horizontal="right" vertical="center"/>
      <protection locked="0"/>
    </xf>
    <xf numFmtId="199" fontId="21" fillId="7" borderId="8" xfId="0" applyNumberFormat="1" applyFont="1" applyFill="1" applyBorder="1" applyAlignment="1" applyProtection="1">
      <alignment horizontal="right" vertical="center"/>
      <protection locked="0"/>
    </xf>
    <xf numFmtId="199" fontId="10" fillId="7" borderId="9" xfId="0" applyNumberFormat="1" applyFont="1" applyFill="1" applyBorder="1" applyAlignment="1" applyProtection="1">
      <alignment horizontal="right" vertical="center"/>
      <protection locked="0"/>
    </xf>
    <xf numFmtId="0" fontId="10" fillId="7" borderId="19" xfId="0" applyFont="1" applyFill="1" applyBorder="1" applyAlignment="1" applyProtection="1">
      <alignment horizontal="right" vertical="center"/>
      <protection locked="0"/>
    </xf>
    <xf numFmtId="0" fontId="10" fillId="7" borderId="8" xfId="0" applyFont="1" applyFill="1" applyBorder="1" applyAlignment="1" applyProtection="1">
      <alignment horizontal="right" vertical="center"/>
      <protection locked="0"/>
    </xf>
    <xf numFmtId="0" fontId="44" fillId="7" borderId="8" xfId="0" applyFont="1" applyFill="1" applyBorder="1" applyAlignment="1" applyProtection="1">
      <alignment horizontal="right" vertical="center"/>
      <protection locked="0"/>
    </xf>
    <xf numFmtId="0" fontId="10" fillId="7" borderId="9" xfId="0" applyFont="1" applyFill="1" applyBorder="1" applyAlignment="1" applyProtection="1">
      <alignment horizontal="right" vertical="center"/>
      <protection locked="0"/>
    </xf>
    <xf numFmtId="0" fontId="29" fillId="3" borderId="0" xfId="0" applyFont="1" applyFill="1" applyAlignment="1">
      <alignment vertical="center" wrapText="1"/>
    </xf>
    <xf numFmtId="0" fontId="29" fillId="3" borderId="0" xfId="0" applyFont="1" applyFill="1" applyAlignment="1">
      <alignment vertical="center"/>
    </xf>
    <xf numFmtId="199" fontId="29" fillId="3" borderId="9" xfId="0" applyNumberFormat="1" applyFont="1" applyFill="1" applyBorder="1" applyAlignment="1" applyProtection="1">
      <alignment horizontal="right" vertical="center"/>
      <protection locked="0"/>
    </xf>
    <xf numFmtId="199" fontId="21" fillId="3" borderId="2" xfId="0" applyNumberFormat="1" applyFont="1" applyFill="1" applyBorder="1" applyAlignment="1" applyProtection="1">
      <alignment horizontal="right" vertical="center"/>
      <protection locked="0"/>
    </xf>
    <xf numFmtId="199" fontId="31" fillId="3" borderId="0" xfId="0" applyNumberFormat="1" applyFont="1" applyFill="1" applyAlignment="1">
      <alignment horizontal="right" vertical="center"/>
    </xf>
    <xf numFmtId="0" fontId="3" fillId="3" borderId="0" xfId="0" applyFont="1" applyFill="1"/>
    <xf numFmtId="0" fontId="7" fillId="3" borderId="0" xfId="177" applyFont="1" applyFill="1" applyProtection="1">
      <protection locked="0"/>
    </xf>
    <xf numFmtId="199" fontId="29" fillId="6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32" fillId="6" borderId="0" xfId="0" applyFont="1" applyFill="1" applyAlignment="1">
      <alignment horizontal="center" wrapText="1"/>
    </xf>
    <xf numFmtId="0" fontId="32" fillId="6" borderId="0" xfId="0" applyFont="1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29" fillId="0" borderId="0" xfId="0" applyFont="1" applyAlignment="1">
      <alignment horizontal="center" vertical="center" wrapText="1"/>
    </xf>
    <xf numFmtId="3" fontId="10" fillId="0" borderId="0" xfId="0" applyNumberFormat="1" applyFont="1" applyAlignment="1">
      <alignment horizontal="center"/>
    </xf>
    <xf numFmtId="0" fontId="29" fillId="3" borderId="2" xfId="0" applyFont="1" applyFill="1" applyBorder="1" applyAlignment="1">
      <alignment horizontal="center" vertical="center" wrapText="1"/>
    </xf>
    <xf numFmtId="3" fontId="10" fillId="0" borderId="2" xfId="0" applyNumberFormat="1" applyFont="1" applyBorder="1" applyAlignment="1">
      <alignment horizontal="center"/>
    </xf>
    <xf numFmtId="0" fontId="29" fillId="0" borderId="11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3" fontId="15" fillId="3" borderId="0" xfId="0" applyNumberFormat="1" applyFont="1" applyFill="1" applyAlignment="1">
      <alignment horizontal="center"/>
    </xf>
    <xf numFmtId="0" fontId="47" fillId="0" borderId="0" xfId="0" applyFont="1" applyAlignment="1">
      <alignment horizontal="center"/>
    </xf>
    <xf numFmtId="0" fontId="7" fillId="0" borderId="0" xfId="177" applyFont="1" applyAlignment="1" applyProtection="1">
      <alignment horizontal="center"/>
      <protection locked="0"/>
    </xf>
    <xf numFmtId="199" fontId="10" fillId="4" borderId="15" xfId="0" applyNumberFormat="1" applyFont="1" applyFill="1" applyBorder="1" applyAlignment="1">
      <alignment horizontal="center" vertical="center"/>
    </xf>
    <xf numFmtId="199" fontId="10" fillId="4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94" fontId="3" fillId="0" borderId="0" xfId="1" applyNumberFormat="1" applyFont="1" applyFill="1" applyAlignment="1">
      <alignment horizontal="center"/>
    </xf>
    <xf numFmtId="0" fontId="10" fillId="3" borderId="0" xfId="0" applyFont="1" applyFill="1" applyAlignment="1">
      <alignment horizontal="left"/>
    </xf>
    <xf numFmtId="194" fontId="3" fillId="3" borderId="0" xfId="1" applyNumberFormat="1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194" fontId="24" fillId="0" borderId="0" xfId="1" applyNumberFormat="1" applyFont="1" applyBorder="1" applyAlignment="1">
      <alignment horizontal="center"/>
    </xf>
    <xf numFmtId="194" fontId="48" fillId="0" borderId="11" xfId="1" applyNumberFormat="1" applyFont="1" applyBorder="1" applyAlignment="1">
      <alignment horizontal="center"/>
    </xf>
    <xf numFmtId="194" fontId="48" fillId="0" borderId="12" xfId="1" applyNumberFormat="1" applyFont="1" applyBorder="1" applyAlignment="1">
      <alignment horizontal="center"/>
    </xf>
    <xf numFmtId="194" fontId="48" fillId="0" borderId="13" xfId="1" applyNumberFormat="1" applyFont="1" applyBorder="1" applyAlignment="1">
      <alignment horizontal="center"/>
    </xf>
    <xf numFmtId="194" fontId="48" fillId="0" borderId="6" xfId="1" applyNumberFormat="1" applyFont="1" applyBorder="1" applyAlignment="1">
      <alignment horizontal="center" vertical="center"/>
    </xf>
    <xf numFmtId="194" fontId="48" fillId="0" borderId="7" xfId="1" applyNumberFormat="1" applyFont="1" applyBorder="1" applyAlignment="1">
      <alignment horizontal="center" vertical="center"/>
    </xf>
    <xf numFmtId="0" fontId="29" fillId="0" borderId="0" xfId="282" applyFont="1" applyAlignment="1">
      <alignment horizontal="center"/>
    </xf>
    <xf numFmtId="0" fontId="11" fillId="0" borderId="0" xfId="282" applyFont="1" applyAlignment="1">
      <alignment horizontal="center"/>
    </xf>
    <xf numFmtId="0" fontId="10" fillId="0" borderId="0" xfId="282" applyFont="1" applyAlignment="1">
      <alignment horizontal="center"/>
    </xf>
    <xf numFmtId="0" fontId="15" fillId="0" borderId="0" xfId="282" applyFont="1" applyAlignment="1">
      <alignment horizontal="center"/>
    </xf>
    <xf numFmtId="0" fontId="8" fillId="0" borderId="0" xfId="282" applyFont="1" applyAlignment="1">
      <alignment horizontal="center"/>
    </xf>
    <xf numFmtId="0" fontId="11" fillId="0" borderId="37" xfId="282" applyFont="1" applyBorder="1" applyAlignment="1">
      <alignment horizontal="center" vertical="center" shrinkToFit="1"/>
    </xf>
    <xf numFmtId="0" fontId="11" fillId="0" borderId="38" xfId="282" applyFont="1" applyBorder="1" applyAlignment="1">
      <alignment horizontal="center" vertical="center" shrinkToFit="1"/>
    </xf>
    <xf numFmtId="0" fontId="11" fillId="0" borderId="39" xfId="282" applyFont="1" applyBorder="1" applyAlignment="1">
      <alignment horizontal="center" vertical="center" shrinkToFit="1"/>
    </xf>
    <xf numFmtId="0" fontId="36" fillId="0" borderId="0" xfId="282" applyFont="1" applyAlignment="1">
      <alignment horizontal="center"/>
    </xf>
    <xf numFmtId="0" fontId="126" fillId="0" borderId="1" xfId="274" applyFont="1" applyBorder="1" applyAlignment="1">
      <alignment horizontal="center" vertical="center"/>
    </xf>
    <xf numFmtId="0" fontId="128" fillId="0" borderId="37" xfId="274" applyFont="1" applyBorder="1" applyAlignment="1">
      <alignment horizontal="center" vertical="center"/>
    </xf>
    <xf numFmtId="0" fontId="128" fillId="0" borderId="38" xfId="274" applyFont="1" applyBorder="1" applyAlignment="1">
      <alignment horizontal="center" vertical="center"/>
    </xf>
    <xf numFmtId="0" fontId="128" fillId="0" borderId="46" xfId="274" applyFont="1" applyBorder="1" applyAlignment="1">
      <alignment horizontal="center" vertical="center"/>
    </xf>
    <xf numFmtId="0" fontId="24" fillId="0" borderId="0" xfId="281" applyFont="1" applyAlignment="1">
      <alignment horizontal="center"/>
    </xf>
    <xf numFmtId="0" fontId="9" fillId="0" borderId="40" xfId="277" applyFont="1" applyBorder="1" applyAlignment="1">
      <alignment horizontal="center" vertical="center"/>
    </xf>
    <xf numFmtId="0" fontId="29" fillId="0" borderId="34" xfId="118" applyFont="1" applyBorder="1" applyAlignment="1">
      <alignment horizontal="center" vertical="center" wrapText="1"/>
    </xf>
    <xf numFmtId="0" fontId="29" fillId="0" borderId="14" xfId="118" applyFont="1" applyBorder="1" applyAlignment="1">
      <alignment horizontal="center" vertical="center" wrapText="1"/>
    </xf>
    <xf numFmtId="0" fontId="29" fillId="0" borderId="7" xfId="118" applyFont="1" applyBorder="1" applyAlignment="1">
      <alignment horizontal="center" vertical="center" wrapText="1"/>
    </xf>
    <xf numFmtId="0" fontId="29" fillId="0" borderId="37" xfId="277" applyFont="1" applyBorder="1" applyAlignment="1">
      <alignment horizontal="center" vertical="center" wrapText="1"/>
    </xf>
    <xf numFmtId="0" fontId="29" fillId="0" borderId="39" xfId="277" applyFont="1" applyBorder="1" applyAlignment="1">
      <alignment horizontal="center" vertical="center" wrapText="1"/>
    </xf>
    <xf numFmtId="0" fontId="15" fillId="0" borderId="37" xfId="277" applyFont="1" applyBorder="1" applyAlignment="1">
      <alignment horizontal="center" vertical="center" wrapText="1"/>
    </xf>
    <xf numFmtId="0" fontId="15" fillId="0" borderId="38" xfId="277" applyFont="1" applyBorder="1" applyAlignment="1">
      <alignment horizontal="center" vertical="center" wrapText="1"/>
    </xf>
    <xf numFmtId="0" fontId="39" fillId="0" borderId="37" xfId="277" applyFont="1" applyBorder="1" applyAlignment="1">
      <alignment horizontal="center" vertical="center"/>
    </xf>
    <xf numFmtId="0" fontId="39" fillId="0" borderId="38" xfId="277" applyFont="1" applyBorder="1" applyAlignment="1">
      <alignment horizontal="center" vertical="center"/>
    </xf>
    <xf numFmtId="0" fontId="41" fillId="0" borderId="43" xfId="277" applyFont="1" applyBorder="1" applyAlignment="1">
      <alignment horizontal="right" vertical="center"/>
    </xf>
    <xf numFmtId="0" fontId="45" fillId="0" borderId="0" xfId="281" applyFont="1" applyAlignment="1">
      <alignment horizontal="center"/>
    </xf>
    <xf numFmtId="0" fontId="15" fillId="0" borderId="0" xfId="277" applyFont="1" applyAlignment="1">
      <alignment horizontal="center" vertical="center" wrapText="1"/>
    </xf>
    <xf numFmtId="0" fontId="15" fillId="0" borderId="0" xfId="277" applyFont="1" applyAlignment="1">
      <alignment horizontal="center"/>
    </xf>
    <xf numFmtId="0" fontId="29" fillId="0" borderId="34" xfId="277" applyFont="1" applyBorder="1" applyAlignment="1">
      <alignment horizontal="center" vertical="center" wrapText="1"/>
    </xf>
    <xf numFmtId="0" fontId="29" fillId="0" borderId="14" xfId="277" applyFont="1" applyBorder="1" applyAlignment="1">
      <alignment horizontal="center" vertical="center" wrapText="1"/>
    </xf>
    <xf numFmtId="0" fontId="29" fillId="0" borderId="7" xfId="277" applyFont="1" applyBorder="1" applyAlignment="1">
      <alignment horizontal="center" vertical="center" wrapText="1"/>
    </xf>
    <xf numFmtId="0" fontId="9" fillId="0" borderId="37" xfId="277" applyFont="1" applyBorder="1" applyAlignment="1">
      <alignment horizontal="center" vertical="center" wrapText="1"/>
    </xf>
    <xf numFmtId="0" fontId="9" fillId="0" borderId="39" xfId="277" applyFont="1" applyBorder="1" applyAlignment="1">
      <alignment horizontal="center" vertical="center" wrapText="1"/>
    </xf>
    <xf numFmtId="0" fontId="29" fillId="0" borderId="36" xfId="118" applyFont="1" applyBorder="1" applyAlignment="1">
      <alignment horizontal="center" vertical="center" wrapText="1"/>
    </xf>
    <xf numFmtId="0" fontId="29" fillId="0" borderId="16" xfId="118" applyFont="1" applyBorder="1" applyAlignment="1">
      <alignment horizontal="center" vertical="center" wrapText="1"/>
    </xf>
    <xf numFmtId="0" fontId="29" fillId="0" borderId="20" xfId="118" applyFont="1" applyBorder="1" applyAlignment="1">
      <alignment horizontal="center" vertical="center" wrapText="1"/>
    </xf>
    <xf numFmtId="194" fontId="21" fillId="0" borderId="37" xfId="279" applyNumberFormat="1" applyFont="1" applyFill="1" applyBorder="1" applyAlignment="1">
      <alignment horizontal="center" vertical="center" wrapText="1"/>
    </xf>
    <xf numFmtId="194" fontId="21" fillId="0" borderId="39" xfId="279" applyNumberFormat="1" applyFont="1" applyFill="1" applyBorder="1" applyAlignment="1">
      <alignment horizontal="center" vertical="center" wrapText="1"/>
    </xf>
    <xf numFmtId="0" fontId="21" fillId="0" borderId="37" xfId="277" applyFont="1" applyBorder="1" applyAlignment="1">
      <alignment horizontal="center" vertical="center"/>
    </xf>
    <xf numFmtId="0" fontId="21" fillId="0" borderId="39" xfId="277" applyFont="1" applyBorder="1" applyAlignment="1">
      <alignment horizontal="center" vertical="center"/>
    </xf>
    <xf numFmtId="0" fontId="29" fillId="0" borderId="37" xfId="277" applyFont="1" applyBorder="1" applyAlignment="1">
      <alignment horizontal="center" vertical="center"/>
    </xf>
    <xf numFmtId="0" fontId="29" fillId="0" borderId="39" xfId="277" applyFont="1" applyBorder="1" applyAlignment="1">
      <alignment horizontal="center" vertical="center"/>
    </xf>
    <xf numFmtId="0" fontId="29" fillId="0" borderId="40" xfId="277" applyFont="1" applyBorder="1" applyAlignment="1">
      <alignment horizontal="center" vertical="center"/>
    </xf>
    <xf numFmtId="194" fontId="21" fillId="0" borderId="34" xfId="279" applyNumberFormat="1" applyFont="1" applyFill="1" applyBorder="1" applyAlignment="1">
      <alignment horizontal="center" vertical="center"/>
    </xf>
    <xf numFmtId="194" fontId="21" fillId="0" borderId="7" xfId="279" applyNumberFormat="1" applyFont="1" applyFill="1" applyBorder="1" applyAlignment="1">
      <alignment horizontal="center" vertical="center"/>
    </xf>
    <xf numFmtId="194" fontId="21" fillId="6" borderId="34" xfId="279" applyNumberFormat="1" applyFont="1" applyFill="1" applyBorder="1" applyAlignment="1">
      <alignment horizontal="center" vertical="center"/>
    </xf>
    <xf numFmtId="194" fontId="21" fillId="6" borderId="7" xfId="279" applyNumberFormat="1" applyFont="1" applyFill="1" applyBorder="1" applyAlignment="1">
      <alignment horizontal="center" vertical="center"/>
    </xf>
    <xf numFmtId="3" fontId="35" fillId="0" borderId="0" xfId="184" applyNumberFormat="1" applyFont="1" applyAlignment="1">
      <alignment horizontal="center" vertical="center"/>
    </xf>
    <xf numFmtId="0" fontId="48" fillId="0" borderId="0" xfId="184" applyFont="1" applyAlignment="1">
      <alignment horizontal="center" vertical="center"/>
    </xf>
    <xf numFmtId="0" fontId="21" fillId="0" borderId="1" xfId="277" applyFont="1" applyBorder="1" applyAlignment="1">
      <alignment horizontal="center" vertical="center"/>
    </xf>
    <xf numFmtId="0" fontId="29" fillId="0" borderId="35" xfId="277" applyFont="1" applyBorder="1" applyAlignment="1">
      <alignment horizontal="center" vertical="center"/>
    </xf>
    <xf numFmtId="0" fontId="29" fillId="0" borderId="36" xfId="277" applyFont="1" applyBorder="1" applyAlignment="1">
      <alignment horizontal="center" vertical="center"/>
    </xf>
    <xf numFmtId="0" fontId="29" fillId="0" borderId="17" xfId="277" applyFont="1" applyBorder="1" applyAlignment="1">
      <alignment horizontal="center" vertical="center"/>
    </xf>
    <xf numFmtId="0" fontId="29" fillId="0" borderId="20" xfId="277" applyFont="1" applyBorder="1" applyAlignment="1">
      <alignment horizontal="center" vertical="center"/>
    </xf>
    <xf numFmtId="0" fontId="29" fillId="0" borderId="15" xfId="277" applyFont="1" applyBorder="1" applyAlignment="1">
      <alignment horizontal="center" vertical="center"/>
    </xf>
    <xf numFmtId="0" fontId="29" fillId="0" borderId="16" xfId="277" applyFont="1" applyBorder="1" applyAlignment="1">
      <alignment horizontal="center" vertical="center"/>
    </xf>
    <xf numFmtId="194" fontId="29" fillId="0" borderId="34" xfId="276" applyNumberFormat="1" applyFont="1" applyBorder="1" applyAlignment="1">
      <alignment horizontal="center" vertical="center" wrapText="1"/>
    </xf>
    <xf numFmtId="194" fontId="29" fillId="0" borderId="14" xfId="276" applyNumberFormat="1" applyFont="1" applyBorder="1" applyAlignment="1">
      <alignment horizontal="center" vertical="center" wrapText="1"/>
    </xf>
    <xf numFmtId="194" fontId="29" fillId="0" borderId="7" xfId="276" applyNumberFormat="1" applyFont="1" applyBorder="1" applyAlignment="1">
      <alignment horizontal="center" vertical="center" wrapText="1"/>
    </xf>
    <xf numFmtId="194" fontId="29" fillId="0" borderId="34" xfId="277" applyNumberFormat="1" applyFont="1" applyBorder="1" applyAlignment="1">
      <alignment horizontal="center" vertical="center" wrapText="1"/>
    </xf>
    <xf numFmtId="194" fontId="29" fillId="0" borderId="14" xfId="277" applyNumberFormat="1" applyFont="1" applyBorder="1" applyAlignment="1">
      <alignment horizontal="center" vertical="center" wrapText="1"/>
    </xf>
    <xf numFmtId="0" fontId="43" fillId="0" borderId="37" xfId="277" applyFont="1" applyBorder="1" applyAlignment="1">
      <alignment horizontal="center" vertical="center"/>
    </xf>
    <xf numFmtId="0" fontId="43" fillId="0" borderId="38" xfId="277" applyFont="1" applyBorder="1" applyAlignment="1">
      <alignment horizontal="center" vertical="center"/>
    </xf>
    <xf numFmtId="0" fontId="122" fillId="0" borderId="0" xfId="184" applyFont="1" applyAlignment="1">
      <alignment horizontal="center" vertical="center"/>
    </xf>
    <xf numFmtId="0" fontId="29" fillId="0" borderId="0" xfId="277" applyFont="1" applyAlignment="1">
      <alignment horizontal="center" vertical="center"/>
    </xf>
    <xf numFmtId="3" fontId="123" fillId="0" borderId="0" xfId="184" applyNumberFormat="1" applyFont="1" applyAlignment="1">
      <alignment horizontal="center" vertical="center"/>
    </xf>
    <xf numFmtId="0" fontId="123" fillId="0" borderId="0" xfId="184" applyFont="1" applyAlignment="1">
      <alignment horizontal="center" vertical="center"/>
    </xf>
    <xf numFmtId="0" fontId="29" fillId="36" borderId="34" xfId="276" applyFont="1" applyFill="1" applyBorder="1" applyAlignment="1">
      <alignment horizontal="center" vertical="center" wrapText="1"/>
    </xf>
    <xf numFmtId="0" fontId="29" fillId="36" borderId="7" xfId="276" applyFont="1" applyFill="1" applyBorder="1" applyAlignment="1">
      <alignment horizontal="center" vertical="center" wrapText="1"/>
    </xf>
    <xf numFmtId="0" fontId="29" fillId="36" borderId="37" xfId="276" applyFont="1" applyFill="1" applyBorder="1" applyAlignment="1">
      <alignment horizontal="center" vertical="center" wrapText="1"/>
    </xf>
    <xf numFmtId="0" fontId="29" fillId="36" borderId="39" xfId="276" applyFont="1" applyFill="1" applyBorder="1" applyAlignment="1">
      <alignment horizontal="center" vertical="center" wrapText="1"/>
    </xf>
    <xf numFmtId="194" fontId="35" fillId="0" borderId="34" xfId="276" applyNumberFormat="1" applyFont="1" applyBorder="1" applyAlignment="1">
      <alignment horizontal="center" vertical="center" wrapText="1"/>
    </xf>
    <xf numFmtId="194" fontId="35" fillId="0" borderId="14" xfId="276" applyNumberFormat="1" applyFont="1" applyBorder="1" applyAlignment="1">
      <alignment horizontal="center" vertical="center" wrapText="1"/>
    </xf>
    <xf numFmtId="194" fontId="35" fillId="0" borderId="7" xfId="276" applyNumberFormat="1" applyFont="1" applyBorder="1" applyAlignment="1">
      <alignment horizontal="center" vertical="center" wrapText="1"/>
    </xf>
    <xf numFmtId="194" fontId="29" fillId="36" borderId="34" xfId="278" applyNumberFormat="1" applyFont="1" applyFill="1" applyBorder="1" applyAlignment="1">
      <alignment horizontal="center" vertical="center" wrapText="1"/>
    </xf>
    <xf numFmtId="194" fontId="29" fillId="36" borderId="14" xfId="278" applyNumberFormat="1" applyFont="1" applyFill="1" applyBorder="1" applyAlignment="1">
      <alignment horizontal="center" vertical="center" wrapText="1"/>
    </xf>
    <xf numFmtId="194" fontId="29" fillId="36" borderId="7" xfId="278" applyNumberFormat="1" applyFont="1" applyFill="1" applyBorder="1" applyAlignment="1">
      <alignment horizontal="center" vertical="center" wrapText="1"/>
    </xf>
    <xf numFmtId="0" fontId="29" fillId="36" borderId="34" xfId="277" applyFont="1" applyFill="1" applyBorder="1" applyAlignment="1">
      <alignment horizontal="center" vertical="center" wrapText="1"/>
    </xf>
    <xf numFmtId="0" fontId="29" fillId="36" borderId="14" xfId="277" applyFont="1" applyFill="1" applyBorder="1" applyAlignment="1">
      <alignment horizontal="center" vertical="center" wrapText="1"/>
    </xf>
    <xf numFmtId="0" fontId="29" fillId="36" borderId="7" xfId="277" applyFont="1" applyFill="1" applyBorder="1" applyAlignment="1">
      <alignment horizontal="center" vertical="center" wrapText="1"/>
    </xf>
    <xf numFmtId="0" fontId="29" fillId="36" borderId="37" xfId="277" applyFont="1" applyFill="1" applyBorder="1" applyAlignment="1">
      <alignment horizontal="center" vertical="center" wrapText="1"/>
    </xf>
    <xf numFmtId="0" fontId="29" fillId="36" borderId="38" xfId="277" applyFont="1" applyFill="1" applyBorder="1" applyAlignment="1">
      <alignment horizontal="center" vertical="center" wrapText="1"/>
    </xf>
    <xf numFmtId="0" fontId="29" fillId="36" borderId="39" xfId="277" applyFont="1" applyFill="1" applyBorder="1" applyAlignment="1">
      <alignment horizontal="center" vertical="center" wrapText="1"/>
    </xf>
    <xf numFmtId="0" fontId="29" fillId="36" borderId="38" xfId="276" applyFont="1" applyFill="1" applyBorder="1" applyAlignment="1">
      <alignment horizontal="center" vertical="center" wrapText="1"/>
    </xf>
    <xf numFmtId="0" fontId="17" fillId="0" borderId="0" xfId="277" applyFont="1" applyAlignment="1">
      <alignment horizontal="center" vertical="center" wrapText="1"/>
    </xf>
    <xf numFmtId="0" fontId="29" fillId="36" borderId="35" xfId="277" applyFont="1" applyFill="1" applyBorder="1" applyAlignment="1">
      <alignment horizontal="center" vertical="center" wrapText="1"/>
    </xf>
    <xf numFmtId="0" fontId="29" fillId="36" borderId="15" xfId="277" applyFont="1" applyFill="1" applyBorder="1" applyAlignment="1">
      <alignment horizontal="center" vertical="center" wrapText="1"/>
    </xf>
    <xf numFmtId="0" fontId="29" fillId="36" borderId="17" xfId="277" applyFont="1" applyFill="1" applyBorder="1" applyAlignment="1">
      <alignment horizontal="center" vertical="center" wrapText="1"/>
    </xf>
    <xf numFmtId="0" fontId="29" fillId="36" borderId="36" xfId="277" applyFont="1" applyFill="1" applyBorder="1" applyAlignment="1">
      <alignment horizontal="center" vertical="center" wrapText="1"/>
    </xf>
    <xf numFmtId="0" fontId="29" fillId="36" borderId="16" xfId="277" applyFont="1" applyFill="1" applyBorder="1" applyAlignment="1">
      <alignment horizontal="center" vertical="center" wrapText="1"/>
    </xf>
    <xf numFmtId="0" fontId="29" fillId="36" borderId="20" xfId="277" applyFont="1" applyFill="1" applyBorder="1" applyAlignment="1">
      <alignment horizontal="center" vertical="center" wrapText="1"/>
    </xf>
    <xf numFmtId="0" fontId="29" fillId="36" borderId="14" xfId="276" applyFont="1" applyFill="1" applyBorder="1" applyAlignment="1">
      <alignment horizontal="center" vertical="center" wrapText="1"/>
    </xf>
    <xf numFmtId="0" fontId="29" fillId="36" borderId="34" xfId="276" applyFont="1" applyFill="1" applyBorder="1" applyAlignment="1">
      <alignment horizontal="center" wrapText="1"/>
    </xf>
    <xf numFmtId="0" fontId="29" fillId="36" borderId="7" xfId="276" applyFont="1" applyFill="1" applyBorder="1" applyAlignment="1">
      <alignment horizontal="center" wrapText="1"/>
    </xf>
    <xf numFmtId="0" fontId="24" fillId="0" borderId="0" xfId="0" applyFont="1" applyAlignment="1" applyProtection="1">
      <alignment horizontal="center"/>
      <protection hidden="1"/>
    </xf>
    <xf numFmtId="49" fontId="24" fillId="0" borderId="1" xfId="0" applyNumberFormat="1" applyFont="1" applyBorder="1" applyAlignment="1" applyProtection="1">
      <alignment horizontal="center"/>
      <protection hidden="1"/>
    </xf>
    <xf numFmtId="0" fontId="24" fillId="0" borderId="2" xfId="0" applyFont="1" applyBorder="1" applyAlignment="1">
      <alignment horizontal="center"/>
    </xf>
    <xf numFmtId="0" fontId="25" fillId="0" borderId="3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0" fontId="25" fillId="0" borderId="5" xfId="0" applyFont="1" applyBorder="1" applyAlignment="1" applyProtection="1">
      <alignment horizontal="center"/>
      <protection locked="0"/>
    </xf>
    <xf numFmtId="0" fontId="15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9" fillId="3" borderId="34" xfId="0" applyFont="1" applyFill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194" fontId="7" fillId="0" borderId="0" xfId="125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3" fontId="1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</cellXfs>
  <cellStyles count="286">
    <cellStyle name="_x0001_" xfId="2" xr:uid="{00000000-0005-0000-0000-000000000000}"/>
    <cellStyle name="??" xfId="3" xr:uid="{00000000-0005-0000-0000-000001000000}"/>
    <cellStyle name="?? [0.00]_List-dwg" xfId="4" xr:uid="{00000000-0005-0000-0000-000002000000}"/>
    <cellStyle name="?? [0]_1202" xfId="5" xr:uid="{00000000-0005-0000-0000-000003000000}"/>
    <cellStyle name="???? [0.00]_List-dwg" xfId="6" xr:uid="{00000000-0005-0000-0000-000004000000}"/>
    <cellStyle name="????_List-dwg" xfId="7" xr:uid="{00000000-0005-0000-0000-000005000000}"/>
    <cellStyle name="???_???" xfId="8" xr:uid="{00000000-0005-0000-0000-000006000000}"/>
    <cellStyle name="??_(????)??????" xfId="9" xr:uid="{00000000-0005-0000-0000-000007000000}"/>
    <cellStyle name="_Book1" xfId="10" xr:uid="{00000000-0005-0000-0000-000008000000}"/>
    <cellStyle name="_KT (2)" xfId="11" xr:uid="{00000000-0005-0000-0000-000009000000}"/>
    <cellStyle name="_KT (2)_1" xfId="12" xr:uid="{00000000-0005-0000-0000-00000A000000}"/>
    <cellStyle name="_KT (2)_1_Book1" xfId="13" xr:uid="{00000000-0005-0000-0000-00000B000000}"/>
    <cellStyle name="_KT (2)_1_Ngocchuc-gd1" xfId="14" xr:uid="{00000000-0005-0000-0000-00000C000000}"/>
    <cellStyle name="_KT (2)_1_Ngocchuc-pstgd1" xfId="15" xr:uid="{00000000-0005-0000-0000-00000D000000}"/>
    <cellStyle name="_KT (2)_2" xfId="16" xr:uid="{00000000-0005-0000-0000-00000E000000}"/>
    <cellStyle name="_KT (2)_2_TG-TH" xfId="17" xr:uid="{00000000-0005-0000-0000-00000F000000}"/>
    <cellStyle name="_KT (2)_2_TG-TH_Book1" xfId="18" xr:uid="{00000000-0005-0000-0000-000010000000}"/>
    <cellStyle name="_KT (2)_2_TG-TH_Ngocchuc-gd1" xfId="19" xr:uid="{00000000-0005-0000-0000-000011000000}"/>
    <cellStyle name="_KT (2)_2_TG-TH_Ngocchuc-pstgd1" xfId="20" xr:uid="{00000000-0005-0000-0000-000012000000}"/>
    <cellStyle name="_KT (2)_3" xfId="21" xr:uid="{00000000-0005-0000-0000-000013000000}"/>
    <cellStyle name="_KT (2)_3_TG-TH" xfId="22" xr:uid="{00000000-0005-0000-0000-000014000000}"/>
    <cellStyle name="_KT (2)_3_TG-TH_Book1" xfId="23" xr:uid="{00000000-0005-0000-0000-000015000000}"/>
    <cellStyle name="_KT (2)_3_TG-TH_Ngocchuc-gd1" xfId="24" xr:uid="{00000000-0005-0000-0000-000016000000}"/>
    <cellStyle name="_KT (2)_3_TG-TH_Ngocchuc-pstgd1" xfId="25" xr:uid="{00000000-0005-0000-0000-000017000000}"/>
    <cellStyle name="_KT (2)_3_TG-TH_PERSONAL" xfId="26" xr:uid="{00000000-0005-0000-0000-000018000000}"/>
    <cellStyle name="_KT (2)_3_TG-TH_PERSONAL_Book1" xfId="27" xr:uid="{00000000-0005-0000-0000-000019000000}"/>
    <cellStyle name="_KT (2)_3_TG-TH_PERSONAL_Tong hop KHCB 2001" xfId="28" xr:uid="{00000000-0005-0000-0000-00001A000000}"/>
    <cellStyle name="_KT (2)_3_TG-TH_TT-GD 1" xfId="29" xr:uid="{00000000-0005-0000-0000-00001B000000}"/>
    <cellStyle name="_KT (2)_4" xfId="30" xr:uid="{00000000-0005-0000-0000-00001C000000}"/>
    <cellStyle name="_KT (2)_4_Book1" xfId="31" xr:uid="{00000000-0005-0000-0000-00001D000000}"/>
    <cellStyle name="_KT (2)_4_Ngocchuc-gd1" xfId="32" xr:uid="{00000000-0005-0000-0000-00001E000000}"/>
    <cellStyle name="_KT (2)_4_Ngocchuc-pstgd1" xfId="33" xr:uid="{00000000-0005-0000-0000-00001F000000}"/>
    <cellStyle name="_KT (2)_4_TG-TH" xfId="34" xr:uid="{00000000-0005-0000-0000-000020000000}"/>
    <cellStyle name="_KT (2)_5" xfId="35" xr:uid="{00000000-0005-0000-0000-000021000000}"/>
    <cellStyle name="_KT (2)_5_Book1" xfId="36" xr:uid="{00000000-0005-0000-0000-000022000000}"/>
    <cellStyle name="_KT (2)_5_Ngocchuc-gd1" xfId="37" xr:uid="{00000000-0005-0000-0000-000023000000}"/>
    <cellStyle name="_KT (2)_5_Ngocchuc-pstgd1" xfId="38" xr:uid="{00000000-0005-0000-0000-000024000000}"/>
    <cellStyle name="_KT (2)_Book1" xfId="39" xr:uid="{00000000-0005-0000-0000-000025000000}"/>
    <cellStyle name="_KT (2)_Ngocchuc-gd1" xfId="40" xr:uid="{00000000-0005-0000-0000-000026000000}"/>
    <cellStyle name="_KT (2)_Ngocchuc-pstgd1" xfId="41" xr:uid="{00000000-0005-0000-0000-000027000000}"/>
    <cellStyle name="_KT (2)_PERSONAL" xfId="42" xr:uid="{00000000-0005-0000-0000-000028000000}"/>
    <cellStyle name="_KT (2)_PERSONAL_Book1" xfId="43" xr:uid="{00000000-0005-0000-0000-000029000000}"/>
    <cellStyle name="_KT (2)_PERSONAL_Tong hop KHCB 2001" xfId="44" xr:uid="{00000000-0005-0000-0000-00002A000000}"/>
    <cellStyle name="_KT (2)_TG-TH" xfId="45" xr:uid="{00000000-0005-0000-0000-00002B000000}"/>
    <cellStyle name="_KT (2)_TT-GD 1" xfId="46" xr:uid="{00000000-0005-0000-0000-00002C000000}"/>
    <cellStyle name="_KT_TG" xfId="47" xr:uid="{00000000-0005-0000-0000-00002D000000}"/>
    <cellStyle name="_KT_TG_1" xfId="48" xr:uid="{00000000-0005-0000-0000-00002E000000}"/>
    <cellStyle name="_KT_TG_1_Book1" xfId="49" xr:uid="{00000000-0005-0000-0000-00002F000000}"/>
    <cellStyle name="_KT_TG_1_Ngocchuc-gd1" xfId="50" xr:uid="{00000000-0005-0000-0000-000030000000}"/>
    <cellStyle name="_KT_TG_1_Ngocchuc-pstgd1" xfId="51" xr:uid="{00000000-0005-0000-0000-000031000000}"/>
    <cellStyle name="_KT_TG_2" xfId="52" xr:uid="{00000000-0005-0000-0000-000032000000}"/>
    <cellStyle name="_KT_TG_2_Book1" xfId="53" xr:uid="{00000000-0005-0000-0000-000033000000}"/>
    <cellStyle name="_KT_TG_2_Ngocchuc-gd1" xfId="54" xr:uid="{00000000-0005-0000-0000-000034000000}"/>
    <cellStyle name="_KT_TG_2_Ngocchuc-pstgd1" xfId="55" xr:uid="{00000000-0005-0000-0000-000035000000}"/>
    <cellStyle name="_KT_TG_3" xfId="56" xr:uid="{00000000-0005-0000-0000-000036000000}"/>
    <cellStyle name="_KT_TG_4" xfId="57" xr:uid="{00000000-0005-0000-0000-000037000000}"/>
    <cellStyle name="_KT_TG_4_Book1" xfId="58" xr:uid="{00000000-0005-0000-0000-000038000000}"/>
    <cellStyle name="_KT_TG_4_Ngocchuc-gd1" xfId="59" xr:uid="{00000000-0005-0000-0000-000039000000}"/>
    <cellStyle name="_KT_TG_4_Ngocchuc-pstgd1" xfId="60" xr:uid="{00000000-0005-0000-0000-00003A000000}"/>
    <cellStyle name="_Ngocchuc-gd1" xfId="61" xr:uid="{00000000-0005-0000-0000-00003B000000}"/>
    <cellStyle name="_Ngocchuc-pstgd1" xfId="62" xr:uid="{00000000-0005-0000-0000-00003C000000}"/>
    <cellStyle name="_PERSONAL" xfId="63" xr:uid="{00000000-0005-0000-0000-00003D000000}"/>
    <cellStyle name="_PERSONAL_Book1" xfId="64" xr:uid="{00000000-0005-0000-0000-00003E000000}"/>
    <cellStyle name="_PERSONAL_Tong hop KHCB 2001" xfId="65" xr:uid="{00000000-0005-0000-0000-00003F000000}"/>
    <cellStyle name="_TG-TH" xfId="66" xr:uid="{00000000-0005-0000-0000-000040000000}"/>
    <cellStyle name="_TG-TH_1" xfId="67" xr:uid="{00000000-0005-0000-0000-000041000000}"/>
    <cellStyle name="_TG-TH_1_Book1" xfId="68" xr:uid="{00000000-0005-0000-0000-000042000000}"/>
    <cellStyle name="_TG-TH_1_Ngocchuc-gd1" xfId="69" xr:uid="{00000000-0005-0000-0000-000043000000}"/>
    <cellStyle name="_TG-TH_1_Ngocchuc-pstgd1" xfId="70" xr:uid="{00000000-0005-0000-0000-000044000000}"/>
    <cellStyle name="_TG-TH_2" xfId="71" xr:uid="{00000000-0005-0000-0000-000045000000}"/>
    <cellStyle name="_TG-TH_2_Book1" xfId="72" xr:uid="{00000000-0005-0000-0000-000046000000}"/>
    <cellStyle name="_TG-TH_2_Ngocchuc-gd1" xfId="73" xr:uid="{00000000-0005-0000-0000-000047000000}"/>
    <cellStyle name="_TG-TH_2_Ngocchuc-pstgd1" xfId="74" xr:uid="{00000000-0005-0000-0000-000048000000}"/>
    <cellStyle name="_TG-TH_3" xfId="75" xr:uid="{00000000-0005-0000-0000-000049000000}"/>
    <cellStyle name="_TG-TH_3_Book1" xfId="76" xr:uid="{00000000-0005-0000-0000-00004A000000}"/>
    <cellStyle name="_TG-TH_3_Ngocchuc-gd1" xfId="77" xr:uid="{00000000-0005-0000-0000-00004B000000}"/>
    <cellStyle name="_TG-TH_3_Ngocchuc-pstgd1" xfId="78" xr:uid="{00000000-0005-0000-0000-00004C000000}"/>
    <cellStyle name="_TG-TH_4" xfId="79" xr:uid="{00000000-0005-0000-0000-00004D000000}"/>
    <cellStyle name="_TT-GD 1" xfId="80" xr:uid="{00000000-0005-0000-0000-00004E000000}"/>
    <cellStyle name="W_STDFOR" xfId="81" xr:uid="{00000000-0005-0000-0000-00004F000000}"/>
    <cellStyle name="¹éºÐÀ²_±âÅ¸" xfId="82" xr:uid="{00000000-0005-0000-0000-000050000000}"/>
    <cellStyle name="20% - Accent1 2" xfId="83" xr:uid="{00000000-0005-0000-0000-000051000000}"/>
    <cellStyle name="20% - Accent1 3" xfId="84" xr:uid="{00000000-0005-0000-0000-000052000000}"/>
    <cellStyle name="20% - Accent1 3 2" xfId="85" xr:uid="{00000000-0005-0000-0000-000053000000}"/>
    <cellStyle name="20% - Accent1 3 3" xfId="86" xr:uid="{00000000-0005-0000-0000-000054000000}"/>
    <cellStyle name="20% - Accent1 3 3 2" xfId="87" xr:uid="{00000000-0005-0000-0000-000055000000}"/>
    <cellStyle name="20% - Accent1 3 3 3" xfId="88" xr:uid="{00000000-0005-0000-0000-000056000000}"/>
    <cellStyle name="20% - Accent1 4" xfId="89" xr:uid="{00000000-0005-0000-0000-000057000000}"/>
    <cellStyle name="20% - Nhấn1" xfId="90" xr:uid="{00000000-0005-0000-0000-000058000000}"/>
    <cellStyle name="20% - Nhấn2" xfId="91" xr:uid="{00000000-0005-0000-0000-000059000000}"/>
    <cellStyle name="20% - Nhấn3" xfId="92" xr:uid="{00000000-0005-0000-0000-00005A000000}"/>
    <cellStyle name="20% - Nhấn4" xfId="93" xr:uid="{00000000-0005-0000-0000-00005B000000}"/>
    <cellStyle name="20% - Nhấn5" xfId="94" xr:uid="{00000000-0005-0000-0000-00005C000000}"/>
    <cellStyle name="20% - Nhấn6" xfId="95" xr:uid="{00000000-0005-0000-0000-00005D000000}"/>
    <cellStyle name="40% - Nhấn1" xfId="96" xr:uid="{00000000-0005-0000-0000-00005E000000}"/>
    <cellStyle name="40% - Nhấn2" xfId="97" xr:uid="{00000000-0005-0000-0000-00005F000000}"/>
    <cellStyle name="40% - Nhấn3" xfId="98" xr:uid="{00000000-0005-0000-0000-000060000000}"/>
    <cellStyle name="40% - Nhấn4" xfId="99" xr:uid="{00000000-0005-0000-0000-000061000000}"/>
    <cellStyle name="40% - Nhấn5" xfId="100" xr:uid="{00000000-0005-0000-0000-000062000000}"/>
    <cellStyle name="40% - Nhấn6" xfId="101" xr:uid="{00000000-0005-0000-0000-000063000000}"/>
    <cellStyle name="60% - Nhấn1" xfId="102" xr:uid="{00000000-0005-0000-0000-000064000000}"/>
    <cellStyle name="60% - Nhấn2" xfId="103" xr:uid="{00000000-0005-0000-0000-000065000000}"/>
    <cellStyle name="60% - Nhấn3" xfId="104" xr:uid="{00000000-0005-0000-0000-000066000000}"/>
    <cellStyle name="60% - Nhấn4" xfId="105" xr:uid="{00000000-0005-0000-0000-000067000000}"/>
    <cellStyle name="60% - Nhấn5" xfId="106" xr:uid="{00000000-0005-0000-0000-000068000000}"/>
    <cellStyle name="60% - Nhấn6" xfId="107" xr:uid="{00000000-0005-0000-0000-000069000000}"/>
    <cellStyle name="ÅëÈ­ [0]_±âÅ¸" xfId="108" xr:uid="{00000000-0005-0000-0000-00006A000000}"/>
    <cellStyle name="AeE­ [0]_INQUIRY ¿µ¾÷AßAø " xfId="109" xr:uid="{00000000-0005-0000-0000-00006B000000}"/>
    <cellStyle name="ÅëÈ­ [0]_L601CPT" xfId="110" xr:uid="{00000000-0005-0000-0000-00006C000000}"/>
    <cellStyle name="ÅëÈ­_±âÅ¸" xfId="111" xr:uid="{00000000-0005-0000-0000-00006D000000}"/>
    <cellStyle name="AeE­_INQUIRY ¿µ¾÷AßAø " xfId="112" xr:uid="{00000000-0005-0000-0000-00006E000000}"/>
    <cellStyle name="ÄÞ¸¶ [0]_±âÅ¸" xfId="113" xr:uid="{00000000-0005-0000-0000-00006F000000}"/>
    <cellStyle name="AÞ¸¶ [0]_INQUIRY ¿?¾÷AßAø " xfId="114" xr:uid="{00000000-0005-0000-0000-000070000000}"/>
    <cellStyle name="ÄÞ¸¶_±âÅ¸" xfId="115" xr:uid="{00000000-0005-0000-0000-000071000000}"/>
    <cellStyle name="AÞ¸¶_INQUIRY ¿?¾÷AßAø " xfId="116" xr:uid="{00000000-0005-0000-0000-000072000000}"/>
    <cellStyle name="AutoFormat Options" xfId="117" xr:uid="{00000000-0005-0000-0000-000073000000}"/>
    <cellStyle name="Bình thường 2" xfId="118" xr:uid="{00000000-0005-0000-0000-000074000000}"/>
    <cellStyle name="Bình thường 2 2" xfId="276" xr:uid="{4014C3F8-107F-491A-A33A-B614CA53138E}"/>
    <cellStyle name="Bình thường 3" xfId="271" xr:uid="{00000000-0005-0000-0000-000075000000}"/>
    <cellStyle name="Bình thường 4" xfId="273" xr:uid="{63D00151-55C0-4361-A5AA-802B803DB55F}"/>
    <cellStyle name="Bình thường 5" xfId="274" xr:uid="{80D22052-F9D6-43E3-9910-3CEBD21C0D68}"/>
    <cellStyle name="Bình thường 6" xfId="282" xr:uid="{2C83FA95-F781-4940-A379-EABBD8054C18}"/>
    <cellStyle name="Bình thường 7" xfId="284" xr:uid="{1BDE94BD-5267-4459-A7FE-E331E6A90A14}"/>
    <cellStyle name="BKCTGS" xfId="119" xr:uid="{00000000-0005-0000-0000-000076000000}"/>
    <cellStyle name="C?AØ_¿?¾÷CoE² " xfId="120" xr:uid="{00000000-0005-0000-0000-000077000000}"/>
    <cellStyle name="Ç¥ÁØ_#2(M17)_1" xfId="121" xr:uid="{00000000-0005-0000-0000-000078000000}"/>
    <cellStyle name="C￥AØ_¿μ¾÷CoE² " xfId="122" xr:uid="{00000000-0005-0000-0000-000079000000}"/>
    <cellStyle name="category" xfId="123" xr:uid="{00000000-0005-0000-0000-00007A000000}"/>
    <cellStyle name="Cerrency_Sheet2_XANGDAU" xfId="124" xr:uid="{00000000-0005-0000-0000-00007B000000}"/>
    <cellStyle name="Comma" xfId="1" builtinId="3"/>
    <cellStyle name="Comma 2" xfId="125" xr:uid="{00000000-0005-0000-0000-00007D000000}"/>
    <cellStyle name="Comma 2 2" xfId="279" xr:uid="{72AFF5EB-9D9C-4BDB-8888-69361F901FDD}"/>
    <cellStyle name="Comma 3" xfId="126" xr:uid="{00000000-0005-0000-0000-00007E000000}"/>
    <cellStyle name="Comma 3 2" xfId="127" xr:uid="{00000000-0005-0000-0000-00007F000000}"/>
    <cellStyle name="Comma 4" xfId="128" xr:uid="{00000000-0005-0000-0000-000080000000}"/>
    <cellStyle name="Comma0" xfId="129" xr:uid="{00000000-0005-0000-0000-000081000000}"/>
    <cellStyle name="CTGS" xfId="130" xr:uid="{00000000-0005-0000-0000-000082000000}"/>
    <cellStyle name="Currency0" xfId="131" xr:uid="{00000000-0005-0000-0000-000084000000}"/>
    <cellStyle name="Date" xfId="132" xr:uid="{00000000-0005-0000-0000-000085000000}"/>
    <cellStyle name="Dấu phẩy 2" xfId="272" xr:uid="{54F14E59-C6D7-4502-B689-A4662A1E4EA0}"/>
    <cellStyle name="Dấu phẩy 3" xfId="275" xr:uid="{6948A7AD-73A6-4D4C-A13A-798ABC5A8B36}"/>
    <cellStyle name="Dấu phẩy 4" xfId="278" xr:uid="{453AE934-2F34-49C5-A3F9-C1C7C2E11A1E}"/>
    <cellStyle name="Dấu phẩy 5" xfId="280" xr:uid="{479A2960-5902-4B1B-9BDA-B7AA7A2468ED}"/>
    <cellStyle name="Dấu phẩy 6" xfId="285" xr:uid="{D1AFEB18-1A82-4C76-B68D-6064F9B6A5D3}"/>
    <cellStyle name="Đầu ra" xfId="133" xr:uid="{00000000-0005-0000-0000-000086000000}"/>
    <cellStyle name="Đầu vào" xfId="134" xr:uid="{00000000-0005-0000-0000-000087000000}"/>
    <cellStyle name="Đề mục 1" xfId="135" xr:uid="{00000000-0005-0000-0000-000088000000}"/>
    <cellStyle name="Đề mục 2" xfId="136" xr:uid="{00000000-0005-0000-0000-000089000000}"/>
    <cellStyle name="Đề mục 3" xfId="137" xr:uid="{00000000-0005-0000-0000-00008A000000}"/>
    <cellStyle name="Đề mục 4" xfId="138" xr:uid="{00000000-0005-0000-0000-00008B000000}"/>
    <cellStyle name="Dezimal [0]_UXO VII" xfId="139" xr:uid="{00000000-0005-0000-0000-00008C000000}"/>
    <cellStyle name="Dezimal_UXO VII" xfId="140" xr:uid="{00000000-0005-0000-0000-00008D000000}"/>
    <cellStyle name="Fixed" xfId="141" xr:uid="{00000000-0005-0000-0000-00008E000000}"/>
    <cellStyle name="Ghi chú" xfId="142" xr:uid="{00000000-0005-0000-0000-00008F000000}"/>
    <cellStyle name="Grey" xfId="143" xr:uid="{00000000-0005-0000-0000-000090000000}"/>
    <cellStyle name="HEADER" xfId="144" xr:uid="{00000000-0005-0000-0000-000091000000}"/>
    <cellStyle name="Header1" xfId="145" xr:uid="{00000000-0005-0000-0000-000092000000}"/>
    <cellStyle name="Header2" xfId="146" xr:uid="{00000000-0005-0000-0000-000093000000}"/>
    <cellStyle name="Heading1" xfId="147" xr:uid="{00000000-0005-0000-0000-000094000000}"/>
    <cellStyle name="Heading2" xfId="148" xr:uid="{00000000-0005-0000-0000-000095000000}"/>
    <cellStyle name="i·0" xfId="149" xr:uid="{00000000-0005-0000-0000-000096000000}"/>
    <cellStyle name="Îáû÷íûé_ÏÄÍÃ" xfId="150" xr:uid="{00000000-0005-0000-0000-000097000000}"/>
    <cellStyle name="Input [yellow]" xfId="151" xr:uid="{00000000-0005-0000-0000-000098000000}"/>
    <cellStyle name="Kiểm tra Ô" xfId="152" xr:uid="{00000000-0005-0000-0000-000099000000}"/>
    <cellStyle name="Millares [0]_Well Timing" xfId="153" xr:uid="{00000000-0005-0000-0000-00009A000000}"/>
    <cellStyle name="Millares_Well Timing" xfId="154" xr:uid="{00000000-0005-0000-0000-00009B000000}"/>
    <cellStyle name="Model" xfId="155" xr:uid="{00000000-0005-0000-0000-00009C000000}"/>
    <cellStyle name="Moneda [0]_Well Timing" xfId="156" xr:uid="{00000000-0005-0000-0000-00009D000000}"/>
    <cellStyle name="Moneda_Well Timing" xfId="157" xr:uid="{00000000-0005-0000-0000-00009E000000}"/>
    <cellStyle name="n" xfId="158" xr:uid="{00000000-0005-0000-0000-00009F000000}"/>
    <cellStyle name="Nhấn1" xfId="159" xr:uid="{00000000-0005-0000-0000-0000A0000000}"/>
    <cellStyle name="Nhấn2" xfId="160" xr:uid="{00000000-0005-0000-0000-0000A1000000}"/>
    <cellStyle name="Nhấn3" xfId="161" xr:uid="{00000000-0005-0000-0000-0000A2000000}"/>
    <cellStyle name="Nhấn4" xfId="162" xr:uid="{00000000-0005-0000-0000-0000A3000000}"/>
    <cellStyle name="Nhấn5" xfId="163" xr:uid="{00000000-0005-0000-0000-0000A4000000}"/>
    <cellStyle name="Nhấn6" xfId="164" xr:uid="{00000000-0005-0000-0000-0000A5000000}"/>
    <cellStyle name="Normal" xfId="0" builtinId="0"/>
    <cellStyle name="Normal - Style1" xfId="165" xr:uid="{00000000-0005-0000-0000-0000A7000000}"/>
    <cellStyle name="Normal 10" xfId="166" xr:uid="{00000000-0005-0000-0000-0000A8000000}"/>
    <cellStyle name="Normal 10 2" xfId="167" xr:uid="{00000000-0005-0000-0000-0000A9000000}"/>
    <cellStyle name="Normal 11" xfId="168" xr:uid="{00000000-0005-0000-0000-0000AA000000}"/>
    <cellStyle name="Normal 12" xfId="169" xr:uid="{00000000-0005-0000-0000-0000AB000000}"/>
    <cellStyle name="Normal 13" xfId="170" xr:uid="{00000000-0005-0000-0000-0000AC000000}"/>
    <cellStyle name="Normal 14" xfId="171" xr:uid="{00000000-0005-0000-0000-0000AD000000}"/>
    <cellStyle name="Normal 15" xfId="172" xr:uid="{00000000-0005-0000-0000-0000AE000000}"/>
    <cellStyle name="Normal 15 2" xfId="173" xr:uid="{00000000-0005-0000-0000-0000AF000000}"/>
    <cellStyle name="Normal 15 3" xfId="174" xr:uid="{00000000-0005-0000-0000-0000B0000000}"/>
    <cellStyle name="Normal 16" xfId="175" xr:uid="{00000000-0005-0000-0000-0000B1000000}"/>
    <cellStyle name="Normal 17" xfId="176" xr:uid="{00000000-0005-0000-0000-0000B2000000}"/>
    <cellStyle name="Normal 18" xfId="177" xr:uid="{00000000-0005-0000-0000-0000B3000000}"/>
    <cellStyle name="Normal 19" xfId="178" xr:uid="{00000000-0005-0000-0000-0000B4000000}"/>
    <cellStyle name="Normal 2" xfId="179" xr:uid="{00000000-0005-0000-0000-0000B5000000}"/>
    <cellStyle name="Normal 2 2" xfId="180" xr:uid="{00000000-0005-0000-0000-0000B6000000}"/>
    <cellStyle name="Normal 2 3" xfId="181" xr:uid="{00000000-0005-0000-0000-0000B7000000}"/>
    <cellStyle name="Normal 2 4" xfId="277" xr:uid="{BECDB214-D375-43D4-BD10-F40AF692FA23}"/>
    <cellStyle name="Normal 2_Bang-luong-2016" xfId="182" xr:uid="{00000000-0005-0000-0000-0000B8000000}"/>
    <cellStyle name="Normal 20" xfId="183" xr:uid="{00000000-0005-0000-0000-0000B9000000}"/>
    <cellStyle name="Normal 3" xfId="184" xr:uid="{00000000-0005-0000-0000-0000BA000000}"/>
    <cellStyle name="Normal 3 2" xfId="281" xr:uid="{E0AEEB48-1428-4524-824E-AD2D1870969C}"/>
    <cellStyle name="Normal 4" xfId="185" xr:uid="{00000000-0005-0000-0000-0000BB000000}"/>
    <cellStyle name="Normal 4 2" xfId="186" xr:uid="{00000000-0005-0000-0000-0000BC000000}"/>
    <cellStyle name="Normal 5" xfId="187" xr:uid="{00000000-0005-0000-0000-0000BD000000}"/>
    <cellStyle name="Normal 5 2" xfId="188" xr:uid="{00000000-0005-0000-0000-0000BE000000}"/>
    <cellStyle name="Normal 6" xfId="189" xr:uid="{00000000-0005-0000-0000-0000BF000000}"/>
    <cellStyle name="Normal 7" xfId="190" xr:uid="{00000000-0005-0000-0000-0000C0000000}"/>
    <cellStyle name="Normal 7 2" xfId="191" xr:uid="{00000000-0005-0000-0000-0000C1000000}"/>
    <cellStyle name="Normal 8" xfId="192" xr:uid="{00000000-0005-0000-0000-0000C2000000}"/>
    <cellStyle name="Normal 9" xfId="193" xr:uid="{00000000-0005-0000-0000-0000C3000000}"/>
    <cellStyle name="Normal 9 2" xfId="194" xr:uid="{00000000-0005-0000-0000-0000C4000000}"/>
    <cellStyle name="Ô Được nối kết" xfId="195" xr:uid="{00000000-0005-0000-0000-0000C5000000}"/>
    <cellStyle name="omma [0]_Mktg Prog" xfId="196" xr:uid="{00000000-0005-0000-0000-0000C6000000}"/>
    <cellStyle name="ormal_Sheet1_1" xfId="197" xr:uid="{00000000-0005-0000-0000-0000C7000000}"/>
    <cellStyle name="Percent [2]" xfId="198" xr:uid="{00000000-0005-0000-0000-0000C8000000}"/>
    <cellStyle name="Percent 2" xfId="199" xr:uid="{00000000-0005-0000-0000-0000C9000000}"/>
    <cellStyle name="Percent 3" xfId="200" xr:uid="{00000000-0005-0000-0000-0000CA000000}"/>
    <cellStyle name="Percent 4" xfId="201" xr:uid="{00000000-0005-0000-0000-0000CB000000}"/>
    <cellStyle name="S—_x0008_" xfId="202" xr:uid="{00000000-0005-0000-0000-0000CC000000}"/>
    <cellStyle name="Style 1" xfId="203" xr:uid="{00000000-0005-0000-0000-0000CD000000}"/>
    <cellStyle name="Style 10" xfId="204" xr:uid="{00000000-0005-0000-0000-0000CE000000}"/>
    <cellStyle name="Style 11" xfId="205" xr:uid="{00000000-0005-0000-0000-0000CF000000}"/>
    <cellStyle name="Style 12" xfId="206" xr:uid="{00000000-0005-0000-0000-0000D0000000}"/>
    <cellStyle name="Style 13" xfId="207" xr:uid="{00000000-0005-0000-0000-0000D1000000}"/>
    <cellStyle name="Style 14" xfId="208" xr:uid="{00000000-0005-0000-0000-0000D2000000}"/>
    <cellStyle name="Style 15" xfId="209" xr:uid="{00000000-0005-0000-0000-0000D3000000}"/>
    <cellStyle name="Style 16" xfId="210" xr:uid="{00000000-0005-0000-0000-0000D4000000}"/>
    <cellStyle name="Style 17" xfId="211" xr:uid="{00000000-0005-0000-0000-0000D5000000}"/>
    <cellStyle name="Style 2" xfId="212" xr:uid="{00000000-0005-0000-0000-0000D6000000}"/>
    <cellStyle name="Style 3" xfId="213" xr:uid="{00000000-0005-0000-0000-0000D7000000}"/>
    <cellStyle name="Style 4" xfId="214" xr:uid="{00000000-0005-0000-0000-0000D8000000}"/>
    <cellStyle name="Style 5" xfId="215" xr:uid="{00000000-0005-0000-0000-0000D9000000}"/>
    <cellStyle name="Style 6" xfId="216" xr:uid="{00000000-0005-0000-0000-0000DA000000}"/>
    <cellStyle name="Style 7" xfId="217" xr:uid="{00000000-0005-0000-0000-0000DB000000}"/>
    <cellStyle name="Style 8" xfId="218" xr:uid="{00000000-0005-0000-0000-0000DC000000}"/>
    <cellStyle name="Style 9" xfId="219" xr:uid="{00000000-0005-0000-0000-0000DD000000}"/>
    <cellStyle name="subhead" xfId="220" xr:uid="{00000000-0005-0000-0000-0000DE000000}"/>
    <cellStyle name="T" xfId="221" xr:uid="{00000000-0005-0000-0000-0000DF000000}"/>
    <cellStyle name="T_4-CDSPS" xfId="222" xr:uid="{00000000-0005-0000-0000-0000E0000000}"/>
    <cellStyle name="T_Cach lam Thue TNCN Qui 2-2015" xfId="223" xr:uid="{00000000-0005-0000-0000-0000E1000000}"/>
    <cellStyle name="T_Tồn_kho_tháng_08-2014_(kiểm_tra)- Ngoc goi " xfId="224" xr:uid="{00000000-0005-0000-0000-0000E2000000}"/>
    <cellStyle name="th" xfId="225" xr:uid="{00000000-0005-0000-0000-0000E3000000}"/>
    <cellStyle name="Tiền tệ 2" xfId="283" xr:uid="{D094A252-861E-4128-9668-C94C7FA6C3FB}"/>
    <cellStyle name="Tiêu đề" xfId="226" xr:uid="{00000000-0005-0000-0000-0000E4000000}"/>
    <cellStyle name="Tính toán" xfId="227" xr:uid="{00000000-0005-0000-0000-0000E5000000}"/>
    <cellStyle name="Tổng" xfId="228" xr:uid="{00000000-0005-0000-0000-0000E6000000}"/>
    <cellStyle name="Tốt" xfId="229" xr:uid="{00000000-0005-0000-0000-0000E7000000}"/>
    <cellStyle name="Trung tính" xfId="230" xr:uid="{00000000-0005-0000-0000-0000E8000000}"/>
    <cellStyle name="Tua de so" xfId="231" xr:uid="{00000000-0005-0000-0000-0000E9000000}"/>
    <cellStyle name="Văn bản Cảnh báo" xfId="232" xr:uid="{00000000-0005-0000-0000-0000EA000000}"/>
    <cellStyle name="Văn bản Giải thích" xfId="233" xr:uid="{00000000-0005-0000-0000-0000EB000000}"/>
    <cellStyle name="viet" xfId="234" xr:uid="{00000000-0005-0000-0000-0000EC000000}"/>
    <cellStyle name="viet2" xfId="235" xr:uid="{00000000-0005-0000-0000-0000ED000000}"/>
    <cellStyle name="VN new romanNormal" xfId="236" xr:uid="{00000000-0005-0000-0000-0000EE000000}"/>
    <cellStyle name="VN time new roman" xfId="237" xr:uid="{00000000-0005-0000-0000-0000EF000000}"/>
    <cellStyle name="Währung [0]_UXO VII" xfId="238" xr:uid="{00000000-0005-0000-0000-0000F0000000}"/>
    <cellStyle name="Währung_UXO VII" xfId="239" xr:uid="{00000000-0005-0000-0000-0000F1000000}"/>
    <cellStyle name="Xấu" xfId="240" xr:uid="{00000000-0005-0000-0000-0000F2000000}"/>
    <cellStyle name="Обычный_Elec-12 Fin" xfId="241" xr:uid="{00000000-0005-0000-0000-0000F3000000}"/>
    <cellStyle name="เครื่องหมายสกุลเงิน [0]_FTC_OFFER" xfId="242" xr:uid="{00000000-0005-0000-0000-0000F4000000}"/>
    <cellStyle name="เครื่องหมายสกุลเงิน_FTC_OFFER" xfId="243" xr:uid="{00000000-0005-0000-0000-0000F5000000}"/>
    <cellStyle name="ปกติ_FTC_OFFER" xfId="244" xr:uid="{00000000-0005-0000-0000-0000F6000000}"/>
    <cellStyle name=" [0.00]_ Att. 1- Cover" xfId="245" xr:uid="{00000000-0005-0000-0000-0000F7000000}"/>
    <cellStyle name="_ Att. 1- Cover" xfId="246" xr:uid="{00000000-0005-0000-0000-0000F8000000}"/>
    <cellStyle name="?_ Att. 1- Cover" xfId="247" xr:uid="{00000000-0005-0000-0000-0000F9000000}"/>
    <cellStyle name="똿뗦먛귟 [0.00]_PRODUCT DETAIL Q1" xfId="248" xr:uid="{00000000-0005-0000-0000-0000FA000000}"/>
    <cellStyle name="똿뗦먛귟_PRODUCT DETAIL Q1" xfId="249" xr:uid="{00000000-0005-0000-0000-0000FB000000}"/>
    <cellStyle name="믅됞 [0.00]_PRODUCT DETAIL Q1" xfId="250" xr:uid="{00000000-0005-0000-0000-0000FC000000}"/>
    <cellStyle name="믅됞_PRODUCT DETAIL Q1" xfId="251" xr:uid="{00000000-0005-0000-0000-0000FD000000}"/>
    <cellStyle name="백분율_95" xfId="252" xr:uid="{00000000-0005-0000-0000-0000FE000000}"/>
    <cellStyle name="뷭?_BOOKSHIP" xfId="253" xr:uid="{00000000-0005-0000-0000-0000FF000000}"/>
    <cellStyle name="콤마 [0]_ 비목별 월별기술 " xfId="254" xr:uid="{00000000-0005-0000-0000-000000010000}"/>
    <cellStyle name="콤마_ 비목별 월별기술 " xfId="255" xr:uid="{00000000-0005-0000-0000-000001010000}"/>
    <cellStyle name="통화 [0]_1202" xfId="256" xr:uid="{00000000-0005-0000-0000-000002010000}"/>
    <cellStyle name="통화_1202" xfId="257" xr:uid="{00000000-0005-0000-0000-000003010000}"/>
    <cellStyle name="표준_(정보부문)월별인원계획" xfId="258" xr:uid="{00000000-0005-0000-0000-000004010000}"/>
    <cellStyle name="一般_99Q3647-ALL-CAS2" xfId="259" xr:uid="{00000000-0005-0000-0000-000005010000}"/>
    <cellStyle name="千分位[0]_Book1" xfId="260" xr:uid="{00000000-0005-0000-0000-000006010000}"/>
    <cellStyle name="千分位_99Q3647-ALL-CAS2" xfId="261" xr:uid="{00000000-0005-0000-0000-000007010000}"/>
    <cellStyle name="桁区切り [0.00]_List-dwg瑩畳䵜楡" xfId="262" xr:uid="{00000000-0005-0000-0000-000008010000}"/>
    <cellStyle name="桁区切り_List-dwgist-" xfId="263" xr:uid="{00000000-0005-0000-0000-000009010000}"/>
    <cellStyle name="標準_List-dwgis" xfId="264" xr:uid="{00000000-0005-0000-0000-00000A010000}"/>
    <cellStyle name="貨幣 [0]_Book1" xfId="265" xr:uid="{00000000-0005-0000-0000-00000B010000}"/>
    <cellStyle name="貨幣[0]_BRE" xfId="266" xr:uid="{00000000-0005-0000-0000-00000C010000}"/>
    <cellStyle name="貨幣_Book1" xfId="267" xr:uid="{00000000-0005-0000-0000-00000D010000}"/>
    <cellStyle name="通貨 [0.00]_List-dwgwg" xfId="268" xr:uid="{00000000-0005-0000-0000-00000E010000}"/>
    <cellStyle name="通貨_List-dwgis" xfId="269" xr:uid="{00000000-0005-0000-0000-00000F010000}"/>
    <cellStyle name="隨後的超連結_Book1" xfId="270" xr:uid="{00000000-0005-0000-0000-000010010000}"/>
  </cellStyles>
  <dxfs count="253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b/>
        <i val="0"/>
        <u val="none"/>
        <color rgb="FF00B050"/>
      </font>
      <fill>
        <patternFill patternType="solid">
          <bgColor rgb="FF00B050"/>
        </patternFill>
      </fill>
    </dxf>
    <dxf>
      <font>
        <b/>
        <i val="0"/>
      </font>
      <fill>
        <patternFill patternType="solid">
          <bgColor rgb="FF92D050"/>
        </patternFill>
      </fill>
    </dxf>
    <dxf>
      <font>
        <b/>
        <i val="0"/>
        <color auto="1"/>
      </font>
      <fill>
        <patternFill patternType="solid">
          <bgColor theme="6" tint="0.59996337778862885"/>
        </patternFill>
      </fill>
    </dxf>
    <dxf>
      <font>
        <b/>
        <i val="0"/>
      </font>
      <fill>
        <patternFill patternType="solid">
          <bgColor theme="6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25D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th&#225;ng 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6</xdr:row>
      <xdr:rowOff>57150</xdr:rowOff>
    </xdr:from>
    <xdr:to>
      <xdr:col>9</xdr:col>
      <xdr:colOff>200025</xdr:colOff>
      <xdr:row>8</xdr:row>
      <xdr:rowOff>152400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7343DB-1F0C-40C5-A30C-88DE995133FA}"/>
            </a:ext>
          </a:extLst>
        </xdr:cNvPr>
        <xdr:cNvSpPr/>
      </xdr:nvSpPr>
      <xdr:spPr>
        <a:xfrm>
          <a:off x="6686550" y="1257300"/>
          <a:ext cx="990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3.1%20T&#7840;M%20&#7912;NG%20-%20TTTN%20-%20---%20DAT\2.%20THANH%20TOAN%20TOT%20NGHIEP\B2\2026\195.xlsx" TargetMode="External"/><Relationship Id="rId1" Type="http://schemas.openxmlformats.org/officeDocument/2006/relationships/externalLinkPath" Target="file:///G:\My%20Drive\3.1%20T&#7840;M%20&#7912;NG%20-%20TTTN%20-%20---%20DAT\2.%20THANH%20TOAN%20TOT%20NGHIEP\B2\2026\195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TIENICHEXCELNTH\TIENICHEXCELNTH.xla" TargetMode="External"/><Relationship Id="rId1" Type="http://schemas.openxmlformats.org/officeDocument/2006/relationships/externalLinkPath" Target="file:///C:\Program%20Files%20(x86)\TIENICHEXCELNTH\TIENICHEXCELNTH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&#272;&#192;O%20T&#7840;O%20&#212;%20T&#212;\GIAO%20VIEN%20-%20XE%20TAP%20LAI\DSCBNVVP%20+%20%20GIAO%20VIEN%20-%20NEW%20(1).xlsx" TargetMode="External"/><Relationship Id="rId1" Type="http://schemas.openxmlformats.org/officeDocument/2006/relationships/externalLinkPath" Target="file:///G:\My%20Drive\&#272;&#192;O%20T&#7840;O%20&#212;%20T&#212;\GIAO%20VIEN%20-%20XE%20TAP%20LAI\DSCBNVVP%20+%20%20GIAO%20VIEN%20-%20NEW%20(1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rive/QL/K&#7870;%20TO&#193;N/L&#431;&#416;NG/V&#258;N%20PH&#210;NG%20V&#192;%20GV/L&#431;&#416;NG%202026/th&#432;&#7903;ng%20t&#7871;t/THUONG%20TET%202025%20(15)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Program%20Files%20(x86)\VnToolsExcel\VnTools-Excel.xlam" TargetMode="External"/><Relationship Id="rId1" Type="http://schemas.openxmlformats.org/officeDocument/2006/relationships/externalLinkPath" Target="file:///C:\Program%20Files%20(x86)\VnToolsExcel\VnTools-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T TỐT NGHIỆP"/>
      <sheetName val="Trang_tính1"/>
      <sheetName val="TT TỐT NGHIỆP (2)"/>
    </sheetNames>
    <sheetDataSet>
      <sheetData sheetId="0"/>
      <sheetData sheetId="1"/>
      <sheetData sheetId="2">
        <row r="53">
          <cell r="Q53">
            <v>81491000</v>
          </cell>
        </row>
        <row r="54">
          <cell r="Q54"/>
        </row>
        <row r="55">
          <cell r="Q55"/>
        </row>
        <row r="56">
          <cell r="Q56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TIENICHEXCELNTH"/>
    </sheetNames>
    <definedNames>
      <definedName name="Tienchu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NVVP"/>
      <sheetName val="DSGV"/>
      <sheetName val="DSGV A1A2"/>
      <sheetName val="TĂNG 2026"/>
      <sheetName val="GIẢM 2026"/>
      <sheetName val="TĂNG 2025"/>
      <sheetName val="GIẢM 2025"/>
      <sheetName val="TĂNG 2024"/>
      <sheetName val="GIẢM 2024"/>
      <sheetName val="Sheet1"/>
      <sheetName val="Sheet2"/>
    </sheetNames>
    <sheetDataSet>
      <sheetData sheetId="0"/>
      <sheetData sheetId="1">
        <row r="10">
          <cell r="D10" t="str">
            <v>Dương Tuấn Anh</v>
          </cell>
          <cell r="E10" t="str">
            <v>x</v>
          </cell>
          <cell r="F10" t="str">
            <v>27/11/1988</v>
          </cell>
          <cell r="G10" t="str">
            <v>044088002941</v>
          </cell>
          <cell r="H10" t="str">
            <v>CĐ</v>
          </cell>
          <cell r="I10" t="str">
            <v>Quản trị kinh doanh</v>
          </cell>
          <cell r="J10" t="str">
            <v>NVSP</v>
          </cell>
          <cell r="K10"/>
          <cell r="L10"/>
          <cell r="M10" t="str">
            <v>GVTH</v>
          </cell>
          <cell r="N10" t="str">
            <v>KP2, Ba Đồn, TX. Ba Đồn, T. Quảng Bình</v>
          </cell>
          <cell r="O10" t="str">
            <v>0844431431</v>
          </cell>
          <cell r="P10" t="str">
            <v>40/QĐ-TDGV</v>
          </cell>
          <cell r="Q10" t="str">
            <v>21/04/2025</v>
          </cell>
          <cell r="R10" t="str">
            <v>04/2025</v>
          </cell>
          <cell r="S10" t="str">
            <v>B2</v>
          </cell>
        </row>
        <row r="11">
          <cell r="D11" t="str">
            <v>Phạm Vũ Đức Bảo</v>
          </cell>
          <cell r="E11" t="str">
            <v>x</v>
          </cell>
          <cell r="F11">
            <v>30934</v>
          </cell>
          <cell r="G11" t="str">
            <v>079084016426</v>
          </cell>
          <cell r="H11" t="str">
            <v>TC</v>
          </cell>
          <cell r="I11" t="str">
            <v>Điện tử</v>
          </cell>
          <cell r="J11" t="str">
            <v>NVSP CĐ</v>
          </cell>
          <cell r="K11"/>
          <cell r="L11"/>
          <cell r="M11" t="str">
            <v>GVTH</v>
          </cell>
          <cell r="N11" t="str">
            <v>66/4 Chiến Thắng, P. 9, Q. Phú Nhuận, TP. HCM</v>
          </cell>
          <cell r="O11" t="str">
            <v>0845400400</v>
          </cell>
          <cell r="P11" t="str">
            <v>134/QĐ-TDGV</v>
          </cell>
          <cell r="Q11">
            <v>45075</v>
          </cell>
          <cell r="R11" t="str">
            <v>05/2023</v>
          </cell>
          <cell r="S11" t="str">
            <v>D</v>
          </cell>
        </row>
        <row r="12">
          <cell r="D12" t="str">
            <v>Bùi Văn Bay</v>
          </cell>
          <cell r="E12"/>
          <cell r="F12" t="str">
            <v>01/01/1986</v>
          </cell>
          <cell r="G12" t="str">
            <v>091086011635</v>
          </cell>
          <cell r="H12" t="str">
            <v>TC</v>
          </cell>
          <cell r="I12" t="str">
            <v>Kế toán hành chính sự nghiệp</v>
          </cell>
          <cell r="J12" t="str">
            <v>NVSP CĐ</v>
          </cell>
          <cell r="K12"/>
          <cell r="L12"/>
          <cell r="M12" t="str">
            <v>GVTH</v>
          </cell>
          <cell r="N12" t="str">
            <v>Tổ 5, KP Tri Tôn, H.Hòn Đất, Hòn Đất, Kiên Giang</v>
          </cell>
          <cell r="O12" t="str">
            <v>0367443566</v>
          </cell>
          <cell r="P12" t="str">
            <v>11/QĐ-TDGV</v>
          </cell>
          <cell r="Q12" t="str">
            <v>15/01/2025</v>
          </cell>
          <cell r="R12" t="str">
            <v>01/2025</v>
          </cell>
          <cell r="S12" t="str">
            <v>B2</v>
          </cell>
        </row>
        <row r="13">
          <cell r="D13" t="str">
            <v>Cao Đình Bắc</v>
          </cell>
          <cell r="E13" t="str">
            <v>x</v>
          </cell>
          <cell r="F13" t="str">
            <v>16/10/1975</v>
          </cell>
          <cell r="G13" t="str">
            <v>038075015194</v>
          </cell>
          <cell r="H13" t="str">
            <v>TC</v>
          </cell>
          <cell r="I13" t="str">
            <v>Công nghệ ô tô</v>
          </cell>
          <cell r="J13" t="str">
            <v>SPN</v>
          </cell>
          <cell r="K13" t="str">
            <v>B</v>
          </cell>
          <cell r="L13" t="str">
            <v>ƯD CNTT cơ bản</v>
          </cell>
          <cell r="M13" t="str">
            <v>GVTH</v>
          </cell>
          <cell r="N13" t="str">
            <v>303/71 Kp 5, P. Tân Chánh Hiệp, Q. 12, TP. HCM</v>
          </cell>
          <cell r="O13" t="str">
            <v>0985537171</v>
          </cell>
          <cell r="P13" t="str">
            <v>186/QĐ-TDGV</v>
          </cell>
          <cell r="Q13" t="str">
            <v>01/07/2023</v>
          </cell>
          <cell r="R13" t="str">
            <v>06/2011</v>
          </cell>
          <cell r="S13" t="str">
            <v>C</v>
          </cell>
        </row>
        <row r="14">
          <cell r="D14" t="str">
            <v>Nguyễn Thanh Bình</v>
          </cell>
          <cell r="E14"/>
          <cell r="F14" t="str">
            <v>09/11/1968</v>
          </cell>
          <cell r="G14" t="str">
            <v>031068008237</v>
          </cell>
          <cell r="H14" t="str">
            <v>CĐ</v>
          </cell>
          <cell r="I14" t="str">
            <v>Văn hóa cơ sở</v>
          </cell>
          <cell r="J14" t="str">
            <v>SPN</v>
          </cell>
          <cell r="K14" t="str">
            <v>B</v>
          </cell>
          <cell r="L14" t="str">
            <v>ƯD CNTT cơ bản</v>
          </cell>
          <cell r="M14" t="str">
            <v>GVTH</v>
          </cell>
          <cell r="N14" t="str">
            <v>B.5.03 Đào Duy Từ, P.14, Q.10, TP.HCM</v>
          </cell>
          <cell r="O14" t="str">
            <v>0988648304</v>
          </cell>
          <cell r="P14" t="str">
            <v>187/QĐ-TDGV</v>
          </cell>
          <cell r="Q14" t="str">
            <v>01/07/2023</v>
          </cell>
          <cell r="R14" t="str">
            <v>07/2023</v>
          </cell>
          <cell r="S14" t="str">
            <v>CE</v>
          </cell>
        </row>
        <row r="15">
          <cell r="D15" t="str">
            <v>Hoàng Quang Cường</v>
          </cell>
          <cell r="E15"/>
          <cell r="F15">
            <v>29198</v>
          </cell>
          <cell r="G15" t="str">
            <v>034079025307</v>
          </cell>
          <cell r="H15" t="str">
            <v>ĐH</v>
          </cell>
          <cell r="I15" t="str">
            <v>Công nghệ kỹ thuật ô tô</v>
          </cell>
          <cell r="J15" t="str">
            <v>SPN</v>
          </cell>
          <cell r="K15" t="str">
            <v>B</v>
          </cell>
          <cell r="L15" t="str">
            <v>ƯD CNTT cơ bản</v>
          </cell>
          <cell r="M15" t="str">
            <v>GVTH</v>
          </cell>
          <cell r="N15" t="str">
            <v>Kp Mỹ Khoan, TT. Hiệp Phước, H. Nhơn Trạch, T. Đồng Nai</v>
          </cell>
          <cell r="O15" t="str">
            <v>0844798798</v>
          </cell>
          <cell r="P15" t="str">
            <v>188/QĐ-TDGV</v>
          </cell>
          <cell r="Q15" t="str">
            <v>01/07/2023</v>
          </cell>
          <cell r="R15" t="str">
            <v>05/2014</v>
          </cell>
          <cell r="S15" t="str">
            <v>C</v>
          </cell>
        </row>
        <row r="16">
          <cell r="D16" t="str">
            <v>Lê Trung Cường</v>
          </cell>
          <cell r="E16" t="str">
            <v>x</v>
          </cell>
          <cell r="F16" t="str">
            <v>31/12/1973</v>
          </cell>
          <cell r="G16" t="str">
            <v>051073017433</v>
          </cell>
          <cell r="H16" t="str">
            <v>ĐH</v>
          </cell>
          <cell r="I16" t="str">
            <v>Pháp luật kinh tế</v>
          </cell>
          <cell r="J16" t="str">
            <v>NVSP CĐ</v>
          </cell>
          <cell r="K16"/>
          <cell r="L16"/>
          <cell r="M16" t="str">
            <v>GVTH</v>
          </cell>
          <cell r="N16" t="str">
            <v>47/42/27 Bùi Đình Túy, P.24, Q.Bình Thạnh, TP.HCM</v>
          </cell>
          <cell r="O16" t="str">
            <v>0903856272</v>
          </cell>
          <cell r="P16" t="str">
            <v>68/QĐ-TDGV</v>
          </cell>
          <cell r="Q16" t="str">
            <v>02/07/2024</v>
          </cell>
          <cell r="R16" t="str">
            <v>07/2024</v>
          </cell>
          <cell r="S16" t="str">
            <v>B2</v>
          </cell>
        </row>
        <row r="17">
          <cell r="D17" t="str">
            <v>Đoàn Quang Đình</v>
          </cell>
          <cell r="E17"/>
          <cell r="F17" t="str">
            <v>10/10/1970</v>
          </cell>
          <cell r="G17" t="str">
            <v>034070007465</v>
          </cell>
          <cell r="H17" t="str">
            <v>TC</v>
          </cell>
          <cell r="I17" t="str">
            <v>Sửa chữa ô tô</v>
          </cell>
          <cell r="J17" t="str">
            <v>NVSP CĐ</v>
          </cell>
          <cell r="K17"/>
          <cell r="L17"/>
          <cell r="M17" t="str">
            <v>TKGV</v>
          </cell>
          <cell r="N17" t="str">
            <v>11/2 Đường B1, P.13, Q.Tân Bình, TP.HCM</v>
          </cell>
          <cell r="O17" t="str">
            <v>0986688737</v>
          </cell>
          <cell r="P17" t="str">
            <v>87/QĐ-TDGV</v>
          </cell>
          <cell r="Q17">
            <v>45519</v>
          </cell>
          <cell r="R17" t="str">
            <v>08/2024</v>
          </cell>
          <cell r="S17" t="str">
            <v>C</v>
          </cell>
        </row>
        <row r="18">
          <cell r="D18" t="str">
            <v>Vũ Đức Diện</v>
          </cell>
          <cell r="E18" t="str">
            <v>x</v>
          </cell>
          <cell r="F18">
            <v>35318</v>
          </cell>
          <cell r="G18" t="str">
            <v>034096001024</v>
          </cell>
          <cell r="H18" t="str">
            <v>CĐ</v>
          </cell>
          <cell r="I18" t="str">
            <v>Kế toán</v>
          </cell>
          <cell r="J18" t="str">
            <v>NVSP CĐ</v>
          </cell>
          <cell r="K18"/>
          <cell r="L18"/>
          <cell r="M18" t="str">
            <v>GVTH</v>
          </cell>
          <cell r="N18" t="str">
            <v>X. Thái Thọ, H. Thái Thụy, T. Thái Bình</v>
          </cell>
          <cell r="O18" t="str">
            <v>0908228869</v>
          </cell>
          <cell r="P18" t="str">
            <v>231/QĐ-TDGV</v>
          </cell>
          <cell r="Q18" t="str">
            <v>01/07/2023</v>
          </cell>
          <cell r="R18" t="str">
            <v>12/2022</v>
          </cell>
          <cell r="S18" t="str">
            <v>B2</v>
          </cell>
        </row>
        <row r="19">
          <cell r="D19" t="str">
            <v>Vũ Văn Duân</v>
          </cell>
          <cell r="E19"/>
          <cell r="F19">
            <v>32608</v>
          </cell>
          <cell r="G19" t="str">
            <v>034089016240</v>
          </cell>
          <cell r="H19" t="str">
            <v>TC</v>
          </cell>
          <cell r="I19" t="str">
            <v>Dược sĩ trung cấp</v>
          </cell>
          <cell r="J19" t="str">
            <v>SPN</v>
          </cell>
          <cell r="K19" t="str">
            <v>A</v>
          </cell>
          <cell r="L19" t="str">
            <v>A</v>
          </cell>
          <cell r="M19" t="str">
            <v>GVTH</v>
          </cell>
          <cell r="N19" t="str">
            <v>KP Mỹ Khoan, TT. Hiệp Phước, Nhơn Trạch, Đồng Nai</v>
          </cell>
          <cell r="O19" t="str">
            <v>0903258439</v>
          </cell>
          <cell r="P19" t="str">
            <v>171/QĐ-TDGV</v>
          </cell>
          <cell r="Q19">
            <v>45108</v>
          </cell>
          <cell r="R19" t="str">
            <v>07/2023</v>
          </cell>
          <cell r="S19" t="str">
            <v>B2</v>
          </cell>
        </row>
        <row r="20">
          <cell r="D20" t="str">
            <v>Bùi Minh Đức</v>
          </cell>
          <cell r="E20"/>
          <cell r="F20">
            <v>30926</v>
          </cell>
          <cell r="G20" t="str">
            <v>034084025279</v>
          </cell>
          <cell r="H20" t="str">
            <v>ĐH</v>
          </cell>
          <cell r="I20" t="str">
            <v>Quản trị kinh doanh</v>
          </cell>
          <cell r="J20" t="str">
            <v>NVSP</v>
          </cell>
          <cell r="K20"/>
          <cell r="L20"/>
          <cell r="M20" t="str">
            <v>GVTH</v>
          </cell>
          <cell r="N20" t="str">
            <v>43 Nguyễn Đức Thuận, P.13, Q.Tân Bình</v>
          </cell>
          <cell r="O20" t="str">
            <v>0909809710</v>
          </cell>
          <cell r="P20" t="str">
            <v>58/QĐ-TDGV</v>
          </cell>
          <cell r="Q20">
            <v>45793</v>
          </cell>
          <cell r="R20" t="str">
            <v>05/2025</v>
          </cell>
          <cell r="S20" t="str">
            <v>B2</v>
          </cell>
        </row>
        <row r="21">
          <cell r="D21" t="str">
            <v>Nguyễn Cao Dũng</v>
          </cell>
          <cell r="E21" t="str">
            <v>x</v>
          </cell>
          <cell r="F21">
            <v>28368</v>
          </cell>
          <cell r="G21" t="str">
            <v>079077033396</v>
          </cell>
          <cell r="H21" t="str">
            <v>CĐ</v>
          </cell>
          <cell r="I21" t="str">
            <v>Công nghệ ô tô</v>
          </cell>
          <cell r="J21" t="str">
            <v>Bậc 1</v>
          </cell>
          <cell r="K21" t="str">
            <v>B</v>
          </cell>
          <cell r="L21" t="str">
            <v>ƯD CNTT cơ bản</v>
          </cell>
          <cell r="M21" t="str">
            <v>GVTH</v>
          </cell>
          <cell r="N21" t="str">
            <v>611/17 Lê Hồng Phong, P. 10, Q. 10, TP. HCM</v>
          </cell>
          <cell r="O21" t="str">
            <v>0823912939</v>
          </cell>
          <cell r="P21" t="str">
            <v>157/QĐ-TDGV</v>
          </cell>
          <cell r="Q21">
            <v>45093</v>
          </cell>
          <cell r="R21" t="str">
            <v>06/2023</v>
          </cell>
          <cell r="S21" t="str">
            <v>D</v>
          </cell>
        </row>
        <row r="22">
          <cell r="D22" t="str">
            <v>Hoàng Danh Dũng</v>
          </cell>
          <cell r="E22"/>
          <cell r="F22" t="str">
            <v>05/05/1975</v>
          </cell>
          <cell r="G22" t="str">
            <v>038075007894</v>
          </cell>
          <cell r="H22" t="str">
            <v>CĐ</v>
          </cell>
          <cell r="I22" t="str">
            <v>Công nghệ ô tô</v>
          </cell>
          <cell r="J22" t="str">
            <v>SPN</v>
          </cell>
          <cell r="K22" t="str">
            <v>B</v>
          </cell>
          <cell r="L22" t="str">
            <v>ƯD CNTT cơ bản</v>
          </cell>
          <cell r="M22" t="str">
            <v>GVTH</v>
          </cell>
          <cell r="N22" t="str">
            <v>8.06 C/c Petroland, Bình Trưng Đông, Thủ Đức, TP.HCM</v>
          </cell>
          <cell r="O22" t="str">
            <v>0975536276</v>
          </cell>
          <cell r="P22" t="str">
            <v>43/QĐ-TDGV</v>
          </cell>
          <cell r="Q22" t="str">
            <v>04/05/2024</v>
          </cell>
          <cell r="R22" t="str">
            <v>05/2024</v>
          </cell>
          <cell r="S22" t="str">
            <v>D,CE</v>
          </cell>
        </row>
        <row r="23">
          <cell r="D23" t="str">
            <v>Nguyễn Hữu Dương</v>
          </cell>
          <cell r="E23" t="str">
            <v>x</v>
          </cell>
          <cell r="F23">
            <v>33079</v>
          </cell>
          <cell r="G23" t="str">
            <v>031090010898</v>
          </cell>
          <cell r="H23" t="str">
            <v>TC</v>
          </cell>
          <cell r="I23" t="str">
            <v>Công nghệ ô tô</v>
          </cell>
          <cell r="J23" t="str">
            <v>NVSP</v>
          </cell>
          <cell r="K23"/>
          <cell r="L23"/>
          <cell r="M23" t="str">
            <v>GVTH</v>
          </cell>
          <cell r="N23" t="str">
            <v>53/117 Cấm Gia Viên, Ngô Quyền, Hải Phòng</v>
          </cell>
          <cell r="O23" t="str">
            <v>0987789419</v>
          </cell>
          <cell r="P23" t="str">
            <v>47/QĐ-TDGV</v>
          </cell>
          <cell r="Q23" t="str">
            <v>21/04/2025</v>
          </cell>
          <cell r="R23" t="str">
            <v>04/2025</v>
          </cell>
          <cell r="S23" t="str">
            <v>C</v>
          </cell>
        </row>
        <row r="24">
          <cell r="D24" t="str">
            <v>Nguyễn Đức Duy</v>
          </cell>
          <cell r="E24"/>
          <cell r="F24">
            <v>31251</v>
          </cell>
          <cell r="G24" t="str">
            <v>079085010523</v>
          </cell>
          <cell r="H24" t="str">
            <v>TC</v>
          </cell>
          <cell r="I24" t="str">
            <v>Kỹ thuật điện</v>
          </cell>
          <cell r="J24" t="str">
            <v>NVSP</v>
          </cell>
          <cell r="K24" t="str">
            <v>B</v>
          </cell>
          <cell r="L24" t="str">
            <v>ƯD CNTT cơ bản</v>
          </cell>
          <cell r="M24" t="str">
            <v>GVTH</v>
          </cell>
          <cell r="N24" t="str">
            <v>Bùi Thị Điệt, X. Phạm Văn Cội, H. Củ Chi, TP.HCM</v>
          </cell>
          <cell r="O24" t="str">
            <v>0902413546</v>
          </cell>
          <cell r="P24" t="str">
            <v>49/QĐ-TDGV</v>
          </cell>
          <cell r="Q24" t="str">
            <v>06/05/2024</v>
          </cell>
          <cell r="R24" t="str">
            <v>05/2024</v>
          </cell>
          <cell r="S24" t="str">
            <v>B2</v>
          </cell>
        </row>
        <row r="25">
          <cell r="D25" t="str">
            <v>Trần Trung Đạo</v>
          </cell>
          <cell r="E25" t="str">
            <v>x</v>
          </cell>
          <cell r="F25" t="str">
            <v>16/12/1963</v>
          </cell>
          <cell r="G25" t="str">
            <v>079063023536</v>
          </cell>
          <cell r="H25" t="str">
            <v>TC</v>
          </cell>
          <cell r="I25" t="str">
            <v>TCSP</v>
          </cell>
          <cell r="J25" t="str">
            <v>SPN</v>
          </cell>
          <cell r="K25" t="str">
            <v>B</v>
          </cell>
          <cell r="L25" t="str">
            <v>ƯD CNTT cơ bản</v>
          </cell>
          <cell r="M25" t="str">
            <v>GVTH</v>
          </cell>
          <cell r="N25" t="str">
            <v>261/40/13A Chu Văn An, P. 12, Q. Bình Thạnh, TP. HCM</v>
          </cell>
          <cell r="O25" t="str">
            <v>0909474975</v>
          </cell>
          <cell r="P25" t="str">
            <v>30/QĐ-TDNV</v>
          </cell>
          <cell r="Q25">
            <v>41275</v>
          </cell>
          <cell r="R25" t="str">
            <v>06/2011</v>
          </cell>
          <cell r="S25" t="str">
            <v>B2</v>
          </cell>
        </row>
        <row r="26">
          <cell r="D26" t="str">
            <v>Nguyễn Phương Đông</v>
          </cell>
          <cell r="E26" t="str">
            <v>x</v>
          </cell>
          <cell r="F26">
            <v>29899</v>
          </cell>
          <cell r="G26" t="str">
            <v>036081011992</v>
          </cell>
          <cell r="H26" t="str">
            <v>TC</v>
          </cell>
          <cell r="I26" t="str">
            <v>Công nghệ ô tô</v>
          </cell>
          <cell r="J26" t="str">
            <v>Bậc 1</v>
          </cell>
          <cell r="K26" t="str">
            <v>B</v>
          </cell>
          <cell r="L26" t="str">
            <v>A</v>
          </cell>
          <cell r="M26" t="str">
            <v>GVTH</v>
          </cell>
          <cell r="N26" t="str">
            <v>325/11/43/2 Phú Đinh, P. 16, Q. 8, TP. HCM</v>
          </cell>
          <cell r="O26" t="str">
            <v>0908250388</v>
          </cell>
          <cell r="P26" t="str">
            <v>232/QĐ-TDGV</v>
          </cell>
          <cell r="Q26" t="str">
            <v>01/07/2023</v>
          </cell>
          <cell r="R26" t="str">
            <v>11/2022</v>
          </cell>
          <cell r="S26" t="str">
            <v>E</v>
          </cell>
        </row>
        <row r="27">
          <cell r="D27" t="str">
            <v>Nông Văn Đường</v>
          </cell>
          <cell r="E27"/>
          <cell r="F27">
            <v>31510</v>
          </cell>
          <cell r="G27" t="str">
            <v>020086000071</v>
          </cell>
          <cell r="H27" t="str">
            <v>ĐH</v>
          </cell>
          <cell r="I27" t="str">
            <v>Giáo dục thể chất</v>
          </cell>
          <cell r="J27" t="str">
            <v>NVSP</v>
          </cell>
          <cell r="K27"/>
          <cell r="L27"/>
          <cell r="M27" t="str">
            <v>GVTH</v>
          </cell>
          <cell r="N27" t="str">
            <v>40/41 Đường 42, KP8, P.Hiệp Bình, TP.HCM</v>
          </cell>
          <cell r="O27" t="str">
            <v>0350519050</v>
          </cell>
          <cell r="P27" t="str">
            <v>153/QĐ-TDGV</v>
          </cell>
          <cell r="Q27">
            <v>45993</v>
          </cell>
          <cell r="R27" t="str">
            <v>12/2025</v>
          </cell>
          <cell r="S27" t="str">
            <v>B2</v>
          </cell>
        </row>
        <row r="28">
          <cell r="D28" t="str">
            <v>Nguyễn Vĩnh Hạ</v>
          </cell>
          <cell r="E28" t="str">
            <v>x</v>
          </cell>
          <cell r="F28">
            <v>29051</v>
          </cell>
          <cell r="G28" t="str">
            <v>049079001286</v>
          </cell>
          <cell r="H28" t="str">
            <v>TC</v>
          </cell>
          <cell r="I28" t="str">
            <v>Công nghệ ô tô</v>
          </cell>
          <cell r="J28" t="str">
            <v>NVSP</v>
          </cell>
          <cell r="K28"/>
          <cell r="L28"/>
          <cell r="M28" t="str">
            <v>GVTH</v>
          </cell>
          <cell r="N28" t="str">
            <v>205/49/36 Ấp 5, Đông Thạnh, Hóc Môn, TP.HCM</v>
          </cell>
          <cell r="O28" t="str">
            <v>0983037233</v>
          </cell>
          <cell r="P28" t="str">
            <v>42/QĐ-TDGV</v>
          </cell>
          <cell r="Q28" t="str">
            <v>04/05/2024</v>
          </cell>
          <cell r="R28" t="str">
            <v>05/2024</v>
          </cell>
          <cell r="S28" t="str">
            <v>C</v>
          </cell>
        </row>
        <row r="29">
          <cell r="D29" t="str">
            <v>Tống Nam Hải</v>
          </cell>
          <cell r="E29" t="str">
            <v>x</v>
          </cell>
          <cell r="F29" t="str">
            <v>11/05/1972</v>
          </cell>
          <cell r="G29" t="str">
            <v>034072008921</v>
          </cell>
          <cell r="H29" t="str">
            <v>TC</v>
          </cell>
          <cell r="I29" t="str">
            <v>Công nghệ ô tô</v>
          </cell>
          <cell r="J29" t="str">
            <v>Bậc 1</v>
          </cell>
          <cell r="K29" t="str">
            <v>B</v>
          </cell>
          <cell r="L29" t="str">
            <v>B</v>
          </cell>
          <cell r="M29" t="str">
            <v>GVTH</v>
          </cell>
          <cell r="N29" t="str">
            <v>3/18 Tổ 42, Kp 5, P. Trung Mỹ Tây, Q. 12, TP. HCM</v>
          </cell>
          <cell r="O29" t="str">
            <v>0908811918</v>
          </cell>
          <cell r="P29" t="str">
            <v>40/QĐ-TDGV</v>
          </cell>
          <cell r="Q29" t="str">
            <v>05/03/2023</v>
          </cell>
          <cell r="R29" t="str">
            <v>03/2023</v>
          </cell>
          <cell r="S29" t="str">
            <v>E</v>
          </cell>
        </row>
        <row r="30">
          <cell r="D30" t="str">
            <v>Trần Đức Hải</v>
          </cell>
          <cell r="E30" t="str">
            <v>x</v>
          </cell>
          <cell r="F30" t="str">
            <v>26/09/1983</v>
          </cell>
          <cell r="G30" t="str">
            <v>040083012376</v>
          </cell>
          <cell r="H30" t="str">
            <v>ĐH</v>
          </cell>
          <cell r="I30" t="str">
            <v>Mỹ thuật công nghiệp</v>
          </cell>
          <cell r="J30" t="str">
            <v>Bậc 2</v>
          </cell>
          <cell r="K30" t="str">
            <v>A2</v>
          </cell>
          <cell r="L30" t="str">
            <v>ƯD CNTT cơ bản</v>
          </cell>
          <cell r="M30" t="str">
            <v>GVTH</v>
          </cell>
          <cell r="N30" t="str">
            <v>Tổ 1, Ấp 7, X. Thạnh Phú, H. Vĩnh Cửu, T. Đồng Nai</v>
          </cell>
          <cell r="O30" t="str">
            <v>0989260123</v>
          </cell>
          <cell r="P30" t="str">
            <v>70/QĐ-TDGV</v>
          </cell>
          <cell r="Q30" t="str">
            <v>01/04/2023</v>
          </cell>
          <cell r="R30" t="str">
            <v>04/2023</v>
          </cell>
          <cell r="S30" t="str">
            <v>B2</v>
          </cell>
        </row>
        <row r="31">
          <cell r="D31" t="str">
            <v>Lê Hữu Hạnh</v>
          </cell>
          <cell r="E31" t="str">
            <v>x</v>
          </cell>
          <cell r="F31">
            <v>29425</v>
          </cell>
          <cell r="G31" t="str">
            <v>082080021074</v>
          </cell>
          <cell r="H31" t="str">
            <v>ĐH</v>
          </cell>
          <cell r="I31" t="str">
            <v>Kế toán</v>
          </cell>
          <cell r="J31" t="str">
            <v>NVSP</v>
          </cell>
          <cell r="K31"/>
          <cell r="L31"/>
          <cell r="M31" t="str">
            <v>GVTH</v>
          </cell>
          <cell r="N31" t="str">
            <v>Ấp Ông Non, X. Tân Trung, TP. Gò Công, T. Tiền Giang</v>
          </cell>
          <cell r="O31" t="str">
            <v>0902933360</v>
          </cell>
          <cell r="P31" t="str">
            <v>61/QĐ-TDGV</v>
          </cell>
          <cell r="Q31">
            <v>45793</v>
          </cell>
          <cell r="R31" t="str">
            <v>05/2025</v>
          </cell>
          <cell r="S31" t="str">
            <v>D</v>
          </cell>
        </row>
        <row r="32">
          <cell r="D32" t="str">
            <v>Nguyễn Vĩnh Hậu</v>
          </cell>
          <cell r="E32" t="str">
            <v>x</v>
          </cell>
          <cell r="F32">
            <v>30873</v>
          </cell>
          <cell r="G32" t="str">
            <v>049084016416</v>
          </cell>
          <cell r="H32" t="str">
            <v>TC</v>
          </cell>
          <cell r="I32" t="str">
            <v>Công nghệ ô tô</v>
          </cell>
          <cell r="J32" t="str">
            <v>NVSP</v>
          </cell>
          <cell r="K32"/>
          <cell r="L32"/>
          <cell r="M32" t="str">
            <v>GVTH</v>
          </cell>
          <cell r="N32" t="str">
            <v>41/59/31, Ấp 38 Đông Thạnh, TP HCM</v>
          </cell>
          <cell r="O32" t="str">
            <v>0773087979</v>
          </cell>
          <cell r="P32" t="str">
            <v>129/QĐ-TDGV</v>
          </cell>
          <cell r="Q32">
            <v>45887</v>
          </cell>
          <cell r="R32" t="str">
            <v>8/2025</v>
          </cell>
          <cell r="S32" t="str">
            <v>D</v>
          </cell>
        </row>
        <row r="33">
          <cell r="D33" t="str">
            <v>Đỗ Danh Hiển</v>
          </cell>
          <cell r="E33" t="str">
            <v>x</v>
          </cell>
          <cell r="F33">
            <v>31049</v>
          </cell>
          <cell r="G33" t="str">
            <v>030085025539</v>
          </cell>
          <cell r="H33" t="str">
            <v>ĐH</v>
          </cell>
          <cell r="I33" t="str">
            <v>Giáo dục thể chất</v>
          </cell>
          <cell r="J33" t="str">
            <v>NVSP</v>
          </cell>
          <cell r="K33" t="str">
            <v>B</v>
          </cell>
          <cell r="L33" t="str">
            <v>ƯD CNTT cơ bản</v>
          </cell>
          <cell r="M33" t="str">
            <v>GVTH</v>
          </cell>
          <cell r="N33" t="str">
            <v>44/8 Đường 42, Kp 8, P. Hiệp Bình Chánh, TP. Thủ Đức,  TP. HCM</v>
          </cell>
          <cell r="O33" t="str">
            <v>0961209008</v>
          </cell>
          <cell r="P33" t="str">
            <v>189/QĐ-TDNV</v>
          </cell>
          <cell r="Q33" t="str">
            <v>01/07/2023</v>
          </cell>
          <cell r="R33" t="str">
            <v>10/2021</v>
          </cell>
          <cell r="S33" t="str">
            <v>B2</v>
          </cell>
        </row>
        <row r="34">
          <cell r="D34" t="str">
            <v>Nguyễn Vĩnh Hiệp</v>
          </cell>
          <cell r="E34" t="str">
            <v>x</v>
          </cell>
          <cell r="F34" t="str">
            <v>10/06/1977</v>
          </cell>
          <cell r="G34" t="str">
            <v>049077000505</v>
          </cell>
          <cell r="H34" t="str">
            <v>TC</v>
          </cell>
          <cell r="I34" t="str">
            <v>Công nghệ ô tô</v>
          </cell>
          <cell r="J34" t="str">
            <v>NVSP</v>
          </cell>
          <cell r="K34"/>
          <cell r="L34"/>
          <cell r="M34" t="str">
            <v>GVTH</v>
          </cell>
          <cell r="N34" t="str">
            <v>41/59/31 Ấp 5, X. Đông Thạnh, H. Hóc Môn, TP. HCM</v>
          </cell>
          <cell r="O34" t="str">
            <v>0778675846</v>
          </cell>
          <cell r="P34" t="str">
            <v>234/QĐ-TDGV</v>
          </cell>
          <cell r="Q34" t="str">
            <v>01/07/2023</v>
          </cell>
          <cell r="R34" t="str">
            <v>01/2022</v>
          </cell>
          <cell r="S34" t="str">
            <v>B2</v>
          </cell>
        </row>
        <row r="35">
          <cell r="D35" t="str">
            <v>Nguyễn Văn Hiếu</v>
          </cell>
          <cell r="E35"/>
          <cell r="F35" t="str">
            <v>20/08/1989</v>
          </cell>
          <cell r="G35" t="str">
            <v>052089019396</v>
          </cell>
          <cell r="H35" t="str">
            <v>TC</v>
          </cell>
          <cell r="I35" t="str">
            <v>Quản trị doanh nghiệp vừa và nhỏ</v>
          </cell>
          <cell r="J35" t="str">
            <v>NVSP CĐ</v>
          </cell>
          <cell r="K35"/>
          <cell r="L35"/>
          <cell r="M35" t="str">
            <v>GVTH</v>
          </cell>
          <cell r="N35" t="str">
            <v>X. Nhơn Hạnh, TX. An Nhơn, T. Bình Định</v>
          </cell>
          <cell r="O35" t="str">
            <v>0933919057 - 0989345502</v>
          </cell>
          <cell r="P35" t="str">
            <v>312/QĐ-TDGV</v>
          </cell>
          <cell r="Q35" t="str">
            <v>26/10/2023</v>
          </cell>
          <cell r="R35" t="str">
            <v>10/2023</v>
          </cell>
          <cell r="S35" t="str">
            <v>B2</v>
          </cell>
        </row>
        <row r="36">
          <cell r="D36" t="str">
            <v>Nguyễn Hoàng Hiếu</v>
          </cell>
          <cell r="E36" t="str">
            <v>x</v>
          </cell>
          <cell r="F36" t="str">
            <v>14/12/1989</v>
          </cell>
          <cell r="G36" t="str">
            <v>087089000207</v>
          </cell>
          <cell r="H36" t="str">
            <v>TC</v>
          </cell>
          <cell r="I36" t="str">
            <v>Công nghệ ô tô</v>
          </cell>
          <cell r="J36" t="str">
            <v>NVSP CĐ</v>
          </cell>
          <cell r="K36"/>
          <cell r="L36"/>
          <cell r="M36" t="str">
            <v>GVTH</v>
          </cell>
          <cell r="N36" t="str">
            <v>32 Hoàng Quốc Việt, P. Phú Mỹ, Q. 7, TP. HCM</v>
          </cell>
          <cell r="O36" t="str">
            <v>0938928880</v>
          </cell>
          <cell r="P36" t="str">
            <v>311/QĐ-TDGV</v>
          </cell>
          <cell r="Q36" t="str">
            <v>26/10/2023</v>
          </cell>
          <cell r="R36" t="str">
            <v>10/2023</v>
          </cell>
          <cell r="S36" t="str">
            <v>C</v>
          </cell>
        </row>
        <row r="37">
          <cell r="D37" t="str">
            <v>Trần Minh Hiếu</v>
          </cell>
          <cell r="E37"/>
          <cell r="F37">
            <v>28140</v>
          </cell>
          <cell r="G37" t="str">
            <v>049077000216</v>
          </cell>
          <cell r="H37" t="str">
            <v>ĐH</v>
          </cell>
          <cell r="I37" t="str">
            <v>Kỹ thuật ô tô máy động lực</v>
          </cell>
          <cell r="J37" t="str">
            <v>NVSP CĐ</v>
          </cell>
          <cell r="K37"/>
          <cell r="L37"/>
          <cell r="M37" t="str">
            <v>GVTH</v>
          </cell>
          <cell r="N37" t="str">
            <v>257/38/1 Bình Thành, KP16, P.Bình Tân, TP.HCM</v>
          </cell>
          <cell r="O37" t="str">
            <v>0906713228</v>
          </cell>
          <cell r="P37" t="str">
            <v>155/QĐ-TDGV</v>
          </cell>
          <cell r="Q37">
            <v>45993</v>
          </cell>
          <cell r="R37">
            <v>45992</v>
          </cell>
          <cell r="S37" t="str">
            <v>B2</v>
          </cell>
        </row>
        <row r="38">
          <cell r="D38" t="str">
            <v>Lưu Văn Huy</v>
          </cell>
          <cell r="E38" t="str">
            <v>x</v>
          </cell>
          <cell r="F38" t="str">
            <v>15/05/1984</v>
          </cell>
          <cell r="G38" t="str">
            <v>068084008340</v>
          </cell>
          <cell r="H38" t="str">
            <v>TC</v>
          </cell>
          <cell r="I38" t="str">
            <v>Công nghệ ô tô</v>
          </cell>
          <cell r="J38" t="str">
            <v>SPN</v>
          </cell>
          <cell r="K38" t="str">
            <v>B</v>
          </cell>
          <cell r="L38" t="str">
            <v>ƯD CNTT cơ bản</v>
          </cell>
          <cell r="M38" t="str">
            <v>GVTH</v>
          </cell>
          <cell r="N38" t="str">
            <v>Thôn 3, X. An Nhơn, H. Đạ Tẻh, T. Lâm Đồng</v>
          </cell>
          <cell r="O38" t="str">
            <v>0906858825</v>
          </cell>
          <cell r="P38" t="str">
            <v>212/QĐ-TDGV</v>
          </cell>
          <cell r="Q38" t="str">
            <v>01/07/2023</v>
          </cell>
          <cell r="R38" t="str">
            <v>01/2022</v>
          </cell>
          <cell r="S38" t="str">
            <v>D,CE</v>
          </cell>
        </row>
        <row r="39">
          <cell r="D39" t="str">
            <v>Nguyễn Văn Huy</v>
          </cell>
          <cell r="E39"/>
          <cell r="F39" t="str">
            <v>19/07/1968</v>
          </cell>
          <cell r="G39" t="str">
            <v>051068026919</v>
          </cell>
          <cell r="H39" t="str">
            <v>ĐH</v>
          </cell>
          <cell r="I39" t="str">
            <v>Xây dựng Đảng và Chính quyền Nhà nước</v>
          </cell>
          <cell r="J39" t="str">
            <v>NVSP</v>
          </cell>
          <cell r="K39"/>
          <cell r="L39"/>
          <cell r="M39" t="str">
            <v>GVTH</v>
          </cell>
          <cell r="N39" t="str">
            <v>170/19 Lê Đức Thọ, P. 6, Q. Gò Vấp, TP. HCM</v>
          </cell>
          <cell r="O39" t="str">
            <v>0986860400</v>
          </cell>
          <cell r="P39" t="str">
            <v>314/QĐ-TDGV</v>
          </cell>
          <cell r="Q39" t="str">
            <v>26/10/2023</v>
          </cell>
          <cell r="R39" t="str">
            <v>10/2023</v>
          </cell>
          <cell r="S39" t="str">
            <v>B2</v>
          </cell>
        </row>
        <row r="40">
          <cell r="D40" t="str">
            <v>Lưu Phúc Kính</v>
          </cell>
          <cell r="E40" t="str">
            <v>x</v>
          </cell>
          <cell r="F40">
            <v>26069</v>
          </cell>
          <cell r="G40" t="str">
            <v>079071035812</v>
          </cell>
          <cell r="H40" t="str">
            <v>ĐH</v>
          </cell>
          <cell r="I40" t="str">
            <v>Luật Kinh tế</v>
          </cell>
          <cell r="J40" t="str">
            <v>Bậc 1</v>
          </cell>
          <cell r="K40" t="str">
            <v>B</v>
          </cell>
          <cell r="L40" t="str">
            <v>ƯD CNTT cơ bản</v>
          </cell>
          <cell r="M40" t="str">
            <v>GVTH</v>
          </cell>
          <cell r="N40" t="str">
            <v>9 Duy Tân, P.8, Q.Tân Bình, TP.HCM</v>
          </cell>
          <cell r="O40" t="str">
            <v>0913164292</v>
          </cell>
          <cell r="P40" t="str">
            <v>105/QĐ-TDGV</v>
          </cell>
          <cell r="Q40" t="str">
            <v>03/07/2025</v>
          </cell>
          <cell r="R40" t="str">
            <v>07/2025</v>
          </cell>
          <cell r="S40" t="str">
            <v>E</v>
          </cell>
        </row>
        <row r="41">
          <cell r="D41" t="str">
            <v>Đặng Trường Kỳ</v>
          </cell>
          <cell r="E41" t="str">
            <v>x</v>
          </cell>
          <cell r="F41">
            <v>29217</v>
          </cell>
          <cell r="G41" t="str">
            <v>079079003078</v>
          </cell>
          <cell r="H41" t="str">
            <v>ĐH</v>
          </cell>
          <cell r="I41" t="str">
            <v>Kỹ sư điện</v>
          </cell>
          <cell r="J41" t="str">
            <v>NVSP CĐ</v>
          </cell>
          <cell r="K41"/>
          <cell r="L41"/>
          <cell r="M41" t="str">
            <v>GVTH</v>
          </cell>
          <cell r="N41" t="str">
            <v>217/34 Lãnh Binh Thăng, P. 12, Q. 11, TP. HCM</v>
          </cell>
          <cell r="O41" t="str">
            <v>0908543661</v>
          </cell>
          <cell r="P41" t="str">
            <v>190/QĐ-TDGV</v>
          </cell>
          <cell r="Q41" t="str">
            <v>01/07/2023</v>
          </cell>
          <cell r="R41" t="str">
            <v>12/2021</v>
          </cell>
          <cell r="S41" t="str">
            <v>B2</v>
          </cell>
        </row>
        <row r="42">
          <cell r="D42" t="str">
            <v>Nguyễn Đình Khẩn</v>
          </cell>
          <cell r="E42"/>
          <cell r="F42">
            <v>26672</v>
          </cell>
          <cell r="G42" t="str">
            <v>042073000232</v>
          </cell>
          <cell r="H42" t="str">
            <v>ĐH</v>
          </cell>
          <cell r="I42" t="str">
            <v>Công nghệ chế tạo máy</v>
          </cell>
          <cell r="J42" t="str">
            <v>SPN</v>
          </cell>
          <cell r="K42"/>
          <cell r="L42" t="str">
            <v>B</v>
          </cell>
          <cell r="M42" t="str">
            <v>GVTH</v>
          </cell>
          <cell r="N42" t="str">
            <v>36/2E Ấp Đông 1, Thới Tam Thôn, Hóc Môn, TP.HCM</v>
          </cell>
          <cell r="O42" t="str">
            <v>0918241973</v>
          </cell>
          <cell r="P42" t="str">
            <v>116/QĐ-TDGV</v>
          </cell>
          <cell r="Q42">
            <v>45862</v>
          </cell>
          <cell r="R42">
            <v>45862</v>
          </cell>
          <cell r="S42" t="str">
            <v>B2</v>
          </cell>
        </row>
        <row r="43">
          <cell r="D43" t="str">
            <v>Đặng Quốc Khánh</v>
          </cell>
          <cell r="E43" t="str">
            <v>x</v>
          </cell>
          <cell r="F43">
            <v>28735</v>
          </cell>
          <cell r="G43" t="str">
            <v>093078007063</v>
          </cell>
          <cell r="H43" t="str">
            <v>TC</v>
          </cell>
          <cell r="I43" t="str">
            <v>Vận hành máy thi công nền</v>
          </cell>
          <cell r="J43" t="str">
            <v>SPN</v>
          </cell>
          <cell r="K43" t="str">
            <v>B</v>
          </cell>
          <cell r="L43" t="str">
            <v>ƯD CNTT cơ bản</v>
          </cell>
          <cell r="M43" t="str">
            <v>GVTH</v>
          </cell>
          <cell r="N43" t="str">
            <v>386 Ấp Láng Hầm, TT. Rạch Gòi, H. Châu Thành A, T. Hậu Giang</v>
          </cell>
          <cell r="O43" t="str">
            <v>0903302613</v>
          </cell>
          <cell r="P43" t="str">
            <v>191/QĐ-TDGV</v>
          </cell>
          <cell r="Q43" t="str">
            <v>01/07/2023</v>
          </cell>
          <cell r="R43" t="str">
            <v>09/2015</v>
          </cell>
          <cell r="S43" t="str">
            <v>D</v>
          </cell>
        </row>
        <row r="44">
          <cell r="D44" t="str">
            <v>Phạm Đăng Khoa</v>
          </cell>
          <cell r="E44" t="str">
            <v>x</v>
          </cell>
          <cell r="F44">
            <v>28816</v>
          </cell>
          <cell r="G44" t="str">
            <v>079078019083</v>
          </cell>
          <cell r="H44" t="str">
            <v>CĐ</v>
          </cell>
          <cell r="I44" t="str">
            <v>Cơ khí động lực</v>
          </cell>
          <cell r="J44" t="str">
            <v>Bậc 2</v>
          </cell>
          <cell r="K44" t="str">
            <v>B</v>
          </cell>
          <cell r="L44" t="str">
            <v>A</v>
          </cell>
          <cell r="M44" t="str">
            <v>GVTH</v>
          </cell>
          <cell r="N44" t="str">
            <v>3 Đường số 1, Bình Hưng Hòa B, Bình Tân, TP.HCM</v>
          </cell>
          <cell r="O44" t="str">
            <v>0966281010</v>
          </cell>
          <cell r="P44" t="str">
            <v>64/QĐ-TDGV</v>
          </cell>
          <cell r="Q44">
            <v>45793</v>
          </cell>
          <cell r="R44" t="str">
            <v>05/2025</v>
          </cell>
          <cell r="S44" t="str">
            <v>B2</v>
          </cell>
        </row>
        <row r="45">
          <cell r="D45" t="str">
            <v>Nguyễn Tiến Khôi</v>
          </cell>
          <cell r="E45" t="str">
            <v>x</v>
          </cell>
          <cell r="F45">
            <v>30273</v>
          </cell>
          <cell r="G45" t="str">
            <v>077082000804</v>
          </cell>
          <cell r="H45" t="str">
            <v>TC</v>
          </cell>
          <cell r="I45" t="str">
            <v>Công nghệ ô tô</v>
          </cell>
          <cell r="J45" t="str">
            <v>SPN</v>
          </cell>
          <cell r="K45" t="str">
            <v>B</v>
          </cell>
          <cell r="L45" t="str">
            <v>B</v>
          </cell>
          <cell r="M45" t="str">
            <v>GVTH</v>
          </cell>
          <cell r="N45" t="str">
            <v>437B/2 Kp3, P. Trung Mỹ Tây, Q. 12, TP. HCM</v>
          </cell>
          <cell r="O45" t="str">
            <v>0972600900</v>
          </cell>
          <cell r="P45" t="str">
            <v>118/QĐ-TDGV</v>
          </cell>
          <cell r="Q45">
            <v>45068</v>
          </cell>
          <cell r="R45" t="str">
            <v>05/2023</v>
          </cell>
          <cell r="S45" t="str">
            <v>D,CE</v>
          </cell>
        </row>
        <row r="46">
          <cell r="D46" t="str">
            <v>Nguyễn Đức Linh</v>
          </cell>
          <cell r="E46"/>
          <cell r="F46">
            <v>33486</v>
          </cell>
          <cell r="G46" t="str">
            <v>038091021998</v>
          </cell>
          <cell r="H46" t="str">
            <v>TC</v>
          </cell>
          <cell r="I46" t="str">
            <v>Dược sĩ trung cấp</v>
          </cell>
          <cell r="J46" t="str">
            <v>NVSP</v>
          </cell>
          <cell r="K46" t="str">
            <v>B</v>
          </cell>
          <cell r="L46" t="str">
            <v>ƯD CNTT cơ bản</v>
          </cell>
          <cell r="M46" t="str">
            <v>GVTH</v>
          </cell>
          <cell r="N46" t="str">
            <v>306 Lê Hoàn, Ba Đình, TP.Thanh Hóa, T.Thanh Hóa</v>
          </cell>
          <cell r="O46" t="str">
            <v>0964345458</v>
          </cell>
          <cell r="P46" t="str">
            <v>215/QĐ-TDGV</v>
          </cell>
          <cell r="Q46" t="str">
            <v>01/07/2023</v>
          </cell>
          <cell r="R46" t="str">
            <v>01/2022</v>
          </cell>
          <cell r="S46" t="str">
            <v>B2</v>
          </cell>
        </row>
        <row r="47">
          <cell r="D47" t="str">
            <v>Lê Văn Lộc</v>
          </cell>
          <cell r="E47" t="str">
            <v>x</v>
          </cell>
          <cell r="F47">
            <v>32426</v>
          </cell>
          <cell r="G47" t="str">
            <v>040088023144</v>
          </cell>
          <cell r="H47" t="str">
            <v>TC</v>
          </cell>
          <cell r="I47" t="str">
            <v>Tin học văn phòng</v>
          </cell>
          <cell r="J47" t="str">
            <v>SPN</v>
          </cell>
          <cell r="K47" t="str">
            <v>B</v>
          </cell>
          <cell r="L47" t="str">
            <v>ƯD CNTT cơ bản</v>
          </cell>
          <cell r="M47" t="str">
            <v>GVTH</v>
          </cell>
          <cell r="N47" t="str">
            <v>Xóm 6, X. Nghĩa Đồng, H. Tân Kỳ, T. Nghệ An</v>
          </cell>
          <cell r="O47" t="str">
            <v>0974566637</v>
          </cell>
          <cell r="P47" t="str">
            <v>192/QĐ-TDGV</v>
          </cell>
          <cell r="Q47" t="str">
            <v>01/07/2023</v>
          </cell>
          <cell r="R47" t="str">
            <v>04/2015</v>
          </cell>
          <cell r="S47" t="str">
            <v>C</v>
          </cell>
        </row>
        <row r="48">
          <cell r="D48" t="str">
            <v>Lê Tất Mạnh</v>
          </cell>
          <cell r="E48"/>
          <cell r="F48">
            <v>31014</v>
          </cell>
          <cell r="G48" t="str">
            <v>022084002184</v>
          </cell>
          <cell r="H48" t="str">
            <v>ĐH</v>
          </cell>
          <cell r="I48" t="str">
            <v>Kinh tế đối ngoại</v>
          </cell>
          <cell r="J48" t="str">
            <v>NVSP</v>
          </cell>
          <cell r="K48"/>
          <cell r="L48"/>
          <cell r="M48" t="str">
            <v>GVTH</v>
          </cell>
          <cell r="N48" t="str">
            <v>107 Đường số 4, P.6, Q.Gò Vấp, TP.HCM</v>
          </cell>
          <cell r="O48" t="str">
            <v>0490953230</v>
          </cell>
          <cell r="P48" t="str">
            <v>27/QĐ-TDGV</v>
          </cell>
          <cell r="Q48" t="str">
            <v>10/03/2025</v>
          </cell>
          <cell r="R48" t="str">
            <v>03/2025</v>
          </cell>
          <cell r="S48" t="str">
            <v>C</v>
          </cell>
        </row>
        <row r="49">
          <cell r="D49" t="str">
            <v>Đặng Hoàng Minh</v>
          </cell>
          <cell r="E49"/>
          <cell r="F49">
            <v>33478</v>
          </cell>
          <cell r="G49" t="str">
            <v>079082009517</v>
          </cell>
          <cell r="H49" t="str">
            <v>TC</v>
          </cell>
          <cell r="I49" t="str">
            <v>Pháp luật</v>
          </cell>
          <cell r="J49" t="str">
            <v>NVSP CĐ</v>
          </cell>
          <cell r="K49"/>
          <cell r="L49"/>
          <cell r="M49" t="str">
            <v>GVTH</v>
          </cell>
          <cell r="N49" t="str">
            <v>252/50 Phạm Văn Chiêu, TDP27, KP4, P.Thông Tây Hội, TP.HCM</v>
          </cell>
          <cell r="O49" t="str">
            <v>0388060338</v>
          </cell>
          <cell r="P49" t="str">
            <v>157/QĐ-TDGV</v>
          </cell>
          <cell r="Q49">
            <v>45993</v>
          </cell>
          <cell r="R49" t="str">
            <v>12/2025</v>
          </cell>
          <cell r="S49" t="str">
            <v>C1</v>
          </cell>
        </row>
        <row r="50">
          <cell r="D50" t="str">
            <v>Võ Duy Minh</v>
          </cell>
          <cell r="E50"/>
          <cell r="F50" t="str">
            <v>02/08/1987</v>
          </cell>
          <cell r="G50" t="str">
            <v>051087008718</v>
          </cell>
          <cell r="H50" t="str">
            <v>TS</v>
          </cell>
          <cell r="I50" t="str">
            <v>Kỹ thuật cơ khí động lực</v>
          </cell>
          <cell r="J50" t="str">
            <v>NVSP</v>
          </cell>
          <cell r="K50" t="str">
            <v>C</v>
          </cell>
          <cell r="L50" t="str">
            <v>B</v>
          </cell>
          <cell r="M50" t="str">
            <v>GVTH</v>
          </cell>
          <cell r="N50" t="str">
            <v>Nghĩa Điền, Tư Nghĩa, Quảng Ngãi</v>
          </cell>
          <cell r="O50" t="str">
            <v>0983526168</v>
          </cell>
          <cell r="P50" t="str">
            <v>133/QĐ-TDGV</v>
          </cell>
          <cell r="Q50" t="str">
            <v>04/12/2024</v>
          </cell>
          <cell r="R50" t="str">
            <v>12/2024</v>
          </cell>
          <cell r="S50" t="str">
            <v>B2</v>
          </cell>
        </row>
        <row r="51">
          <cell r="D51" t="str">
            <v>Nguyễn Thanh Nam</v>
          </cell>
          <cell r="E51" t="str">
            <v>x</v>
          </cell>
          <cell r="F51">
            <v>31583</v>
          </cell>
          <cell r="G51" t="str">
            <v>040086001212</v>
          </cell>
          <cell r="H51" t="str">
            <v>TC</v>
          </cell>
          <cell r="I51" t="str">
            <v>Công nghệ ô tô</v>
          </cell>
          <cell r="J51" t="str">
            <v>SPN</v>
          </cell>
          <cell r="K51" t="str">
            <v>B</v>
          </cell>
          <cell r="L51" t="str">
            <v>ƯD CNTT cơ bản</v>
          </cell>
          <cell r="M51" t="str">
            <v>GVTH</v>
          </cell>
          <cell r="N51" t="str">
            <v>55 Đường B1, P. 13, Q. Tân Bình, TP. HCM</v>
          </cell>
          <cell r="O51" t="str">
            <v>0933213681</v>
          </cell>
          <cell r="P51" t="str">
            <v>193/QĐ-TDGV</v>
          </cell>
          <cell r="Q51" t="str">
            <v>01/07/2023</v>
          </cell>
          <cell r="R51" t="str">
            <v>07/2015</v>
          </cell>
          <cell r="S51" t="str">
            <v>C</v>
          </cell>
        </row>
        <row r="52">
          <cell r="D52" t="str">
            <v>Lê Hoài Nam</v>
          </cell>
          <cell r="E52"/>
          <cell r="F52" t="str">
            <v>17/01/1981</v>
          </cell>
          <cell r="G52" t="str">
            <v>042081015546</v>
          </cell>
          <cell r="H52" t="str">
            <v>TC</v>
          </cell>
          <cell r="I52" t="str">
            <v>Pháp luật</v>
          </cell>
          <cell r="J52" t="str">
            <v>NVSP</v>
          </cell>
          <cell r="K52"/>
          <cell r="L52"/>
          <cell r="M52" t="str">
            <v>GVTH</v>
          </cell>
          <cell r="N52" t="str">
            <v>42/6 TL 30, Tổ 06, KP1, P.Thạnh Lộc, Q.12, TP.HCM</v>
          </cell>
          <cell r="O52" t="str">
            <v>0975003059</v>
          </cell>
          <cell r="P52" t="str">
            <v>72/QĐ-TDGV</v>
          </cell>
          <cell r="Q52" t="str">
            <v>02/07/2024</v>
          </cell>
          <cell r="R52" t="str">
            <v>07/2024</v>
          </cell>
          <cell r="S52" t="str">
            <v>C</v>
          </cell>
        </row>
        <row r="53">
          <cell r="D53" t="str">
            <v>Đỗ Chí Nghĩa</v>
          </cell>
          <cell r="E53"/>
          <cell r="F53" t="str">
            <v>02/02/1998</v>
          </cell>
          <cell r="G53" t="str">
            <v>096098005950</v>
          </cell>
          <cell r="H53" t="str">
            <v>TC</v>
          </cell>
          <cell r="I53" t="str">
            <v>Công nghệ ô tô</v>
          </cell>
          <cell r="J53" t="str">
            <v>NVSP</v>
          </cell>
          <cell r="K53"/>
          <cell r="L53"/>
          <cell r="M53" t="str">
            <v>GVTH</v>
          </cell>
          <cell r="N53" t="str">
            <v>Ấp 4, X.Khánh Lâm, H. U Minh, T.Cà Mau</v>
          </cell>
          <cell r="O53" t="str">
            <v>0962832839</v>
          </cell>
          <cell r="P53" t="str">
            <v>82/QĐ-TDGV</v>
          </cell>
          <cell r="Q53" t="str">
            <v>02/07/2024</v>
          </cell>
          <cell r="R53" t="str">
            <v>07/2024</v>
          </cell>
          <cell r="S53" t="str">
            <v>B2</v>
          </cell>
        </row>
        <row r="54">
          <cell r="D54" t="str">
            <v>Nguyễn Văn Ngoan</v>
          </cell>
          <cell r="E54" t="str">
            <v>x</v>
          </cell>
          <cell r="F54">
            <v>32946</v>
          </cell>
          <cell r="G54" t="str">
            <v>089090000037</v>
          </cell>
          <cell r="H54" t="str">
            <v>TC</v>
          </cell>
          <cell r="I54" t="str">
            <v>Sửa chữa ô tô</v>
          </cell>
          <cell r="J54" t="str">
            <v>NVSP CĐ</v>
          </cell>
          <cell r="K54" t="str">
            <v>A</v>
          </cell>
          <cell r="L54" t="str">
            <v>A</v>
          </cell>
          <cell r="M54" t="str">
            <v>GVTH</v>
          </cell>
          <cell r="N54" t="str">
            <v>165/64 Văn Thân, P. 8, Q. 6, TP. HCM</v>
          </cell>
          <cell r="O54" t="str">
            <v>0797151924</v>
          </cell>
          <cell r="P54" t="str">
            <v>132/QĐ-TDGV</v>
          </cell>
          <cell r="Q54">
            <v>45075</v>
          </cell>
          <cell r="R54" t="str">
            <v>05/2023</v>
          </cell>
          <cell r="S54" t="str">
            <v>B2</v>
          </cell>
        </row>
        <row r="55">
          <cell r="D55" t="str">
            <v>Nghiêm Hải Ngọc</v>
          </cell>
          <cell r="E55"/>
          <cell r="F55">
            <v>24213</v>
          </cell>
          <cell r="G55" t="str">
            <v>044066001029</v>
          </cell>
          <cell r="H55" t="str">
            <v>ĐH</v>
          </cell>
          <cell r="I55" t="str">
            <v>Lưu trữ và quản trị văn phòng</v>
          </cell>
          <cell r="J55" t="str">
            <v>SPN</v>
          </cell>
          <cell r="K55" t="str">
            <v>B</v>
          </cell>
          <cell r="L55" t="str">
            <v>ƯD CNTT cơ bản</v>
          </cell>
          <cell r="M55" t="str">
            <v>GVTH</v>
          </cell>
          <cell r="N55" t="str">
            <v>61A, Kp 3, P. Thới An, Q. 12, TP. HCM</v>
          </cell>
          <cell r="O55" t="str">
            <v>0835330806</v>
          </cell>
          <cell r="P55" t="str">
            <v>238/QĐ-TDGV</v>
          </cell>
          <cell r="Q55" t="str">
            <v>01/07/2023</v>
          </cell>
          <cell r="R55" t="str">
            <v>09/2022</v>
          </cell>
          <cell r="S55" t="str">
            <v>B2</v>
          </cell>
        </row>
        <row r="56">
          <cell r="D56" t="str">
            <v>Huỳnh Văn Nguyên</v>
          </cell>
          <cell r="E56" t="str">
            <v>x</v>
          </cell>
          <cell r="F56">
            <v>33483</v>
          </cell>
          <cell r="G56" t="str">
            <v>049091000170</v>
          </cell>
          <cell r="H56" t="str">
            <v>CĐ</v>
          </cell>
          <cell r="I56" t="str">
            <v>Quản trị kinh doanh</v>
          </cell>
          <cell r="J56" t="str">
            <v>NVSP</v>
          </cell>
          <cell r="K56"/>
          <cell r="L56"/>
          <cell r="M56" t="str">
            <v>GVTH</v>
          </cell>
          <cell r="N56" t="str">
            <v>56/13/10 Tổ 6, Kp 4, P. Tân Chánh Hiệp, Q. 12, TP. HCM</v>
          </cell>
          <cell r="O56" t="str">
            <v>0962877754</v>
          </cell>
          <cell r="P56" t="str">
            <v>239/QĐ-TDGV</v>
          </cell>
          <cell r="Q56" t="str">
            <v>01/07/2023</v>
          </cell>
          <cell r="R56" t="str">
            <v>11/2022</v>
          </cell>
          <cell r="S56" t="str">
            <v>B2</v>
          </cell>
        </row>
        <row r="57">
          <cell r="D57" t="str">
            <v>Phạm Sỹ Nguyên</v>
          </cell>
          <cell r="E57"/>
          <cell r="F57" t="str">
            <v>17/11/1968</v>
          </cell>
          <cell r="G57" t="str">
            <v>001068038749</v>
          </cell>
          <cell r="H57" t="str">
            <v>TC</v>
          </cell>
          <cell r="I57" t="str">
            <v>Công nghệ ô tô</v>
          </cell>
          <cell r="J57" t="str">
            <v>SPN</v>
          </cell>
          <cell r="K57" t="str">
            <v>B</v>
          </cell>
          <cell r="L57" t="str">
            <v>ƯD CNTT cơ bản</v>
          </cell>
          <cell r="M57" t="str">
            <v>GVTH</v>
          </cell>
          <cell r="N57" t="str">
            <v>36A Lê Văn Huân, P. 13, Q. Tân Bình, TP. HCM</v>
          </cell>
          <cell r="O57" t="str">
            <v>0987193614</v>
          </cell>
          <cell r="P57" t="str">
            <v>194/QĐ-TDGV</v>
          </cell>
          <cell r="Q57" t="str">
            <v>01/07/2023</v>
          </cell>
          <cell r="R57" t="str">
            <v>06/2011</v>
          </cell>
          <cell r="S57" t="str">
            <v>CE</v>
          </cell>
        </row>
        <row r="58">
          <cell r="D58" t="str">
            <v>Lê Ngọc Nhân</v>
          </cell>
          <cell r="E58" t="str">
            <v>x</v>
          </cell>
          <cell r="F58">
            <v>32229</v>
          </cell>
          <cell r="G58" t="str">
            <v>089088013193</v>
          </cell>
          <cell r="H58" t="str">
            <v>TC</v>
          </cell>
          <cell r="I58" t="str">
            <v>Công nghệ ô tô</v>
          </cell>
          <cell r="J58" t="str">
            <v>NVSP CĐ</v>
          </cell>
          <cell r="K58"/>
          <cell r="L58"/>
          <cell r="M58" t="str">
            <v>GVTH</v>
          </cell>
          <cell r="N58" t="str">
            <v>077/XM, X. Mỹ Hòa, H. Ba Tri, T. Bến Tre</v>
          </cell>
          <cell r="O58" t="str">
            <v>0703338779</v>
          </cell>
          <cell r="P58" t="str">
            <v>240/QĐ-TDGV</v>
          </cell>
          <cell r="Q58" t="str">
            <v>01/07/2023</v>
          </cell>
          <cell r="R58" t="str">
            <v>01/2022</v>
          </cell>
          <cell r="S58" t="str">
            <v>C</v>
          </cell>
        </row>
        <row r="59">
          <cell r="D59" t="str">
            <v>Đặng Đình Nhân</v>
          </cell>
          <cell r="E59"/>
          <cell r="F59" t="str">
            <v>10/08/1988</v>
          </cell>
          <cell r="G59" t="str">
            <v>066088006310</v>
          </cell>
          <cell r="H59" t="str">
            <v>TC</v>
          </cell>
          <cell r="I59" t="str">
            <v>Công nghệ ô tô</v>
          </cell>
          <cell r="J59" t="str">
            <v>NVSP</v>
          </cell>
          <cell r="K59"/>
          <cell r="L59"/>
          <cell r="M59" t="str">
            <v>GVTH</v>
          </cell>
          <cell r="N59" t="str">
            <v>49/59/2B KP3, P.Tân Chánh Hiệp, Q.12, TP.HCM</v>
          </cell>
          <cell r="O59" t="str">
            <v>0937174752</v>
          </cell>
          <cell r="P59" t="str">
            <v>64/QĐ-TDGV</v>
          </cell>
          <cell r="Q59" t="str">
            <v>02/07/2024</v>
          </cell>
          <cell r="R59" t="str">
            <v>07/2024</v>
          </cell>
          <cell r="S59" t="str">
            <v>B2</v>
          </cell>
        </row>
        <row r="60">
          <cell r="D60" t="str">
            <v>Nguyễn Đông Nhựt</v>
          </cell>
          <cell r="E60"/>
          <cell r="F60" t="str">
            <v>19/05/1966</v>
          </cell>
          <cell r="G60" t="str">
            <v>077066000277</v>
          </cell>
          <cell r="H60" t="str">
            <v>TC</v>
          </cell>
          <cell r="I60" t="str">
            <v>Quản trị doanh nghiệp vừa và nhỏ</v>
          </cell>
          <cell r="J60" t="str">
            <v>NVSP</v>
          </cell>
          <cell r="K60"/>
          <cell r="L60"/>
          <cell r="M60" t="str">
            <v>GVTH</v>
          </cell>
          <cell r="N60" t="str">
            <v>568/6 Trường Chinh, P.13, Q.Tâm Bình, TP.HCM</v>
          </cell>
          <cell r="O60" t="str">
            <v>0933125219</v>
          </cell>
          <cell r="P60" t="str">
            <v>103/QĐ-TDGV</v>
          </cell>
          <cell r="Q60" t="str">
            <v>03/07/2025</v>
          </cell>
          <cell r="R60" t="str">
            <v>07/2025</v>
          </cell>
          <cell r="S60" t="str">
            <v>C</v>
          </cell>
        </row>
        <row r="61">
          <cell r="D61" t="str">
            <v>Nguyễn Hữu Phúc</v>
          </cell>
          <cell r="E61" t="str">
            <v>x</v>
          </cell>
          <cell r="F61">
            <v>33926</v>
          </cell>
          <cell r="G61" t="str">
            <v>087092018024</v>
          </cell>
          <cell r="H61" t="str">
            <v>TC</v>
          </cell>
          <cell r="I61" t="str">
            <v>Công nghệ ô tô</v>
          </cell>
          <cell r="J61" t="str">
            <v>NVSP CĐ</v>
          </cell>
          <cell r="K61"/>
          <cell r="L61"/>
          <cell r="M61" t="str">
            <v>GVTH</v>
          </cell>
          <cell r="N61" t="str">
            <v>Ấp Tân Lập, X. Tân Nhuận Đông, H. Châu Thành, T. Đồng Tháp</v>
          </cell>
          <cell r="O61" t="str">
            <v>0909060645</v>
          </cell>
          <cell r="P61" t="str">
            <v>241/QĐ-TDGV</v>
          </cell>
          <cell r="Q61" t="str">
            <v>01/07/2023</v>
          </cell>
          <cell r="R61" t="str">
            <v>07/2022</v>
          </cell>
          <cell r="S61" t="str">
            <v>B2</v>
          </cell>
        </row>
        <row r="62">
          <cell r="D62" t="str">
            <v>Nguyễn Ngũ Phúc</v>
          </cell>
          <cell r="E62" t="str">
            <v>x</v>
          </cell>
          <cell r="F62">
            <v>26187</v>
          </cell>
          <cell r="G62" t="str">
            <v>034071011255</v>
          </cell>
          <cell r="H62" t="str">
            <v>ĐH</v>
          </cell>
          <cell r="I62" t="str">
            <v>Quản trị kinh doanh</v>
          </cell>
          <cell r="J62" t="str">
            <v>SPN</v>
          </cell>
          <cell r="K62" t="str">
            <v>B</v>
          </cell>
          <cell r="L62" t="str">
            <v>ƯD CNTT cơ bản</v>
          </cell>
          <cell r="M62" t="str">
            <v>GVTH</v>
          </cell>
          <cell r="N62" t="str">
            <v>61/17A KP2, P. Tân Thới Hiệp, Q. 12, TP. HCM</v>
          </cell>
          <cell r="O62" t="str">
            <v>0976498222</v>
          </cell>
          <cell r="P62" t="str">
            <v>195/QĐ-TDGV</v>
          </cell>
          <cell r="Q62" t="str">
            <v>01/07/2023</v>
          </cell>
          <cell r="R62" t="str">
            <v>08/2017</v>
          </cell>
          <cell r="S62" t="str">
            <v>B2</v>
          </cell>
        </row>
        <row r="63">
          <cell r="D63" t="str">
            <v>Huỳnh Quốc Phong</v>
          </cell>
          <cell r="E63"/>
          <cell r="F63">
            <v>29455</v>
          </cell>
          <cell r="G63" t="str">
            <v>079080016254</v>
          </cell>
          <cell r="H63" t="str">
            <v>TC</v>
          </cell>
          <cell r="I63" t="str">
            <v>Sửa chữa ô tô</v>
          </cell>
          <cell r="J63" t="str">
            <v>NVSP</v>
          </cell>
          <cell r="K63"/>
          <cell r="L63"/>
          <cell r="M63" t="str">
            <v>GVTH</v>
          </cell>
          <cell r="N63" t="str">
            <v>Tổ 2, Ấp 2A, Tân Thạnh Đông, Củ Chi, TP.HCM</v>
          </cell>
          <cell r="O63"/>
          <cell r="P63" t="str">
            <v>43/QĐ-TDGV</v>
          </cell>
          <cell r="Q63">
            <v>45768</v>
          </cell>
          <cell r="R63" t="str">
            <v>04/2025</v>
          </cell>
          <cell r="S63" t="str">
            <v>C</v>
          </cell>
        </row>
        <row r="64">
          <cell r="D64" t="str">
            <v>Trần Phạm Ân Phước</v>
          </cell>
          <cell r="E64"/>
          <cell r="F64">
            <v>34446</v>
          </cell>
          <cell r="G64" t="str">
            <v>075094007453</v>
          </cell>
          <cell r="H64" t="str">
            <v>CĐ</v>
          </cell>
          <cell r="I64" t="str">
            <v>Công nghệ ô tô</v>
          </cell>
          <cell r="J64" t="str">
            <v>NVSP</v>
          </cell>
          <cell r="K64"/>
          <cell r="L64"/>
          <cell r="M64" t="str">
            <v>GVTH</v>
          </cell>
          <cell r="N64" t="str">
            <v>Lộc Hòa, Tây Hòa, Trảng Bom, Đồng Nai</v>
          </cell>
          <cell r="O64" t="str">
            <v>0335310115</v>
          </cell>
          <cell r="P64" t="str">
            <v>49/QĐ-TDGV</v>
          </cell>
          <cell r="Q64">
            <v>45769</v>
          </cell>
          <cell r="R64" t="str">
            <v>04/2025</v>
          </cell>
          <cell r="S64" t="str">
            <v>C</v>
          </cell>
        </row>
        <row r="65">
          <cell r="D65" t="str">
            <v>Dương Quang Quyết</v>
          </cell>
          <cell r="E65" t="str">
            <v>x</v>
          </cell>
          <cell r="F65">
            <v>35271</v>
          </cell>
          <cell r="G65" t="str">
            <v>066096021865</v>
          </cell>
          <cell r="H65" t="str">
            <v>ĐH</v>
          </cell>
          <cell r="I65" t="str">
            <v>Quản trị kinh doanh</v>
          </cell>
          <cell r="J65" t="str">
            <v>NVSP CĐ</v>
          </cell>
          <cell r="K65"/>
          <cell r="L65"/>
          <cell r="M65" t="str">
            <v>GVTH</v>
          </cell>
          <cell r="N65" t="str">
            <v>Tổ dân phố 4B, TT. Ea Knốp, H. Ea Kar, T. Đắk Lắk</v>
          </cell>
          <cell r="O65" t="str">
            <v>0962714714</v>
          </cell>
          <cell r="P65" t="str">
            <v>170/QĐ-TDGV</v>
          </cell>
          <cell r="Q65">
            <v>45108</v>
          </cell>
          <cell r="R65" t="str">
            <v>07/2023</v>
          </cell>
          <cell r="S65" t="str">
            <v>B2</v>
          </cell>
        </row>
        <row r="66">
          <cell r="D66" t="str">
            <v>Nguyễn Duy Sang</v>
          </cell>
          <cell r="E66" t="str">
            <v>x</v>
          </cell>
          <cell r="F66" t="str">
            <v>17/05/1986</v>
          </cell>
          <cell r="G66" t="str">
            <v>087086023359</v>
          </cell>
          <cell r="H66" t="str">
            <v>ĐH</v>
          </cell>
          <cell r="I66" t="str">
            <v>Kinh tế kế toán kiểm toán</v>
          </cell>
          <cell r="J66" t="str">
            <v>NVSP</v>
          </cell>
          <cell r="K66"/>
          <cell r="L66"/>
          <cell r="M66" t="str">
            <v>GVTH</v>
          </cell>
          <cell r="N66" t="str">
            <v>06, Lô F, 552,588 CMT8, P. 11, Q. 3, TP. HCM</v>
          </cell>
          <cell r="O66" t="str">
            <v>0934610339</v>
          </cell>
          <cell r="P66" t="str">
            <v>131/QĐ-TDGV</v>
          </cell>
          <cell r="Q66" t="str">
            <v>04/12/2024</v>
          </cell>
          <cell r="R66" t="str">
            <v>12/2024</v>
          </cell>
          <cell r="S66" t="str">
            <v>B2</v>
          </cell>
        </row>
        <row r="67">
          <cell r="D67" t="str">
            <v>Trần Ánh Sáng</v>
          </cell>
          <cell r="E67"/>
          <cell r="F67" t="str">
            <v>16/05/1975</v>
          </cell>
          <cell r="G67" t="str">
            <v>042075000404</v>
          </cell>
          <cell r="H67" t="str">
            <v>ĐH</v>
          </cell>
          <cell r="I67" t="str">
            <v>Tâm lý học</v>
          </cell>
          <cell r="J67" t="str">
            <v>NVSP</v>
          </cell>
          <cell r="K67"/>
          <cell r="L67"/>
          <cell r="M67" t="str">
            <v>GVTH</v>
          </cell>
          <cell r="N67" t="str">
            <v>224/42/20/27 KP7, P.Thạnh Xuân, Q.12, TP.HCM</v>
          </cell>
          <cell r="O67" t="str">
            <v>0934160575</v>
          </cell>
          <cell r="P67" t="str">
            <v>66/QĐ-TDGV</v>
          </cell>
          <cell r="Q67" t="str">
            <v>02/07/2024</v>
          </cell>
          <cell r="R67" t="str">
            <v>07/2024</v>
          </cell>
          <cell r="S67" t="str">
            <v>B2</v>
          </cell>
        </row>
        <row r="68">
          <cell r="D68" t="str">
            <v>Nguyễn Trường Sơn</v>
          </cell>
          <cell r="E68"/>
          <cell r="F68">
            <v>27747</v>
          </cell>
          <cell r="G68" t="str">
            <v>025075067107</v>
          </cell>
          <cell r="H68" t="str">
            <v>TC</v>
          </cell>
          <cell r="I68" t="str">
            <v>Tin học văn phòng</v>
          </cell>
          <cell r="J68" t="str">
            <v>SPN</v>
          </cell>
          <cell r="K68" t="str">
            <v>B</v>
          </cell>
          <cell r="L68" t="str">
            <v>ƯD CNTT cơ bản</v>
          </cell>
          <cell r="M68" t="str">
            <v>GVTH</v>
          </cell>
          <cell r="N68" t="str">
            <v>27/5D Nhị Đồng 2, P. Dĩ An, TP. Dĩ An, T. Bình Dương</v>
          </cell>
          <cell r="O68" t="str">
            <v>0904813777</v>
          </cell>
          <cell r="P68" t="str">
            <v>196/QĐ-TDGV</v>
          </cell>
          <cell r="Q68" t="str">
            <v>01/07/2023</v>
          </cell>
          <cell r="R68" t="str">
            <v>06/2011</v>
          </cell>
          <cell r="S68" t="str">
            <v>D</v>
          </cell>
        </row>
        <row r="69">
          <cell r="D69" t="str">
            <v>Nguyễn Minh Tiến</v>
          </cell>
          <cell r="E69"/>
          <cell r="F69">
            <v>31129</v>
          </cell>
          <cell r="G69" t="str">
            <v>079085038788</v>
          </cell>
          <cell r="H69" t="str">
            <v>CĐ</v>
          </cell>
          <cell r="I69" t="str">
            <v>Công nghệ hóa học</v>
          </cell>
          <cell r="J69" t="str">
            <v>SPN</v>
          </cell>
          <cell r="K69" t="str">
            <v>C</v>
          </cell>
          <cell r="L69"/>
          <cell r="M69" t="str">
            <v>GVTH</v>
          </cell>
          <cell r="N69" t="str">
            <v>63/2A Hậu Lân, X. Bà Điểm, H. Hóc Môn, TP. HCM</v>
          </cell>
          <cell r="O69" t="str">
            <v>0933230385</v>
          </cell>
          <cell r="P69" t="str">
            <v>169/QĐ-TDGV</v>
          </cell>
          <cell r="Q69">
            <v>45108</v>
          </cell>
          <cell r="R69" t="str">
            <v>07/2023</v>
          </cell>
          <cell r="S69" t="str">
            <v>C</v>
          </cell>
        </row>
        <row r="70">
          <cell r="D70" t="str">
            <v>Lê Minh Tú</v>
          </cell>
          <cell r="E70" t="str">
            <v>x</v>
          </cell>
          <cell r="F70">
            <v>34133</v>
          </cell>
          <cell r="G70" t="str">
            <v>072093010769</v>
          </cell>
          <cell r="H70" t="str">
            <v>TC</v>
          </cell>
          <cell r="I70" t="str">
            <v>Vận hành máy thi công mặt đường</v>
          </cell>
          <cell r="J70" t="str">
            <v>NVSP CĐ</v>
          </cell>
          <cell r="K70" t="str">
            <v>B</v>
          </cell>
          <cell r="L70" t="str">
            <v>ƯD CNTT cơ bản</v>
          </cell>
          <cell r="M70" t="str">
            <v>GVTH</v>
          </cell>
          <cell r="N70" t="str">
            <v>Ấp Lộc Thuận, Xã Hưng Thuận, Thị xã Trảng Bàng, Tây Ninh</v>
          </cell>
          <cell r="O70" t="str">
            <v>0373516606</v>
          </cell>
          <cell r="P70" t="str">
            <v>198/QĐ-TDGV</v>
          </cell>
          <cell r="Q70" t="str">
            <v>01/07/2023</v>
          </cell>
          <cell r="R70" t="str">
            <v>12/2021</v>
          </cell>
          <cell r="S70" t="str">
            <v>B2</v>
          </cell>
        </row>
        <row r="71">
          <cell r="D71" t="str">
            <v>Bùi Anh Tuấn</v>
          </cell>
          <cell r="E71" t="str">
            <v>x</v>
          </cell>
          <cell r="F71" t="str">
            <v>05/01/1983</v>
          </cell>
          <cell r="G71" t="str">
            <v>034083011278</v>
          </cell>
          <cell r="H71" t="str">
            <v>TC</v>
          </cell>
          <cell r="I71" t="str">
            <v>Công nghệ ô tô</v>
          </cell>
          <cell r="J71" t="str">
            <v>NVSP</v>
          </cell>
          <cell r="K71"/>
          <cell r="L71"/>
          <cell r="M71" t="str">
            <v>GVTH</v>
          </cell>
          <cell r="N71" t="str">
            <v>X. Đông Hoàng, H. Đông Hưng, T. Thái Bình</v>
          </cell>
          <cell r="O71" t="str">
            <v>0976444289</v>
          </cell>
          <cell r="P71" t="str">
            <v>07/QĐ-TDGV</v>
          </cell>
          <cell r="Q71" t="str">
            <v>02/02/2024</v>
          </cell>
          <cell r="R71" t="str">
            <v>02/2024</v>
          </cell>
          <cell r="S71" t="str">
            <v>D</v>
          </cell>
        </row>
        <row r="72">
          <cell r="D72" t="str">
            <v>Hứa Nguyễn Quốc Thái</v>
          </cell>
          <cell r="E72"/>
          <cell r="F72" t="str">
            <v>19/10/1979</v>
          </cell>
          <cell r="G72" t="str">
            <v>079079007960</v>
          </cell>
          <cell r="H72" t="str">
            <v>ĐH</v>
          </cell>
          <cell r="I72" t="str">
            <v>Quản trị kinh doanh</v>
          </cell>
          <cell r="J72" t="str">
            <v>NVSP</v>
          </cell>
          <cell r="K72"/>
          <cell r="L72"/>
          <cell r="M72" t="str">
            <v>GVTH</v>
          </cell>
          <cell r="N72" t="str">
            <v>327 Cao Đạt, P. 1, Q. 5, TP. HCM</v>
          </cell>
          <cell r="O72" t="str">
            <v>0908768874</v>
          </cell>
          <cell r="P72" t="str">
            <v>313/QĐ-TDGV</v>
          </cell>
          <cell r="Q72" t="str">
            <v>26/10/2023</v>
          </cell>
          <cell r="R72" t="str">
            <v>10/2023</v>
          </cell>
          <cell r="S72" t="str">
            <v>B2</v>
          </cell>
        </row>
        <row r="73">
          <cell r="D73" t="str">
            <v>Lê Văn Thành</v>
          </cell>
          <cell r="E73"/>
          <cell r="F73">
            <v>24611</v>
          </cell>
          <cell r="G73" t="str">
            <v>038067003736</v>
          </cell>
          <cell r="H73" t="str">
            <v>TC</v>
          </cell>
          <cell r="I73" t="str">
            <v>Công nghệ ô tô</v>
          </cell>
          <cell r="J73" t="str">
            <v>SPN</v>
          </cell>
          <cell r="K73" t="str">
            <v>B</v>
          </cell>
          <cell r="L73" t="str">
            <v>ƯD CNTT cơ bản</v>
          </cell>
          <cell r="M73" t="str">
            <v>GVTH</v>
          </cell>
          <cell r="N73" t="str">
            <v>91/43 Thân Nhân Trung, P. 13, Q. Tân Bình, TP. HCM</v>
          </cell>
          <cell r="O73" t="str">
            <v>0979786566</v>
          </cell>
          <cell r="P73" t="str">
            <v>201/QĐ-TDGV</v>
          </cell>
          <cell r="Q73" t="str">
            <v>01/07/2023</v>
          </cell>
          <cell r="R73" t="str">
            <v>06/2011</v>
          </cell>
          <cell r="S73" t="str">
            <v>C</v>
          </cell>
        </row>
        <row r="74">
          <cell r="D74" t="str">
            <v>Nguyễn Công Thành</v>
          </cell>
          <cell r="E74" t="str">
            <v>x</v>
          </cell>
          <cell r="F74">
            <v>30791</v>
          </cell>
          <cell r="G74" t="str">
            <v>079084010236</v>
          </cell>
          <cell r="H74" t="str">
            <v>CĐ</v>
          </cell>
          <cell r="I74" t="str">
            <v>Kế toán</v>
          </cell>
          <cell r="J74" t="str">
            <v>SPN</v>
          </cell>
          <cell r="K74" t="str">
            <v>A</v>
          </cell>
          <cell r="L74" t="str">
            <v>A</v>
          </cell>
          <cell r="M74" t="str">
            <v>GVTH</v>
          </cell>
          <cell r="N74" t="str">
            <v>72/5 Tân Tiến, Xuân Thới Đông, Hóc Môn, TP.HCM</v>
          </cell>
          <cell r="O74" t="str">
            <v>0987887588</v>
          </cell>
          <cell r="P74" t="str">
            <v>20/QĐ-TDGV</v>
          </cell>
          <cell r="Q74" t="str">
            <v>01/07/2023</v>
          </cell>
          <cell r="R74" t="str">
            <v>01/2021</v>
          </cell>
          <cell r="S74" t="str">
            <v>B2</v>
          </cell>
        </row>
        <row r="75">
          <cell r="D75" t="str">
            <v>Lê Trung Thành</v>
          </cell>
          <cell r="E75"/>
          <cell r="F75" t="str">
            <v>20/08/1978</v>
          </cell>
          <cell r="G75" t="str">
            <v>001078000453</v>
          </cell>
          <cell r="H75" t="str">
            <v>TC</v>
          </cell>
          <cell r="I75" t="str">
            <v>Kế toán</v>
          </cell>
          <cell r="J75" t="str">
            <v>NVSP</v>
          </cell>
          <cell r="K75"/>
          <cell r="L75"/>
          <cell r="M75" t="str">
            <v>GVTH</v>
          </cell>
          <cell r="N75" t="str">
            <v>27A An Dương, Yên Phụ, Tây Hồ, Hà Nội</v>
          </cell>
          <cell r="O75" t="str">
            <v>0902390904</v>
          </cell>
          <cell r="P75" t="str">
            <v>334/QĐ-TDGV</v>
          </cell>
          <cell r="Q75" t="str">
            <v>01/12/2023</v>
          </cell>
          <cell r="R75" t="str">
            <v>12/2023</v>
          </cell>
          <cell r="S75" t="str">
            <v>C</v>
          </cell>
        </row>
        <row r="76">
          <cell r="D76" t="str">
            <v>Đỗ Trung Thành</v>
          </cell>
          <cell r="E76" t="str">
            <v>x</v>
          </cell>
          <cell r="F76">
            <v>30067</v>
          </cell>
          <cell r="G76" t="str">
            <v>079082010212</v>
          </cell>
          <cell r="H76" t="str">
            <v>CĐ</v>
          </cell>
          <cell r="I76" t="str">
            <v>Công nghệ điện lạnh</v>
          </cell>
          <cell r="J76" t="str">
            <v>SPN</v>
          </cell>
          <cell r="K76"/>
          <cell r="L76"/>
          <cell r="M76" t="str">
            <v>GVTH</v>
          </cell>
          <cell r="N76" t="str">
            <v>295/4A Nơ Trang Long, P.13, Q.Bình Thạnh, TP.HCM</v>
          </cell>
          <cell r="O76" t="str">
            <v>0327882222</v>
          </cell>
          <cell r="P76" t="str">
            <v>52/QĐ-TDGV</v>
          </cell>
          <cell r="Q76">
            <v>45771</v>
          </cell>
          <cell r="R76" t="str">
            <v>04/2025</v>
          </cell>
          <cell r="S76" t="str">
            <v>B2</v>
          </cell>
        </row>
        <row r="77">
          <cell r="D77" t="str">
            <v>Nguyễn Trung Thành</v>
          </cell>
          <cell r="E77" t="str">
            <v>x</v>
          </cell>
          <cell r="F77" t="str">
            <v>31/07/1991</v>
          </cell>
          <cell r="G77" t="str">
            <v>079091021092</v>
          </cell>
          <cell r="H77" t="str">
            <v>TC</v>
          </cell>
          <cell r="I77" t="str">
            <v>Quản trị doanh nghiệp vừa và nhỏ</v>
          </cell>
          <cell r="J77" t="str">
            <v>NVSP CĐ</v>
          </cell>
          <cell r="K77" t="str">
            <v>A2</v>
          </cell>
          <cell r="L77" t="str">
            <v>ƯD CNTT cơ bản</v>
          </cell>
          <cell r="M77" t="str">
            <v>GVTH</v>
          </cell>
          <cell r="N77" t="str">
            <v>1/87C Nhị Tân 1, X. Tân Thới Nhì, H. Hóc Môn, TP. HCM</v>
          </cell>
          <cell r="O77" t="str">
            <v>0933065858</v>
          </cell>
          <cell r="P77" t="str">
            <v>75/QĐ-TDGV</v>
          </cell>
          <cell r="Q77" t="str">
            <v>01/04/2021</v>
          </cell>
          <cell r="R77" t="str">
            <v>04/2021</v>
          </cell>
          <cell r="S77" t="str">
            <v>C</v>
          </cell>
        </row>
        <row r="78">
          <cell r="D78" t="str">
            <v>Vũ Văn Thành</v>
          </cell>
          <cell r="E78"/>
          <cell r="F78">
            <v>25215</v>
          </cell>
          <cell r="G78" t="str">
            <v>031069006052</v>
          </cell>
          <cell r="H78" t="str">
            <v>TCN</v>
          </cell>
          <cell r="I78" t="str">
            <v>Công nghệ ô tô</v>
          </cell>
          <cell r="J78" t="str">
            <v>SPN</v>
          </cell>
          <cell r="K78" t="str">
            <v>B</v>
          </cell>
          <cell r="L78" t="str">
            <v>ƯD CNTT cơ bản</v>
          </cell>
          <cell r="M78" t="str">
            <v>GVTH</v>
          </cell>
          <cell r="N78" t="str">
            <v>666/66 Đường 3/2, P.14, Q.10, TP.HCM</v>
          </cell>
          <cell r="O78" t="str">
            <v>0918591239</v>
          </cell>
          <cell r="P78" t="str">
            <v>259/QĐ-TDGV</v>
          </cell>
          <cell r="Q78">
            <v>45139</v>
          </cell>
          <cell r="R78" t="str">
            <v>08/2023</v>
          </cell>
          <cell r="S78" t="str">
            <v>A2,E</v>
          </cell>
        </row>
        <row r="79">
          <cell r="D79" t="str">
            <v>Nguyễn Quốc Thạnh</v>
          </cell>
          <cell r="E79" t="str">
            <v>x</v>
          </cell>
          <cell r="F79" t="str">
            <v>14/01/1981</v>
          </cell>
          <cell r="G79" t="str">
            <v>082081000468</v>
          </cell>
          <cell r="H79" t="str">
            <v>CĐ</v>
          </cell>
          <cell r="I79" t="str">
            <v>Sửa chữa ô tô</v>
          </cell>
          <cell r="J79" t="str">
            <v>SPN</v>
          </cell>
          <cell r="K79" t="str">
            <v>B</v>
          </cell>
          <cell r="L79" t="str">
            <v>ƯD CNTT cơ bản</v>
          </cell>
          <cell r="M79" t="str">
            <v>GVTH</v>
          </cell>
          <cell r="N79" t="str">
            <v>343/48C Trần Thủ Độ, P. Phú Thạnh, Q. Tân Phú, TP. HCM</v>
          </cell>
          <cell r="O79" t="str">
            <v>0971773705</v>
          </cell>
          <cell r="P79" t="str">
            <v>202/QĐ-TDGV</v>
          </cell>
          <cell r="Q79" t="str">
            <v>01/07/2023</v>
          </cell>
          <cell r="R79" t="str">
            <v>09/2022</v>
          </cell>
          <cell r="S79" t="str">
            <v>D</v>
          </cell>
        </row>
        <row r="80">
          <cell r="D80" t="str">
            <v>Vũ Văn Thạo</v>
          </cell>
          <cell r="E80" t="str">
            <v>x</v>
          </cell>
          <cell r="F80">
            <v>26970</v>
          </cell>
          <cell r="G80" t="str">
            <v>031073016519</v>
          </cell>
          <cell r="H80" t="str">
            <v>TC</v>
          </cell>
          <cell r="I80" t="str">
            <v>Công nghệ ô tô</v>
          </cell>
          <cell r="J80" t="str">
            <v>SPN</v>
          </cell>
          <cell r="K80" t="str">
            <v>B</v>
          </cell>
          <cell r="L80" t="str">
            <v>ƯD CNTT cơ bản</v>
          </cell>
          <cell r="M80" t="str">
            <v>GVTH</v>
          </cell>
          <cell r="N80" t="str">
            <v>72/8 Huỳnh Văn Nghệ, P. 15, Q. Tân Bình, TP. HCM</v>
          </cell>
          <cell r="O80" t="str">
            <v>0909567475</v>
          </cell>
          <cell r="P80" t="str">
            <v>242/QĐ-TDGV</v>
          </cell>
          <cell r="Q80" t="str">
            <v>01/07/2023</v>
          </cell>
          <cell r="R80" t="str">
            <v>11/2022</v>
          </cell>
          <cell r="S80" t="str">
            <v>B2</v>
          </cell>
        </row>
        <row r="81">
          <cell r="D81" t="str">
            <v>Nguyễn Văn Thật</v>
          </cell>
          <cell r="E81" t="str">
            <v>x</v>
          </cell>
          <cell r="F81" t="str">
            <v>21/11/1983</v>
          </cell>
          <cell r="G81" t="str">
            <v>079083040618</v>
          </cell>
          <cell r="H81" t="str">
            <v>TC</v>
          </cell>
          <cell r="I81" t="str">
            <v>Điện công nghiệp</v>
          </cell>
          <cell r="J81" t="str">
            <v>NVSP</v>
          </cell>
          <cell r="K81"/>
          <cell r="L81"/>
          <cell r="M81" t="str">
            <v>GVTH</v>
          </cell>
          <cell r="N81" t="str">
            <v>1/39 Đ. Tổ 2, Ấp 1, Đông Thạnh, Hóc Môn, TP.HCM</v>
          </cell>
          <cell r="O81" t="str">
            <v>0907557207</v>
          </cell>
          <cell r="P81" t="str">
            <v>203/QĐ-TDGV</v>
          </cell>
          <cell r="Q81" t="str">
            <v>01/07/2023</v>
          </cell>
          <cell r="R81" t="str">
            <v>01/2022</v>
          </cell>
          <cell r="S81" t="str">
            <v>B2</v>
          </cell>
        </row>
        <row r="82">
          <cell r="D82" t="str">
            <v>Huỳnh Văn Thêu</v>
          </cell>
          <cell r="E82" t="str">
            <v>x</v>
          </cell>
          <cell r="F82" t="str">
            <v>18/04/1996</v>
          </cell>
          <cell r="G82" t="str">
            <v>066096013020</v>
          </cell>
          <cell r="H82" t="str">
            <v>TC</v>
          </cell>
          <cell r="I82" t="str">
            <v>Quản trị kinh doanh vận tải đường bộ</v>
          </cell>
          <cell r="J82" t="str">
            <v>NVSP CĐ</v>
          </cell>
          <cell r="K82"/>
          <cell r="L82"/>
          <cell r="M82" t="str">
            <v>GVTH</v>
          </cell>
          <cell r="N82" t="str">
            <v>TT.Ea Knốp, H.Ea Kar, T.Đắk Lắk</v>
          </cell>
          <cell r="O82" t="str">
            <v>0819666991</v>
          </cell>
          <cell r="P82" t="str">
            <v>74/QĐ-TDGV</v>
          </cell>
          <cell r="Q82" t="str">
            <v>02/07/2024</v>
          </cell>
          <cell r="R82" t="str">
            <v>07/2024</v>
          </cell>
          <cell r="S82" t="str">
            <v>B2</v>
          </cell>
        </row>
        <row r="83">
          <cell r="D83" t="str">
            <v>Võ Duy Thiện</v>
          </cell>
          <cell r="E83" t="str">
            <v>x</v>
          </cell>
          <cell r="F83" t="str">
            <v>24/11/1982</v>
          </cell>
          <cell r="G83" t="str">
            <v>082082015944</v>
          </cell>
          <cell r="H83" t="str">
            <v>ĐH</v>
          </cell>
          <cell r="I83" t="str">
            <v>Công nghệ thực phẩm</v>
          </cell>
          <cell r="J83" t="str">
            <v>NVSP CĐ</v>
          </cell>
          <cell r="K83" t="str">
            <v>B</v>
          </cell>
          <cell r="L83" t="str">
            <v>B</v>
          </cell>
          <cell r="M83" t="str">
            <v>GVTH</v>
          </cell>
          <cell r="N83" t="str">
            <v>390/6/3 Cách Mạng Tháng 8, P.10, Q.3, TP.HCM</v>
          </cell>
          <cell r="O83" t="str">
            <v>0919605252</v>
          </cell>
          <cell r="P83" t="str">
            <v>121/QĐ-TDGV</v>
          </cell>
          <cell r="Q83" t="str">
            <v>15/11/2024</v>
          </cell>
          <cell r="R83" t="str">
            <v>11/2024</v>
          </cell>
          <cell r="S83" t="str">
            <v>C</v>
          </cell>
        </row>
        <row r="84">
          <cell r="D84" t="str">
            <v>Vũ Văn Thỏa</v>
          </cell>
          <cell r="E84"/>
          <cell r="F84">
            <v>27312</v>
          </cell>
          <cell r="G84" t="str">
            <v>034074010017</v>
          </cell>
          <cell r="H84" t="str">
            <v>TC</v>
          </cell>
          <cell r="I84" t="str">
            <v>Công nghệ ô tô</v>
          </cell>
          <cell r="J84" t="str">
            <v>SPN</v>
          </cell>
          <cell r="K84" t="str">
            <v>B</v>
          </cell>
          <cell r="L84" t="str">
            <v>ƯD CNTT cơ bản</v>
          </cell>
          <cell r="M84" t="str">
            <v>GVTH</v>
          </cell>
          <cell r="N84" t="str">
            <v>170/35 Lê Đức Thọ, P. 6, Q. Gò Vấp, TP. HCM</v>
          </cell>
          <cell r="O84" t="str">
            <v>0978229937</v>
          </cell>
          <cell r="P84" t="str">
            <v>204/QĐ-TDGV</v>
          </cell>
          <cell r="Q84" t="str">
            <v>01/07/2023</v>
          </cell>
          <cell r="R84" t="str">
            <v>06/2011</v>
          </cell>
          <cell r="S84" t="str">
            <v>C</v>
          </cell>
        </row>
        <row r="85">
          <cell r="D85" t="str">
            <v>Nguyễn Đình Trọng</v>
          </cell>
          <cell r="E85" t="str">
            <v>x</v>
          </cell>
          <cell r="F85">
            <v>29769</v>
          </cell>
          <cell r="G85" t="str">
            <v>079081005864</v>
          </cell>
          <cell r="H85" t="str">
            <v>TC</v>
          </cell>
          <cell r="I85" t="str">
            <v>Pháp luật</v>
          </cell>
          <cell r="J85" t="str">
            <v>Bậc 1</v>
          </cell>
          <cell r="K85" t="str">
            <v>B</v>
          </cell>
          <cell r="L85" t="str">
            <v>ƯD CNTT cơ bản</v>
          </cell>
          <cell r="M85" t="str">
            <v>GVTH</v>
          </cell>
          <cell r="N85" t="str">
            <v>18/1B Kp3, P. Tân Hưng Thuận, Q. 12, TP. HCM</v>
          </cell>
          <cell r="O85" t="str">
            <v>0906359126</v>
          </cell>
          <cell r="P85" t="str">
            <v>184/QĐ-TDGV</v>
          </cell>
          <cell r="Q85" t="str">
            <v>01/07/2023</v>
          </cell>
          <cell r="R85" t="str">
            <v>12/2022</v>
          </cell>
          <cell r="S85" t="str">
            <v>B2</v>
          </cell>
        </row>
        <row r="86">
          <cell r="D86" t="str">
            <v>Ngô Quang Trơn</v>
          </cell>
          <cell r="E86" t="str">
            <v>x</v>
          </cell>
          <cell r="F86">
            <v>30845</v>
          </cell>
          <cell r="G86" t="str">
            <v>033084005701</v>
          </cell>
          <cell r="H86" t="str">
            <v>TC</v>
          </cell>
          <cell r="I86" t="str">
            <v>Công nghệ ô tô</v>
          </cell>
          <cell r="J86" t="str">
            <v>SPN</v>
          </cell>
          <cell r="K86" t="str">
            <v>B</v>
          </cell>
          <cell r="L86" t="str">
            <v>ƯD CNTT cơ bản</v>
          </cell>
          <cell r="M86" t="str">
            <v>GVTH</v>
          </cell>
          <cell r="N86" t="str">
            <v>3/504F Nhị Tân, X. Tân Thới Nhì, H. Hóc Môn, TP. HCM</v>
          </cell>
          <cell r="O86" t="str">
            <v>0986629827</v>
          </cell>
          <cell r="P86" t="str">
            <v>205/QĐ-TDGV</v>
          </cell>
          <cell r="Q86" t="str">
            <v>01/07/2023</v>
          </cell>
          <cell r="R86" t="str">
            <v>06/2011</v>
          </cell>
          <cell r="S86" t="str">
            <v>C</v>
          </cell>
        </row>
        <row r="87">
          <cell r="D87" t="str">
            <v>Trương Chí Trung</v>
          </cell>
          <cell r="E87" t="str">
            <v>x</v>
          </cell>
          <cell r="F87">
            <v>31210</v>
          </cell>
          <cell r="G87">
            <v>79085002813</v>
          </cell>
          <cell r="H87" t="str">
            <v>TC</v>
          </cell>
          <cell r="I87" t="str">
            <v>Công nghệ ô tô</v>
          </cell>
          <cell r="J87" t="str">
            <v>SPN</v>
          </cell>
          <cell r="K87"/>
          <cell r="L87"/>
          <cell r="M87" t="str">
            <v>GVTH</v>
          </cell>
          <cell r="N87" t="str">
            <v>Tổ 8, Ấp 6B, X. Bình Mỹ, H. Củ Chi, TP. HCM</v>
          </cell>
          <cell r="O87" t="str">
            <v>0902942010</v>
          </cell>
          <cell r="P87" t="str">
            <v>64/QĐ-TDGV</v>
          </cell>
          <cell r="Q87" t="str">
            <v>01/04/2023</v>
          </cell>
          <cell r="R87" t="str">
            <v>04/2023</v>
          </cell>
          <cell r="S87" t="str">
            <v>B2</v>
          </cell>
        </row>
        <row r="88">
          <cell r="D88" t="str">
            <v>Lê Công Viên</v>
          </cell>
          <cell r="E88"/>
          <cell r="F88" t="str">
            <v>12/12/1973</v>
          </cell>
          <cell r="G88" t="str">
            <v>080073000450</v>
          </cell>
          <cell r="H88" t="str">
            <v>ĐH</v>
          </cell>
          <cell r="I88" t="str">
            <v>Luật</v>
          </cell>
          <cell r="J88" t="str">
            <v>NVSP</v>
          </cell>
          <cell r="K88"/>
          <cell r="L88"/>
          <cell r="M88" t="str">
            <v>GVTH</v>
          </cell>
          <cell r="N88" t="str">
            <v>266/10 Hoàng Hoa Thám, P.12, Q.Tân Bình, TP.HCM</v>
          </cell>
          <cell r="O88" t="str">
            <v>0975662238</v>
          </cell>
          <cell r="P88" t="str">
            <v>80/QĐ-TDGV</v>
          </cell>
          <cell r="Q88" t="str">
            <v>02/07/2024</v>
          </cell>
          <cell r="R88" t="str">
            <v>07/2024</v>
          </cell>
          <cell r="S88" t="str">
            <v>B2</v>
          </cell>
        </row>
        <row r="89">
          <cell r="D89" t="str">
            <v>Nguyễn Ngọc Vọng</v>
          </cell>
          <cell r="E89"/>
          <cell r="F89" t="str">
            <v>01/05/1975</v>
          </cell>
          <cell r="G89" t="str">
            <v>038075005467</v>
          </cell>
          <cell r="H89" t="str">
            <v>CĐ</v>
          </cell>
          <cell r="I89" t="str">
            <v>Công nghệ ô tô</v>
          </cell>
          <cell r="J89" t="str">
            <v>SPN</v>
          </cell>
          <cell r="K89"/>
          <cell r="L89"/>
          <cell r="M89" t="str">
            <v>GVTH</v>
          </cell>
          <cell r="N89" t="str">
            <v>453/5KB Lê Văn Sỹ, P. 12, Q. 3, TP. HCM</v>
          </cell>
          <cell r="O89" t="str">
            <v>0938017077</v>
          </cell>
          <cell r="P89" t="str">
            <v>60/QĐ-TDGV</v>
          </cell>
          <cell r="Q89">
            <v>45793</v>
          </cell>
          <cell r="R89" t="str">
            <v>05/2025</v>
          </cell>
          <cell r="S89" t="str">
            <v>C</v>
          </cell>
        </row>
        <row r="90">
          <cell r="D90" t="str">
            <v>Trần Nguyễn Xuân Vũ</v>
          </cell>
          <cell r="E90" t="str">
            <v>x</v>
          </cell>
          <cell r="F90" t="str">
            <v>01/06/1985</v>
          </cell>
          <cell r="G90" t="str">
            <v>049085002421</v>
          </cell>
          <cell r="H90" t="str">
            <v>TC</v>
          </cell>
          <cell r="I90" t="str">
            <v>Công nghệ ô tô</v>
          </cell>
          <cell r="J90" t="str">
            <v>NVSP</v>
          </cell>
          <cell r="K90" t="str">
            <v>B</v>
          </cell>
          <cell r="L90" t="str">
            <v>ƯD CNTT cơ bản</v>
          </cell>
          <cell r="M90" t="str">
            <v>GVTH</v>
          </cell>
          <cell r="N90" t="str">
            <v>Bon U2, TT. Ea T'Ling, H. Cư Jút, T. Đắk Nông</v>
          </cell>
          <cell r="O90" t="str">
            <v>0938657268</v>
          </cell>
          <cell r="P90" t="str">
            <v>36/QĐ-TDGV</v>
          </cell>
          <cell r="Q90" t="str">
            <v>23/04/2024</v>
          </cell>
          <cell r="R90" t="str">
            <v>04/2024</v>
          </cell>
          <cell r="S90" t="str">
            <v>C</v>
          </cell>
        </row>
        <row r="91">
          <cell r="D91"/>
          <cell r="E91"/>
          <cell r="F91"/>
          <cell r="G91"/>
          <cell r="H91"/>
          <cell r="I91"/>
          <cell r="J91"/>
          <cell r="K91"/>
          <cell r="L91"/>
          <cell r="M91"/>
          <cell r="N91"/>
          <cell r="O91"/>
          <cell r="P91"/>
          <cell r="Q91"/>
          <cell r="R91"/>
          <cell r="S91"/>
        </row>
        <row r="92"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/>
          <cell r="S92"/>
        </row>
        <row r="93"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/>
          <cell r="S93"/>
        </row>
        <row r="94">
          <cell r="D94"/>
          <cell r="E94"/>
          <cell r="F94"/>
          <cell r="G94"/>
          <cell r="H94"/>
          <cell r="I94"/>
          <cell r="J94"/>
          <cell r="K94"/>
          <cell r="L94"/>
          <cell r="M94"/>
          <cell r="N94"/>
          <cell r="O94"/>
          <cell r="P94"/>
          <cell r="Q94"/>
          <cell r="R94"/>
          <cell r="S94"/>
        </row>
        <row r="95">
          <cell r="D95"/>
          <cell r="E95"/>
          <cell r="F95"/>
          <cell r="G95"/>
          <cell r="H95"/>
          <cell r="I95"/>
          <cell r="J95"/>
          <cell r="K95"/>
          <cell r="L95"/>
          <cell r="M95"/>
          <cell r="N95"/>
          <cell r="O95"/>
          <cell r="P95"/>
          <cell r="Q95"/>
          <cell r="R95"/>
          <cell r="S95"/>
        </row>
        <row r="96">
          <cell r="D96"/>
          <cell r="E96"/>
          <cell r="F96"/>
          <cell r="G96"/>
          <cell r="H96"/>
          <cell r="I96"/>
          <cell r="J96"/>
          <cell r="K96"/>
          <cell r="L96"/>
          <cell r="M96"/>
          <cell r="N96"/>
          <cell r="O96"/>
          <cell r="P96"/>
          <cell r="Q96"/>
          <cell r="R96"/>
          <cell r="S96"/>
        </row>
        <row r="97"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/>
          <cell r="S9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ỔNG HỢP"/>
      <sheetName val="Mức thưởng"/>
      <sheetName val="BAN GIÁM ĐỐC"/>
      <sheetName val="VP TAN BINH "/>
      <sheetName val="GV TT (2)"/>
      <sheetName val="GV (1-) (2)"/>
      <sheetName val="GV ("/>
      <sheetName val="GV (tr-)"/>
      <sheetName val="GV"/>
      <sheetName val="GV TT - CHƯA SỬA"/>
      <sheetName val="LL"/>
      <sheetName val="GV TT -"/>
      <sheetName val="GV TT - gốc"/>
      <sheetName val="BV+tap vu"/>
      <sheetName val="Sheet2"/>
      <sheetName val="Thuong CB trach nhiem (2)"/>
      <sheetName val="GVLL."/>
      <sheetName val="GVLL"/>
      <sheetName val="SỞ NGÀNH 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B7" t="str">
            <v>Cao Đình Bắc</v>
          </cell>
          <cell r="C7">
            <v>13</v>
          </cell>
          <cell r="D7">
            <v>6</v>
          </cell>
          <cell r="E7">
            <v>7000000</v>
          </cell>
          <cell r="F7" t="str">
            <v>x</v>
          </cell>
        </row>
        <row r="8">
          <cell r="B8" t="str">
            <v>Nguyễn Trường Sơn</v>
          </cell>
          <cell r="C8">
            <v>13</v>
          </cell>
          <cell r="D8">
            <v>6</v>
          </cell>
          <cell r="E8">
            <v>7000000</v>
          </cell>
          <cell r="F8" t="str">
            <v>x</v>
          </cell>
        </row>
        <row r="9">
          <cell r="B9" t="str">
            <v>Trần Nguyễn Xuân Vũ</v>
          </cell>
          <cell r="C9">
            <v>0</v>
          </cell>
          <cell r="D9">
            <v>8</v>
          </cell>
          <cell r="E9">
            <v>1000000</v>
          </cell>
          <cell r="F9" t="str">
            <v>x</v>
          </cell>
        </row>
        <row r="10">
          <cell r="B10" t="str">
            <v>Đặng Quốc Khánh</v>
          </cell>
          <cell r="C10">
            <v>9</v>
          </cell>
          <cell r="D10">
            <v>3</v>
          </cell>
          <cell r="E10">
            <v>6000000</v>
          </cell>
          <cell r="F10" t="str">
            <v>x</v>
          </cell>
        </row>
        <row r="11">
          <cell r="B11" t="str">
            <v>Nguyễn Trung Thành</v>
          </cell>
          <cell r="C11">
            <v>3</v>
          </cell>
          <cell r="D11">
            <v>8</v>
          </cell>
          <cell r="E11">
            <v>5000000</v>
          </cell>
          <cell r="F11" t="str">
            <v>x</v>
          </cell>
        </row>
        <row r="12">
          <cell r="B12" t="str">
            <v>Đỗ Danh Hiển</v>
          </cell>
          <cell r="C12">
            <v>3</v>
          </cell>
          <cell r="D12">
            <v>2</v>
          </cell>
          <cell r="E12">
            <v>5000000</v>
          </cell>
          <cell r="F12" t="str">
            <v>x</v>
          </cell>
        </row>
        <row r="13">
          <cell r="B13" t="str">
            <v>Đặng Trường Kỳ</v>
          </cell>
          <cell r="C13">
            <v>4</v>
          </cell>
          <cell r="D13">
            <v>0</v>
          </cell>
          <cell r="E13">
            <v>5000000</v>
          </cell>
          <cell r="F13" t="str">
            <v>x</v>
          </cell>
        </row>
        <row r="14">
          <cell r="B14" t="str">
            <v>Nguyễn Đức Linh</v>
          </cell>
          <cell r="C14">
            <v>2</v>
          </cell>
          <cell r="D14">
            <v>11</v>
          </cell>
          <cell r="E14">
            <v>2000000</v>
          </cell>
          <cell r="F14" t="str">
            <v>x</v>
          </cell>
        </row>
        <row r="15">
          <cell r="B15" t="str">
            <v>Nguyễn Quốc Thạnh</v>
          </cell>
          <cell r="C15">
            <v>2</v>
          </cell>
          <cell r="D15">
            <v>3</v>
          </cell>
          <cell r="E15">
            <v>5000000</v>
          </cell>
          <cell r="F15" t="str">
            <v>x</v>
          </cell>
        </row>
        <row r="16">
          <cell r="B16" t="str">
            <v>Nguyễn Văn Huy</v>
          </cell>
          <cell r="C16">
            <v>1</v>
          </cell>
          <cell r="D16">
            <v>2</v>
          </cell>
          <cell r="E16">
            <v>3000000</v>
          </cell>
          <cell r="F16" t="str">
            <v>x</v>
          </cell>
        </row>
        <row r="17">
          <cell r="B17" t="str">
            <v>Dương Hoàng An</v>
          </cell>
          <cell r="C17">
            <v>1</v>
          </cell>
          <cell r="D17">
            <v>2</v>
          </cell>
          <cell r="E17">
            <v>3000000</v>
          </cell>
          <cell r="F17" t="str">
            <v>x</v>
          </cell>
        </row>
        <row r="18">
          <cell r="B18" t="str">
            <v>Lê Ngọc Nhân</v>
          </cell>
          <cell r="C18">
            <v>2</v>
          </cell>
          <cell r="D18">
            <v>11</v>
          </cell>
          <cell r="E18">
            <v>5000000</v>
          </cell>
          <cell r="F18" t="str">
            <v>x</v>
          </cell>
        </row>
        <row r="19">
          <cell r="B19" t="str">
            <v>Lê Hoài Nam</v>
          </cell>
          <cell r="C19">
            <v>0</v>
          </cell>
          <cell r="D19">
            <v>5</v>
          </cell>
          <cell r="E19">
            <v>1000000</v>
          </cell>
          <cell r="F19" t="str">
            <v>x</v>
          </cell>
        </row>
        <row r="20">
          <cell r="B20" t="str">
            <v>Võ Duy Thiện</v>
          </cell>
          <cell r="C20">
            <v>0</v>
          </cell>
          <cell r="D20">
            <v>1</v>
          </cell>
          <cell r="E20">
            <v>500000</v>
          </cell>
          <cell r="F20" t="str">
            <v>x</v>
          </cell>
        </row>
        <row r="21">
          <cell r="B21" t="str">
            <v>Hoàng Danh Dũng</v>
          </cell>
          <cell r="C21">
            <v>2</v>
          </cell>
          <cell r="D21">
            <v>6</v>
          </cell>
          <cell r="E21">
            <v>3000000</v>
          </cell>
          <cell r="F21" t="str">
            <v>x</v>
          </cell>
          <cell r="G21" t="str">
            <v>x</v>
          </cell>
        </row>
        <row r="22">
          <cell r="B22" t="str">
            <v>Ngô Quang Trơn</v>
          </cell>
          <cell r="C22">
            <v>13</v>
          </cell>
          <cell r="D22">
            <v>6</v>
          </cell>
          <cell r="E22">
            <v>6000000</v>
          </cell>
          <cell r="F22" t="str">
            <v>x</v>
          </cell>
          <cell r="G22" t="str">
            <v>x</v>
          </cell>
        </row>
        <row r="23">
          <cell r="B23" t="str">
            <v>Lê Văn Thành</v>
          </cell>
          <cell r="C23">
            <v>13</v>
          </cell>
          <cell r="D23">
            <v>6</v>
          </cell>
          <cell r="E23">
            <v>6000000</v>
          </cell>
          <cell r="F23" t="str">
            <v>x</v>
          </cell>
          <cell r="G23" t="str">
            <v>x</v>
          </cell>
        </row>
        <row r="24">
          <cell r="B24" t="str">
            <v>Phạm Sỹ Nguyên</v>
          </cell>
          <cell r="C24">
            <v>13</v>
          </cell>
          <cell r="D24">
            <v>6</v>
          </cell>
          <cell r="E24">
            <v>6000000</v>
          </cell>
          <cell r="F24" t="str">
            <v>x</v>
          </cell>
          <cell r="G24" t="str">
            <v>x</v>
          </cell>
        </row>
        <row r="25">
          <cell r="B25" t="str">
            <v>Lê Văn Lộc</v>
          </cell>
          <cell r="C25">
            <v>9</v>
          </cell>
          <cell r="D25">
            <v>8</v>
          </cell>
          <cell r="E25">
            <v>5000000</v>
          </cell>
          <cell r="F25" t="str">
            <v>x</v>
          </cell>
          <cell r="G25" t="str">
            <v>x</v>
          </cell>
        </row>
        <row r="26">
          <cell r="B26" t="str">
            <v>Nguyễn Ngũ Phúc</v>
          </cell>
          <cell r="C26">
            <v>7</v>
          </cell>
          <cell r="D26">
            <v>4</v>
          </cell>
          <cell r="E26">
            <v>5000000</v>
          </cell>
          <cell r="F26" t="str">
            <v>x</v>
          </cell>
          <cell r="G26" t="str">
            <v>x</v>
          </cell>
        </row>
        <row r="27">
          <cell r="B27" t="str">
            <v>Lưu Văn Huy</v>
          </cell>
          <cell r="C27">
            <v>8</v>
          </cell>
          <cell r="D27">
            <v>5</v>
          </cell>
          <cell r="E27">
            <v>5000000</v>
          </cell>
          <cell r="F27" t="str">
            <v>x</v>
          </cell>
          <cell r="G27" t="str">
            <v>x</v>
          </cell>
        </row>
        <row r="28">
          <cell r="B28" t="str">
            <v>Nghiêm Hải Ngọc</v>
          </cell>
          <cell r="C28">
            <v>2</v>
          </cell>
          <cell r="D28">
            <v>3</v>
          </cell>
          <cell r="E28">
            <v>3000000</v>
          </cell>
          <cell r="F28" t="str">
            <v>x</v>
          </cell>
          <cell r="G28" t="str">
            <v>x</v>
          </cell>
        </row>
        <row r="29">
          <cell r="B29" t="str">
            <v>Vũ Văn Thạo</v>
          </cell>
          <cell r="C29">
            <v>2</v>
          </cell>
          <cell r="D29">
            <v>1</v>
          </cell>
          <cell r="E29">
            <v>3000000</v>
          </cell>
          <cell r="F29" t="str">
            <v>x</v>
          </cell>
          <cell r="G29" t="str">
            <v>x</v>
          </cell>
        </row>
        <row r="30">
          <cell r="B30" t="str">
            <v>Nguyễn Tiến Khôi</v>
          </cell>
          <cell r="C30">
            <v>1</v>
          </cell>
          <cell r="D30">
            <v>7</v>
          </cell>
          <cell r="E30">
            <v>2000000</v>
          </cell>
          <cell r="F30" t="str">
            <v>x</v>
          </cell>
          <cell r="G30" t="str">
            <v>x</v>
          </cell>
        </row>
        <row r="31">
          <cell r="B31" t="str">
            <v>Nguyễn Văn Hiếu</v>
          </cell>
          <cell r="C31">
            <v>1</v>
          </cell>
          <cell r="D31">
            <v>2</v>
          </cell>
          <cell r="E31">
            <v>2000000</v>
          </cell>
          <cell r="F31" t="str">
            <v>x</v>
          </cell>
          <cell r="G31" t="str">
            <v>x</v>
          </cell>
        </row>
        <row r="32">
          <cell r="B32" t="str">
            <v>Trần Ánh Sáng</v>
          </cell>
          <cell r="C32">
            <v>0</v>
          </cell>
          <cell r="D32">
            <v>5</v>
          </cell>
          <cell r="E32">
            <v>500000</v>
          </cell>
        </row>
        <row r="33">
          <cell r="B33" t="str">
            <v>Cao Văn Ân</v>
          </cell>
          <cell r="C33">
            <v>0</v>
          </cell>
          <cell r="D33">
            <v>9</v>
          </cell>
          <cell r="E33">
            <v>1000000</v>
          </cell>
        </row>
        <row r="34">
          <cell r="B34" t="str">
            <v>Đặng Đình Thới</v>
          </cell>
          <cell r="C34">
            <v>0</v>
          </cell>
          <cell r="D34">
            <v>5</v>
          </cell>
          <cell r="E34">
            <v>500000</v>
          </cell>
        </row>
        <row r="35">
          <cell r="B35" t="str">
            <v>Vũ Văn Thỏa</v>
          </cell>
          <cell r="C35">
            <v>13</v>
          </cell>
          <cell r="D35">
            <v>6</v>
          </cell>
          <cell r="E35">
            <v>6000000</v>
          </cell>
        </row>
        <row r="36">
          <cell r="B36" t="str">
            <v>Trần Kim Trọng</v>
          </cell>
          <cell r="C36">
            <v>2</v>
          </cell>
          <cell r="D36">
            <v>2</v>
          </cell>
          <cell r="E36">
            <v>1000000</v>
          </cell>
        </row>
        <row r="37">
          <cell r="B37" t="str">
            <v>Nguyễn Văn Ngoan</v>
          </cell>
          <cell r="C37">
            <v>1</v>
          </cell>
          <cell r="D37">
            <v>7</v>
          </cell>
          <cell r="E37">
            <v>1000000</v>
          </cell>
        </row>
        <row r="38">
          <cell r="B38" t="str">
            <v>Bùi Ngọc Sương</v>
          </cell>
          <cell r="C38">
            <v>1</v>
          </cell>
          <cell r="D38">
            <v>2</v>
          </cell>
          <cell r="E38">
            <v>1000000</v>
          </cell>
        </row>
        <row r="39">
          <cell r="B39" t="str">
            <v>Nguyễn Hữu Phúc</v>
          </cell>
          <cell r="C39">
            <v>2</v>
          </cell>
          <cell r="D39">
            <v>5</v>
          </cell>
          <cell r="E39">
            <v>1000000</v>
          </cell>
        </row>
        <row r="40">
          <cell r="B40" t="str">
            <v>Nguyễn Hoàng Hiếu</v>
          </cell>
          <cell r="C40">
            <v>1</v>
          </cell>
          <cell r="D40">
            <v>2</v>
          </cell>
          <cell r="E40">
            <v>1000000</v>
          </cell>
        </row>
        <row r="41">
          <cell r="B41" t="str">
            <v>Phạm Vũ Đức Bảo</v>
          </cell>
          <cell r="C41">
            <v>1</v>
          </cell>
          <cell r="D41">
            <v>7</v>
          </cell>
          <cell r="E41">
            <v>1000000</v>
          </cell>
        </row>
        <row r="42">
          <cell r="B42" t="str">
            <v>Phạm Đăng Vỹ</v>
          </cell>
          <cell r="C42">
            <v>13</v>
          </cell>
          <cell r="D42">
            <v>6</v>
          </cell>
          <cell r="E42">
            <v>6000000</v>
          </cell>
        </row>
        <row r="43">
          <cell r="B43" t="str">
            <v>Nguyễn Văn Cường</v>
          </cell>
          <cell r="C43">
            <v>0</v>
          </cell>
          <cell r="D43">
            <v>5</v>
          </cell>
          <cell r="E43">
            <v>500000</v>
          </cell>
        </row>
        <row r="44">
          <cell r="B44" t="str">
            <v>Dương Quang Quyết</v>
          </cell>
          <cell r="C44">
            <v>1</v>
          </cell>
          <cell r="D44">
            <v>5</v>
          </cell>
          <cell r="E44">
            <v>1000000</v>
          </cell>
        </row>
        <row r="45">
          <cell r="B45" t="str">
            <v>Hoàng Quang Cường</v>
          </cell>
          <cell r="C45">
            <v>10</v>
          </cell>
          <cell r="D45">
            <v>7</v>
          </cell>
          <cell r="E45">
            <v>5000000</v>
          </cell>
        </row>
        <row r="46">
          <cell r="B46" t="str">
            <v>Lê Công Viên</v>
          </cell>
          <cell r="C46">
            <v>0</v>
          </cell>
          <cell r="D46">
            <v>5</v>
          </cell>
          <cell r="E46">
            <v>500000</v>
          </cell>
        </row>
        <row r="47">
          <cell r="B47" t="str">
            <v>Nguyễn Thanh Nam</v>
          </cell>
          <cell r="C47">
            <v>9</v>
          </cell>
          <cell r="D47">
            <v>5</v>
          </cell>
          <cell r="E47">
            <v>5000000</v>
          </cell>
        </row>
        <row r="48">
          <cell r="B48" t="str">
            <v>Trần Trung Đạo</v>
          </cell>
          <cell r="C48">
            <v>13</v>
          </cell>
          <cell r="D48">
            <v>6</v>
          </cell>
          <cell r="E48">
            <v>6000000</v>
          </cell>
        </row>
        <row r="49">
          <cell r="B49" t="str">
            <v>Nguyễn Thành Tuấn</v>
          </cell>
          <cell r="C49">
            <v>9</v>
          </cell>
          <cell r="D49">
            <v>7</v>
          </cell>
          <cell r="E49">
            <v>5000000</v>
          </cell>
        </row>
        <row r="50">
          <cell r="B50" t="str">
            <v>Nguyễn Công Thành</v>
          </cell>
          <cell r="C50">
            <v>3</v>
          </cell>
          <cell r="D50">
            <v>11</v>
          </cell>
          <cell r="E50">
            <v>2000000</v>
          </cell>
        </row>
        <row r="51">
          <cell r="B51" t="str">
            <v>Lê Minh Tú</v>
          </cell>
          <cell r="C51">
            <v>4</v>
          </cell>
          <cell r="D51">
            <v>0</v>
          </cell>
          <cell r="E51">
            <v>2000000</v>
          </cell>
        </row>
        <row r="52">
          <cell r="B52" t="str">
            <v>Nguyễn Văn Thật</v>
          </cell>
          <cell r="C52">
            <v>4</v>
          </cell>
          <cell r="D52">
            <v>0</v>
          </cell>
          <cell r="E52">
            <v>2000000</v>
          </cell>
        </row>
        <row r="53">
          <cell r="B53" t="str">
            <v>Nguyễn Vĩnh Hiệp</v>
          </cell>
          <cell r="C53">
            <v>2</v>
          </cell>
          <cell r="D53">
            <v>11</v>
          </cell>
          <cell r="E53">
            <v>1000000</v>
          </cell>
        </row>
        <row r="54">
          <cell r="B54" t="str">
            <v>Bùi Quang Sơn Anh</v>
          </cell>
          <cell r="C54">
            <v>0</v>
          </cell>
          <cell r="D54">
            <v>5</v>
          </cell>
          <cell r="E54">
            <v>500000</v>
          </cell>
        </row>
        <row r="55">
          <cell r="B55" t="str">
            <v>Lê Trung Cường</v>
          </cell>
          <cell r="C55">
            <v>0</v>
          </cell>
          <cell r="D55">
            <v>5</v>
          </cell>
          <cell r="E55">
            <v>500000</v>
          </cell>
        </row>
        <row r="56">
          <cell r="B56" t="str">
            <v>Nguyễn Vĩnh Hạ</v>
          </cell>
          <cell r="C56">
            <v>0</v>
          </cell>
          <cell r="D56">
            <v>7</v>
          </cell>
          <cell r="E56">
            <v>500000</v>
          </cell>
        </row>
        <row r="57">
          <cell r="B57" t="str">
            <v>Nguyễn Phương Đông</v>
          </cell>
          <cell r="C57">
            <v>2</v>
          </cell>
          <cell r="D57">
            <v>1</v>
          </cell>
          <cell r="E57">
            <v>1000000</v>
          </cell>
        </row>
        <row r="58">
          <cell r="B58" t="str">
            <v>Huỳnh Văn Nguyên</v>
          </cell>
          <cell r="C58">
            <v>2</v>
          </cell>
          <cell r="D58">
            <v>1</v>
          </cell>
          <cell r="E58">
            <v>1000000</v>
          </cell>
        </row>
        <row r="59">
          <cell r="B59" t="str">
            <v>Nguyễn Đình Trọng</v>
          </cell>
          <cell r="C59">
            <v>3</v>
          </cell>
          <cell r="D59">
            <v>0</v>
          </cell>
          <cell r="E59">
            <v>1000000</v>
          </cell>
        </row>
        <row r="60">
          <cell r="B60" t="str">
            <v>Tống Nam Hải</v>
          </cell>
          <cell r="C60">
            <v>1</v>
          </cell>
          <cell r="D60">
            <v>9</v>
          </cell>
          <cell r="E60">
            <v>1000000</v>
          </cell>
        </row>
        <row r="61">
          <cell r="B61" t="str">
            <v>Bùi Anh Tuấn</v>
          </cell>
          <cell r="C61">
            <v>0</v>
          </cell>
          <cell r="D61">
            <v>10</v>
          </cell>
          <cell r="E61">
            <v>1000000</v>
          </cell>
        </row>
        <row r="62">
          <cell r="B62" t="str">
            <v>Trần Đức Hải</v>
          </cell>
          <cell r="C62">
            <v>1</v>
          </cell>
          <cell r="D62">
            <v>8</v>
          </cell>
          <cell r="E62">
            <v>1000000</v>
          </cell>
        </row>
        <row r="63">
          <cell r="B63" t="str">
            <v>Trương Chí Trung</v>
          </cell>
          <cell r="C63">
            <v>1</v>
          </cell>
          <cell r="D63">
            <v>8</v>
          </cell>
          <cell r="E63">
            <v>1000000</v>
          </cell>
        </row>
        <row r="64">
          <cell r="B64" t="str">
            <v>Nguyễn Cao Dũng</v>
          </cell>
          <cell r="C64">
            <v>1</v>
          </cell>
          <cell r="D64">
            <v>6</v>
          </cell>
          <cell r="E64">
            <v>1000000</v>
          </cell>
        </row>
        <row r="65">
          <cell r="B65" t="str">
            <v>Nguyễn Minh Tiến</v>
          </cell>
          <cell r="C65">
            <v>1</v>
          </cell>
          <cell r="D65">
            <v>5</v>
          </cell>
          <cell r="E65">
            <v>1000000</v>
          </cell>
        </row>
        <row r="66">
          <cell r="B66" t="str">
            <v>Vũ Văn Thành</v>
          </cell>
          <cell r="C66">
            <v>1</v>
          </cell>
          <cell r="D66">
            <v>4</v>
          </cell>
          <cell r="E66">
            <v>1000000</v>
          </cell>
        </row>
        <row r="67">
          <cell r="B67" t="str">
            <v>Võ Duy Minh</v>
          </cell>
          <cell r="C67">
            <v>0</v>
          </cell>
          <cell r="D67">
            <v>1</v>
          </cell>
          <cell r="E67">
            <v>500000</v>
          </cell>
        </row>
        <row r="68">
          <cell r="B68" t="str">
            <v>Nguyễn Duy Sang</v>
          </cell>
          <cell r="C68">
            <v>0</v>
          </cell>
          <cell r="D68">
            <v>1</v>
          </cell>
          <cell r="E68">
            <v>500000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vn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V168"/>
  <sheetViews>
    <sheetView zoomScale="75" zoomScaleNormal="75" workbookViewId="0">
      <pane ySplit="12" topLeftCell="A13" activePane="bottomLeft" state="frozen"/>
      <selection pane="bottomLeft" activeCell="J23" sqref="J23"/>
    </sheetView>
  </sheetViews>
  <sheetFormatPr defaultColWidth="9.140625" defaultRowHeight="15.75"/>
  <cols>
    <col min="1" max="1" width="5.140625" style="106" customWidth="1"/>
    <col min="2" max="2" width="21.140625" style="631" bestFit="1" customWidth="1"/>
    <col min="3" max="3" width="8.28515625" style="143" bestFit="1" customWidth="1"/>
    <col min="4" max="4" width="5" style="143" customWidth="1"/>
    <col min="5" max="5" width="3.28515625" style="143" customWidth="1"/>
    <col min="6" max="6" width="5" style="143" customWidth="1"/>
    <col min="7" max="8" width="13.42578125" style="106" bestFit="1" customWidth="1"/>
    <col min="9" max="9" width="11.28515625" style="106" customWidth="1"/>
    <col min="10" max="10" width="13.42578125" style="106" bestFit="1" customWidth="1"/>
    <col min="11" max="11" width="12.28515625" style="106" bestFit="1" customWidth="1"/>
    <col min="12" max="12" width="11.7109375" style="106" customWidth="1"/>
    <col min="13" max="13" width="12.140625" style="143" customWidth="1"/>
    <col min="14" max="14" width="13.42578125" style="106" bestFit="1" customWidth="1"/>
    <col min="15" max="15" width="4.28515625" style="106" hidden="1" customWidth="1"/>
    <col min="16" max="16" width="8.7109375" style="106" hidden="1" customWidth="1"/>
    <col min="17" max="17" width="12.42578125" style="106" bestFit="1" customWidth="1"/>
    <col min="18" max="18" width="12.28515625" style="106" bestFit="1" customWidth="1"/>
    <col min="19" max="19" width="14.140625" style="106" customWidth="1"/>
    <col min="20" max="20" width="12.28515625" style="106" bestFit="1" customWidth="1"/>
    <col min="21" max="21" width="13.42578125" style="106" bestFit="1" customWidth="1"/>
    <col min="22" max="22" width="14.28515625" style="106" bestFit="1" customWidth="1"/>
    <col min="23" max="23" width="14.85546875" style="106" bestFit="1" customWidth="1"/>
    <col min="24" max="24" width="4.140625" style="106" bestFit="1" customWidth="1"/>
    <col min="25" max="25" width="13.28515625" style="106" customWidth="1"/>
    <col min="26" max="26" width="13" style="106" bestFit="1" customWidth="1"/>
    <col min="27" max="27" width="5.42578125" style="106" customWidth="1"/>
    <col min="28" max="28" width="11.85546875" style="106" bestFit="1" customWidth="1"/>
    <col min="29" max="29" width="17.7109375" style="106" customWidth="1"/>
    <col min="30" max="30" width="12" style="106" hidden="1" customWidth="1"/>
    <col min="31" max="31" width="13.140625" style="106" hidden="1" customWidth="1"/>
    <col min="32" max="32" width="9.85546875" style="106" hidden="1" customWidth="1"/>
    <col min="33" max="33" width="13.28515625" style="106" bestFit="1" customWidth="1"/>
    <col min="34" max="34" width="8.7109375" style="106" customWidth="1"/>
    <col min="35" max="35" width="10.7109375" style="106" customWidth="1"/>
    <col min="36" max="36" width="8.7109375" style="106" bestFit="1" customWidth="1"/>
    <col min="37" max="37" width="8.28515625" style="106" customWidth="1"/>
    <col min="38" max="38" width="11.5703125" style="115" bestFit="1" customWidth="1"/>
    <col min="39" max="40" width="5.7109375" style="106" customWidth="1"/>
    <col min="41" max="41" width="15.42578125" style="106" customWidth="1"/>
    <col min="42" max="42" width="20" style="145" hidden="1" customWidth="1"/>
    <col min="43" max="43" width="19.5703125" style="145" hidden="1" customWidth="1"/>
    <col min="44" max="44" width="16.7109375" style="146" hidden="1" customWidth="1"/>
    <col min="45" max="45" width="15.140625" style="145" hidden="1" customWidth="1"/>
    <col min="46" max="46" width="15.5703125" style="106" customWidth="1"/>
    <col min="47" max="47" width="32.42578125" style="106" customWidth="1"/>
    <col min="48" max="48" width="22.28515625" style="113" customWidth="1"/>
    <col min="49" max="16384" width="9.140625" style="106"/>
  </cols>
  <sheetData>
    <row r="1" spans="1:48">
      <c r="C1" s="106"/>
      <c r="D1" s="106"/>
      <c r="E1" s="106"/>
      <c r="F1" s="106"/>
      <c r="AP1" s="115"/>
      <c r="AQ1" s="115"/>
      <c r="AR1" s="259"/>
      <c r="AS1" s="115"/>
    </row>
    <row r="2" spans="1:48" ht="18.75">
      <c r="A2" s="692" t="s">
        <v>0</v>
      </c>
      <c r="B2" s="692"/>
      <c r="C2" s="692"/>
      <c r="D2" s="692"/>
      <c r="E2" s="692"/>
      <c r="F2" s="692"/>
      <c r="K2" s="112"/>
      <c r="L2" s="112"/>
      <c r="M2" s="138"/>
      <c r="N2" s="112"/>
      <c r="O2" s="112"/>
      <c r="AP2" s="115"/>
      <c r="AQ2" s="115"/>
      <c r="AR2" s="259"/>
      <c r="AS2" s="115"/>
    </row>
    <row r="3" spans="1:48" s="112" customFormat="1" ht="18.75">
      <c r="A3" s="693" t="s">
        <v>1</v>
      </c>
      <c r="B3" s="693"/>
      <c r="C3" s="693"/>
      <c r="D3" s="693"/>
      <c r="E3" s="693"/>
      <c r="F3" s="693"/>
      <c r="M3" s="138"/>
      <c r="V3" s="378"/>
      <c r="AC3" s="379"/>
      <c r="AL3" s="349"/>
      <c r="AP3" s="349"/>
      <c r="AQ3" s="349"/>
      <c r="AR3" s="350"/>
      <c r="AS3" s="349"/>
      <c r="AV3" s="357"/>
    </row>
    <row r="4" spans="1:48" s="112" customFormat="1" ht="0.95" customHeight="1">
      <c r="B4" s="632"/>
      <c r="M4" s="138"/>
      <c r="AL4" s="349"/>
      <c r="AP4" s="349"/>
      <c r="AQ4" s="349"/>
      <c r="AR4" s="350"/>
      <c r="AS4" s="349"/>
      <c r="AV4" s="357"/>
    </row>
    <row r="5" spans="1:48" s="112" customFormat="1" ht="20.25">
      <c r="A5" s="688" t="s">
        <v>426</v>
      </c>
      <c r="B5" s="688"/>
      <c r="C5" s="688"/>
      <c r="D5" s="688"/>
      <c r="E5" s="688"/>
      <c r="F5" s="688"/>
      <c r="G5" s="688"/>
      <c r="H5" s="688"/>
      <c r="I5" s="688"/>
      <c r="J5" s="688"/>
      <c r="K5" s="688"/>
      <c r="L5" s="688"/>
      <c r="M5" s="688"/>
      <c r="N5" s="688"/>
      <c r="O5" s="688"/>
      <c r="P5" s="688"/>
      <c r="Q5" s="688"/>
      <c r="R5" s="688"/>
      <c r="S5" s="688"/>
      <c r="T5" s="688"/>
      <c r="U5" s="688"/>
      <c r="V5" s="688"/>
      <c r="W5" s="688"/>
      <c r="X5" s="688"/>
      <c r="Y5" s="688"/>
      <c r="Z5" s="688"/>
      <c r="AA5" s="688"/>
      <c r="AB5" s="688"/>
      <c r="AC5" s="688"/>
      <c r="AD5" s="351"/>
      <c r="AE5" s="351"/>
      <c r="AF5" s="351"/>
      <c r="AG5" s="380"/>
      <c r="AH5" s="107"/>
      <c r="AI5" s="107"/>
      <c r="AL5" s="349"/>
      <c r="AP5" s="349"/>
      <c r="AQ5" s="349"/>
      <c r="AR5" s="350"/>
      <c r="AS5" s="349"/>
      <c r="AV5" s="357"/>
    </row>
    <row r="6" spans="1:48" s="138" customFormat="1" ht="18.75" hidden="1">
      <c r="A6" s="689" t="s">
        <v>2</v>
      </c>
      <c r="B6" s="690"/>
      <c r="C6" s="690"/>
      <c r="D6" s="690"/>
      <c r="E6" s="690"/>
      <c r="F6" s="690"/>
      <c r="G6" s="690"/>
      <c r="H6" s="690"/>
      <c r="I6" s="690"/>
      <c r="J6" s="690"/>
      <c r="K6" s="690"/>
      <c r="L6" s="690"/>
      <c r="M6" s="690"/>
      <c r="N6" s="690"/>
      <c r="O6" s="690"/>
      <c r="P6" s="690"/>
      <c r="Q6" s="690"/>
      <c r="R6" s="690"/>
      <c r="S6" s="690"/>
      <c r="T6" s="690"/>
      <c r="U6" s="690"/>
      <c r="V6" s="690"/>
      <c r="W6" s="690"/>
      <c r="X6" s="690"/>
      <c r="Y6" s="690"/>
      <c r="Z6" s="690"/>
      <c r="AA6" s="690"/>
      <c r="AB6" s="690"/>
      <c r="AC6" s="690"/>
      <c r="AD6" s="690"/>
      <c r="AE6" s="345"/>
      <c r="AF6" s="345"/>
      <c r="AG6" s="147"/>
      <c r="AH6" s="147"/>
      <c r="AI6" s="271"/>
      <c r="AL6" s="198"/>
      <c r="AM6" s="199"/>
      <c r="AN6" s="200"/>
      <c r="AP6" s="198"/>
      <c r="AQ6" s="198"/>
      <c r="AR6" s="213"/>
      <c r="AS6" s="198"/>
    </row>
    <row r="7" spans="1:48" s="143" customFormat="1" hidden="1">
      <c r="A7" s="139"/>
      <c r="B7" s="633"/>
      <c r="C7" s="139"/>
      <c r="D7" s="139"/>
      <c r="E7" s="139"/>
      <c r="F7" s="139"/>
      <c r="G7" s="359"/>
      <c r="H7" s="139"/>
      <c r="I7" s="139"/>
      <c r="J7" s="359"/>
      <c r="K7" s="359"/>
      <c r="L7" s="139"/>
      <c r="N7" s="139"/>
      <c r="O7" s="139"/>
      <c r="P7" s="139"/>
      <c r="Q7" s="139"/>
      <c r="R7" s="139"/>
      <c r="S7" s="139"/>
      <c r="T7" s="359"/>
      <c r="U7" s="139"/>
      <c r="V7" s="139"/>
      <c r="W7" s="139"/>
      <c r="X7" s="139"/>
      <c r="Y7" s="106"/>
      <c r="Z7" s="139"/>
      <c r="AA7" s="139"/>
      <c r="AB7" s="139"/>
      <c r="AC7" s="139">
        <v>5307200</v>
      </c>
      <c r="AD7" s="334">
        <v>700000</v>
      </c>
      <c r="AE7" s="334"/>
      <c r="AF7" s="334"/>
      <c r="AG7" s="193"/>
      <c r="AI7" s="106"/>
      <c r="AL7" s="145"/>
      <c r="AP7" s="145"/>
      <c r="AQ7" s="145"/>
      <c r="AR7" s="146"/>
      <c r="AS7" s="145"/>
    </row>
    <row r="8" spans="1:48" s="143" customFormat="1" hidden="1">
      <c r="A8" s="335"/>
      <c r="B8" s="634"/>
      <c r="C8" s="335"/>
      <c r="D8" s="335"/>
      <c r="E8" s="335"/>
      <c r="F8" s="335"/>
      <c r="G8" s="360"/>
      <c r="H8" s="336"/>
      <c r="I8" s="336"/>
      <c r="J8" s="360"/>
      <c r="K8" s="360"/>
      <c r="L8" s="262"/>
      <c r="M8" s="680"/>
      <c r="N8" s="262"/>
      <c r="O8" s="262"/>
      <c r="P8" s="262"/>
      <c r="Q8" s="262"/>
      <c r="R8" s="337"/>
      <c r="S8" s="337"/>
      <c r="T8" s="369"/>
      <c r="U8" s="337"/>
      <c r="V8" s="337"/>
      <c r="W8" s="337"/>
      <c r="X8" s="337"/>
      <c r="Y8" s="354"/>
      <c r="Z8" s="337"/>
      <c r="AA8" s="337"/>
      <c r="AB8" s="337"/>
      <c r="AC8" s="337" t="s">
        <v>3</v>
      </c>
      <c r="AD8" s="338">
        <v>6200000</v>
      </c>
      <c r="AE8" s="338"/>
      <c r="AF8" s="338"/>
      <c r="AG8" s="194"/>
      <c r="AH8" s="148"/>
      <c r="AI8" s="272"/>
      <c r="AL8" s="145"/>
      <c r="AP8" s="145"/>
      <c r="AQ8" s="145"/>
      <c r="AR8" s="146"/>
      <c r="AS8" s="145"/>
    </row>
    <row r="9" spans="1:48" s="143" customFormat="1" hidden="1">
      <c r="A9" s="335"/>
      <c r="B9" s="634"/>
      <c r="C9" s="335"/>
      <c r="D9" s="335">
        <v>25</v>
      </c>
      <c r="E9" s="335"/>
      <c r="F9" s="335"/>
      <c r="G9" s="360"/>
      <c r="H9" s="336"/>
      <c r="I9" s="336"/>
      <c r="J9" s="360"/>
      <c r="K9" s="360"/>
      <c r="L9" s="262"/>
      <c r="M9" s="680"/>
      <c r="N9" s="262">
        <v>1175000</v>
      </c>
      <c r="O9" s="262"/>
      <c r="P9" s="262"/>
      <c r="Q9" s="262"/>
      <c r="R9" s="337"/>
      <c r="S9" s="337"/>
      <c r="T9" s="369"/>
      <c r="U9" s="337"/>
      <c r="V9" s="337"/>
      <c r="W9" s="337"/>
      <c r="X9" s="337"/>
      <c r="Y9" s="354"/>
      <c r="Z9" s="337"/>
      <c r="AA9" s="337"/>
      <c r="AB9" s="337" t="s">
        <v>4</v>
      </c>
      <c r="AC9" s="337" t="s">
        <v>5</v>
      </c>
      <c r="AD9" s="338">
        <v>1200000</v>
      </c>
      <c r="AE9" s="338"/>
      <c r="AF9" s="338"/>
      <c r="AG9" s="194"/>
      <c r="AH9" s="148"/>
      <c r="AI9" s="272"/>
      <c r="AL9" s="145"/>
      <c r="AP9" s="145"/>
      <c r="AQ9" s="145"/>
      <c r="AR9" s="146"/>
      <c r="AS9" s="145"/>
    </row>
    <row r="10" spans="1:48" ht="20.25" hidden="1">
      <c r="A10" s="691" t="s">
        <v>170</v>
      </c>
      <c r="B10" s="691"/>
      <c r="C10" s="691"/>
      <c r="D10" s="691"/>
      <c r="E10" s="691"/>
      <c r="F10" s="691"/>
      <c r="G10" s="691"/>
      <c r="H10" s="691"/>
      <c r="I10" s="691"/>
      <c r="J10" s="691"/>
      <c r="K10" s="691"/>
      <c r="L10" s="691"/>
      <c r="M10" s="691"/>
      <c r="N10" s="691"/>
      <c r="O10" s="691"/>
      <c r="P10" s="691"/>
      <c r="Q10" s="691"/>
      <c r="R10" s="691"/>
      <c r="S10" s="691"/>
      <c r="T10" s="691"/>
      <c r="U10" s="691"/>
      <c r="V10" s="691"/>
      <c r="W10" s="691"/>
      <c r="X10" s="691"/>
      <c r="Y10" s="691"/>
      <c r="Z10" s="691"/>
      <c r="AA10" s="691"/>
      <c r="AB10" s="691"/>
      <c r="AC10" s="691"/>
      <c r="AD10" s="352"/>
      <c r="AE10" s="352"/>
      <c r="AF10" s="352"/>
      <c r="AG10" s="353"/>
      <c r="AH10" s="272"/>
      <c r="AI10" s="272"/>
      <c r="AP10" s="115"/>
      <c r="AQ10" s="115"/>
      <c r="AR10" s="259"/>
      <c r="AS10" s="115"/>
    </row>
    <row r="11" spans="1:48" hidden="1">
      <c r="A11" s="272"/>
      <c r="B11" s="635"/>
      <c r="C11" s="272"/>
      <c r="D11" s="175"/>
      <c r="E11" s="175"/>
      <c r="F11" s="175"/>
      <c r="G11" s="694"/>
      <c r="H11" s="694"/>
      <c r="I11" s="176"/>
      <c r="J11" s="176" t="s">
        <v>171</v>
      </c>
      <c r="K11" s="176"/>
      <c r="L11" s="176"/>
      <c r="M11" s="681"/>
      <c r="N11" s="176"/>
      <c r="O11" s="176"/>
      <c r="P11" s="176"/>
      <c r="Q11" s="176"/>
      <c r="R11" s="354"/>
      <c r="S11" s="354"/>
      <c r="T11" s="354" t="s">
        <v>171</v>
      </c>
      <c r="U11" s="354"/>
      <c r="V11" s="354"/>
      <c r="W11" s="354"/>
      <c r="X11" s="354"/>
      <c r="Y11" s="354"/>
      <c r="Z11" s="354"/>
      <c r="AA11" s="354"/>
      <c r="AB11" s="354"/>
      <c r="AC11" s="354"/>
      <c r="AD11" s="355"/>
      <c r="AE11" s="355"/>
      <c r="AF11" s="355"/>
      <c r="AG11" s="356"/>
      <c r="AH11" s="272"/>
      <c r="AI11" s="272"/>
      <c r="AL11" s="695"/>
      <c r="AM11" s="695"/>
      <c r="AN11" s="695"/>
      <c r="AP11" s="115"/>
      <c r="AQ11" s="115"/>
      <c r="AR11" s="259"/>
      <c r="AS11" s="115"/>
    </row>
    <row r="12" spans="1:48" ht="50.45" customHeight="1">
      <c r="A12" s="381" t="s">
        <v>6</v>
      </c>
      <c r="B12" s="636" t="s">
        <v>7</v>
      </c>
      <c r="C12" s="372" t="s">
        <v>8</v>
      </c>
      <c r="D12" s="696" t="s">
        <v>9</v>
      </c>
      <c r="E12" s="696"/>
      <c r="F12" s="696"/>
      <c r="G12" s="698" t="s">
        <v>21</v>
      </c>
      <c r="H12" s="699"/>
      <c r="I12" s="374" t="s">
        <v>175</v>
      </c>
      <c r="J12" s="623" t="s">
        <v>176</v>
      </c>
      <c r="K12" s="624" t="s">
        <v>177</v>
      </c>
      <c r="L12" s="625" t="s">
        <v>881</v>
      </c>
      <c r="M12" s="625" t="s">
        <v>880</v>
      </c>
      <c r="N12" s="626" t="s">
        <v>22</v>
      </c>
      <c r="O12" s="371"/>
      <c r="P12" s="371"/>
      <c r="Q12" s="382" t="s">
        <v>885</v>
      </c>
      <c r="R12" s="190" t="s">
        <v>178</v>
      </c>
      <c r="S12" s="383" t="s">
        <v>10</v>
      </c>
      <c r="T12" s="383" t="s">
        <v>11</v>
      </c>
      <c r="U12" s="383" t="s">
        <v>12</v>
      </c>
      <c r="V12" s="383" t="s">
        <v>16</v>
      </c>
      <c r="W12" s="383" t="s">
        <v>13</v>
      </c>
      <c r="X12" s="118" t="s">
        <v>14</v>
      </c>
      <c r="Y12" s="384" t="s">
        <v>15</v>
      </c>
      <c r="Z12" s="384" t="s">
        <v>172</v>
      </c>
      <c r="AA12" s="189" t="s">
        <v>17</v>
      </c>
      <c r="AB12" s="384" t="s">
        <v>18</v>
      </c>
      <c r="AC12" s="392" t="s">
        <v>173</v>
      </c>
      <c r="AD12" s="190" t="s">
        <v>411</v>
      </c>
      <c r="AE12" s="393" t="s">
        <v>421</v>
      </c>
      <c r="AF12" s="190"/>
      <c r="AG12" s="373" t="s">
        <v>889</v>
      </c>
      <c r="AH12" s="385"/>
      <c r="AI12" s="385"/>
      <c r="AJ12" s="386"/>
      <c r="AK12" s="386"/>
      <c r="AL12" s="697"/>
      <c r="AM12" s="697"/>
      <c r="AN12" s="697"/>
      <c r="AO12" s="217"/>
      <c r="AP12" s="700" t="s">
        <v>174</v>
      </c>
      <c r="AQ12" s="700"/>
      <c r="AR12" s="700"/>
      <c r="AS12" s="700"/>
    </row>
    <row r="13" spans="1:48" s="140" customFormat="1">
      <c r="A13" s="154"/>
      <c r="B13" s="637" t="s">
        <v>179</v>
      </c>
      <c r="C13" s="154"/>
      <c r="D13" s="155"/>
      <c r="E13" s="155"/>
      <c r="F13" s="155"/>
      <c r="G13" s="156">
        <f>SUM(G14:G68)</f>
        <v>326211336</v>
      </c>
      <c r="H13" s="156">
        <f t="shared" ref="H13:M13" si="0">SUM(H14:H68)</f>
        <v>0</v>
      </c>
      <c r="I13" s="156">
        <f t="shared" si="0"/>
        <v>0</v>
      </c>
      <c r="J13" s="156">
        <f>SUM(J14:J68)</f>
        <v>55000000</v>
      </c>
      <c r="K13" s="156">
        <f t="shared" si="0"/>
        <v>55000000</v>
      </c>
      <c r="L13" s="156">
        <f t="shared" si="0"/>
        <v>0</v>
      </c>
      <c r="M13" s="156">
        <f t="shared" si="0"/>
        <v>39560246</v>
      </c>
      <c r="N13" s="156">
        <f>SUM(N14:N97)</f>
        <v>480000000</v>
      </c>
      <c r="O13" s="156">
        <f t="shared" ref="O13:AE13" si="1">SUM(O14:O68)</f>
        <v>0</v>
      </c>
      <c r="P13" s="156">
        <f t="shared" si="1"/>
        <v>0</v>
      </c>
      <c r="Q13" s="156">
        <f t="shared" si="1"/>
        <v>55500000</v>
      </c>
      <c r="R13" s="156">
        <f t="shared" si="1"/>
        <v>0</v>
      </c>
      <c r="S13" s="156">
        <f t="shared" si="1"/>
        <v>962271582</v>
      </c>
      <c r="T13" s="156">
        <f t="shared" si="1"/>
        <v>27442611</v>
      </c>
      <c r="U13" s="156">
        <f t="shared" si="1"/>
        <v>56192013</v>
      </c>
      <c r="V13" s="156">
        <f t="shared" si="1"/>
        <v>851771582</v>
      </c>
      <c r="W13" s="156">
        <f t="shared" si="1"/>
        <v>852500000</v>
      </c>
      <c r="X13" s="156">
        <f t="shared" si="1"/>
        <v>23</v>
      </c>
      <c r="Y13" s="156">
        <f t="shared" si="1"/>
        <v>142600000</v>
      </c>
      <c r="Z13" s="156">
        <f t="shared" si="1"/>
        <v>162208198.5</v>
      </c>
      <c r="AA13" s="156">
        <f t="shared" si="1"/>
        <v>25</v>
      </c>
      <c r="AB13" s="156">
        <f t="shared" si="1"/>
        <v>12229244.275000002</v>
      </c>
      <c r="AC13" s="687">
        <f t="shared" si="1"/>
        <v>922599726.72500002</v>
      </c>
      <c r="AD13" s="156">
        <f t="shared" si="1"/>
        <v>0</v>
      </c>
      <c r="AE13" s="156">
        <f t="shared" si="1"/>
        <v>0</v>
      </c>
      <c r="AF13" s="156"/>
      <c r="AG13" s="156">
        <f>SUM(AG14:AG68)</f>
        <v>437432901.5</v>
      </c>
      <c r="AH13" s="269" t="s">
        <v>23</v>
      </c>
      <c r="AI13" s="269" t="s">
        <v>24</v>
      </c>
      <c r="AJ13" s="270" t="s">
        <v>25</v>
      </c>
      <c r="AK13" s="270" t="s">
        <v>43</v>
      </c>
      <c r="AL13" s="205" t="s">
        <v>44</v>
      </c>
      <c r="AM13" s="206"/>
      <c r="AN13" s="207"/>
      <c r="AO13" s="218"/>
      <c r="AP13" s="215"/>
      <c r="AQ13" s="215"/>
      <c r="AR13" s="216"/>
      <c r="AS13" s="215"/>
      <c r="AU13" s="332"/>
      <c r="AV13" s="214"/>
    </row>
    <row r="14" spans="1:48" ht="21.75" customHeight="1">
      <c r="A14" s="117">
        <v>1</v>
      </c>
      <c r="B14" s="666" t="s">
        <v>41</v>
      </c>
      <c r="C14" s="327" t="s">
        <v>180</v>
      </c>
      <c r="D14" s="328"/>
      <c r="E14" s="328"/>
      <c r="F14" s="328"/>
      <c r="G14" s="180">
        <v>5681700</v>
      </c>
      <c r="H14" s="329"/>
      <c r="I14" s="387">
        <v>0</v>
      </c>
      <c r="J14" s="388">
        <v>1000000</v>
      </c>
      <c r="K14" s="183">
        <v>1000000</v>
      </c>
      <c r="L14" s="330"/>
      <c r="M14" s="185">
        <f>VLOOKUP(B14,'BK TT'!B20:I120,8,0)</f>
        <v>1500000</v>
      </c>
      <c r="N14" s="181">
        <f t="shared" ref="N14:N77" si="2">AH14*$D$161+(AI14+AJ14)*$D$162+AK14*$D$164</f>
        <v>21000000</v>
      </c>
      <c r="O14" s="331"/>
      <c r="P14" s="331"/>
      <c r="Q14" s="320"/>
      <c r="R14" s="320"/>
      <c r="S14" s="179">
        <f>G14+H14+I14+J14+L14+M14+N14+Q14+K14+R14</f>
        <v>30181700</v>
      </c>
      <c r="T14" s="627">
        <v>596578.5</v>
      </c>
      <c r="U14" s="178">
        <v>1221565.5</v>
      </c>
      <c r="V14" s="185">
        <f>S14-J14-R14-Q14</f>
        <v>29181700</v>
      </c>
      <c r="W14" s="178">
        <v>15500000</v>
      </c>
      <c r="X14" s="160"/>
      <c r="Y14" s="178">
        <f>X14*$AD$8</f>
        <v>0</v>
      </c>
      <c r="Z14" s="195">
        <f t="shared" ref="Z14:Z77" si="3">MAX(V14-T14-W14-Y14,0)</f>
        <v>13085121.5</v>
      </c>
      <c r="AA14" s="185">
        <f t="shared" ref="AA14:AA77" si="4">IF(Z14=0,0,IF(Z14&lt;=10000000,1,IF(Z14&lt;=30000000,2,IF(Z14&lt;=60000000,3,IF(Z14&lt;=100000000,4,5)))))</f>
        <v>2</v>
      </c>
      <c r="AB14" s="185">
        <f t="shared" ref="AB14:AB68" si="5">IF(Z14&gt;0,IF(AA14=1,Z14*5%,IF(AA14=2,Z14*10%-500000,IF(AA14=3,Z14*20%-3500000,IF(AA14=4,Z14*30%-9500000,IF(AA14=5,Z14*35%-14500000))))),0)</f>
        <v>808512.15000000014</v>
      </c>
      <c r="AC14" s="185">
        <f>S14-T14-AB14</f>
        <v>28776609.350000001</v>
      </c>
      <c r="AD14" s="323"/>
      <c r="AE14" s="179"/>
      <c r="AF14" s="324"/>
      <c r="AG14" s="178">
        <f>G14+J14+K14+U14</f>
        <v>8903265.5</v>
      </c>
      <c r="AH14" s="671"/>
      <c r="AI14" s="273"/>
      <c r="AJ14" s="676">
        <v>7</v>
      </c>
      <c r="AK14" s="389"/>
      <c r="AL14" s="390"/>
      <c r="AM14" s="391"/>
      <c r="AN14" s="203"/>
      <c r="AO14" s="629">
        <f>N13</f>
        <v>480000000</v>
      </c>
      <c r="AP14" s="325">
        <f>S14-J14</f>
        <v>29181700</v>
      </c>
      <c r="AQ14" s="325">
        <f>MAX(AP14-T14-W14-Y14,0)</f>
        <v>13085121.5</v>
      </c>
      <c r="AR14" s="326">
        <f t="shared" ref="AR14:AR67" si="6">IF(AQ14&lt;=10000000,AQ14*5%,IF(AQ14&lt;=30000000,10000000*5%+(AQ14-10000000)*10%,IF(AQ14&lt;=60000000,10000000*5%+20000000*10%+(AQ14-30000000)*20%,IF(AQ14&lt;=100000000,10000000*5%+20000000*10%+30000000*20%+(AQ14-60000000)*30%,10000000*5%+20000000*10%+30000000*20%+40000000*30%+(AQ14-100000000)*35%))))</f>
        <v>808512.15</v>
      </c>
      <c r="AS14" s="325">
        <f>S14-AR14-T14</f>
        <v>28776609.350000001</v>
      </c>
      <c r="AT14" s="630">
        <f>AH98*2000000+AI98*3000000+AJ98*3000000+AK98*1100000</f>
        <v>480000000</v>
      </c>
      <c r="AU14" s="157" t="s">
        <v>42</v>
      </c>
      <c r="AV14" s="106"/>
    </row>
    <row r="15" spans="1:48" s="143" customFormat="1" ht="21.75" customHeight="1">
      <c r="A15" s="149">
        <v>2</v>
      </c>
      <c r="B15" s="666" t="s">
        <v>45</v>
      </c>
      <c r="C15" s="158" t="s">
        <v>180</v>
      </c>
      <c r="D15" s="159"/>
      <c r="E15" s="159"/>
      <c r="F15" s="159"/>
      <c r="G15" s="361">
        <v>5681700</v>
      </c>
      <c r="H15" s="161"/>
      <c r="I15" s="177">
        <v>0</v>
      </c>
      <c r="J15" s="361">
        <v>1000000</v>
      </c>
      <c r="K15" s="361">
        <v>1000000</v>
      </c>
      <c r="L15" s="160"/>
      <c r="M15" s="185">
        <f>VLOOKUP(B15,'BK TT'!B22:I121,8,0)</f>
        <v>0</v>
      </c>
      <c r="N15" s="181">
        <f t="shared" si="2"/>
        <v>0</v>
      </c>
      <c r="O15" s="188"/>
      <c r="P15" s="161"/>
      <c r="Q15" s="651">
        <v>1000000</v>
      </c>
      <c r="R15" s="651"/>
      <c r="S15" s="179">
        <f t="shared" ref="S15:S78" si="7">G15+H15+I15+J15-L15+M15+N15+Q15+K15+R15</f>
        <v>8681700</v>
      </c>
      <c r="T15" s="627">
        <v>596578.5</v>
      </c>
      <c r="U15" s="178">
        <v>1221565.5</v>
      </c>
      <c r="V15" s="185">
        <f t="shared" ref="V15:V68" si="8">S15-J15-R15-Q15</f>
        <v>6681700</v>
      </c>
      <c r="W15" s="178">
        <v>15500000</v>
      </c>
      <c r="X15" s="160"/>
      <c r="Y15" s="178"/>
      <c r="Z15" s="195">
        <f t="shared" si="3"/>
        <v>0</v>
      </c>
      <c r="AA15" s="185">
        <f t="shared" si="4"/>
        <v>0</v>
      </c>
      <c r="AB15" s="185">
        <f t="shared" si="5"/>
        <v>0</v>
      </c>
      <c r="AC15" s="185">
        <f t="shared" ref="AC15:AC77" si="9">S15-T15-AB15</f>
        <v>8085121.5</v>
      </c>
      <c r="AD15" s="323"/>
      <c r="AE15" s="197"/>
      <c r="AF15" s="197">
        <v>12085122</v>
      </c>
      <c r="AG15" s="178">
        <f t="shared" ref="AG15:AG46" si="10">G15+J15+K15</f>
        <v>7681700</v>
      </c>
      <c r="AH15" s="671"/>
      <c r="AI15" s="273"/>
      <c r="AJ15" s="676"/>
      <c r="AK15" s="208"/>
      <c r="AL15" s="209"/>
      <c r="AM15" s="321"/>
      <c r="AN15" s="322"/>
      <c r="AO15" s="219"/>
      <c r="AP15" s="145"/>
      <c r="AQ15" s="145"/>
      <c r="AR15" s="146"/>
      <c r="AS15" s="145"/>
      <c r="AU15" s="157" t="s">
        <v>46</v>
      </c>
    </row>
    <row r="16" spans="1:48" s="143" customFormat="1" ht="21.75" customHeight="1">
      <c r="A16" s="117">
        <v>3</v>
      </c>
      <c r="B16" s="667" t="s">
        <v>47</v>
      </c>
      <c r="C16" s="162" t="s">
        <v>180</v>
      </c>
      <c r="D16" s="163"/>
      <c r="E16" s="163"/>
      <c r="F16" s="163"/>
      <c r="G16" s="263">
        <v>5681700</v>
      </c>
      <c r="H16" s="153"/>
      <c r="I16" s="184">
        <v>0</v>
      </c>
      <c r="J16" s="263">
        <v>1000000</v>
      </c>
      <c r="K16" s="263">
        <v>1000000</v>
      </c>
      <c r="L16" s="164"/>
      <c r="M16" s="185">
        <f>VLOOKUP(B16,'BK TT'!B23:I122,8,0)</f>
        <v>0</v>
      </c>
      <c r="N16" s="181">
        <f t="shared" si="2"/>
        <v>0</v>
      </c>
      <c r="O16" s="152"/>
      <c r="P16" s="153"/>
      <c r="Q16" s="651">
        <v>1000000</v>
      </c>
      <c r="R16" s="651"/>
      <c r="S16" s="179">
        <f>G16+H16+I16+J16-L16+M16+N16+Q16+K16+R16</f>
        <v>8681700</v>
      </c>
      <c r="T16" s="191">
        <v>596578.5</v>
      </c>
      <c r="U16" s="185">
        <v>1221565.5</v>
      </c>
      <c r="V16" s="185">
        <f t="shared" si="8"/>
        <v>6681700</v>
      </c>
      <c r="W16" s="185">
        <v>15500000</v>
      </c>
      <c r="X16" s="164"/>
      <c r="Y16" s="185">
        <f t="shared" ref="Y16:Y47" si="11">X16*$AD$8</f>
        <v>0</v>
      </c>
      <c r="Z16" s="195">
        <f t="shared" si="3"/>
        <v>0</v>
      </c>
      <c r="AA16" s="185">
        <f t="shared" si="4"/>
        <v>0</v>
      </c>
      <c r="AB16" s="185">
        <f t="shared" si="5"/>
        <v>0</v>
      </c>
      <c r="AC16" s="185">
        <f t="shared" si="9"/>
        <v>8085121.5</v>
      </c>
      <c r="AD16" s="323"/>
      <c r="AE16" s="197"/>
      <c r="AF16" s="197"/>
      <c r="AG16" s="178">
        <f t="shared" si="10"/>
        <v>7681700</v>
      </c>
      <c r="AH16" s="672"/>
      <c r="AI16" s="196"/>
      <c r="AJ16" s="677"/>
      <c r="AK16" s="210"/>
      <c r="AL16" s="211"/>
      <c r="AM16" s="212"/>
      <c r="AN16" s="202"/>
      <c r="AO16" s="220"/>
      <c r="AP16" s="145">
        <f t="shared" ref="AP16:AP58" si="12">S16-J16</f>
        <v>7681700</v>
      </c>
      <c r="AQ16" s="145">
        <f t="shared" ref="AQ16:AQ58" si="13">MAX(AP16-T16-W16-Y16,0)</f>
        <v>0</v>
      </c>
      <c r="AR16" s="146">
        <f t="shared" si="6"/>
        <v>0</v>
      </c>
      <c r="AS16" s="145">
        <f t="shared" ref="AS16:AS58" si="14">S16-AR16-T16</f>
        <v>8085121.5</v>
      </c>
      <c r="AU16" s="132" t="s">
        <v>48</v>
      </c>
    </row>
    <row r="17" spans="1:48" s="143" customFormat="1" ht="21.75" customHeight="1">
      <c r="A17" s="149">
        <v>4</v>
      </c>
      <c r="B17" s="667" t="s">
        <v>49</v>
      </c>
      <c r="C17" s="166" t="s">
        <v>181</v>
      </c>
      <c r="D17" s="163"/>
      <c r="E17" s="163"/>
      <c r="F17" s="163"/>
      <c r="G17" s="263">
        <v>5681700</v>
      </c>
      <c r="H17" s="153"/>
      <c r="I17" s="184">
        <v>0</v>
      </c>
      <c r="J17" s="263">
        <v>1000000</v>
      </c>
      <c r="K17" s="263">
        <v>1000000</v>
      </c>
      <c r="L17" s="164"/>
      <c r="M17" s="185">
        <f>VLOOKUP(B17,'BK TT'!B24:I123,8,0)</f>
        <v>0</v>
      </c>
      <c r="N17" s="181">
        <f t="shared" si="2"/>
        <v>3000000</v>
      </c>
      <c r="O17" s="152"/>
      <c r="P17" s="153"/>
      <c r="Q17" s="651">
        <v>1000000</v>
      </c>
      <c r="R17" s="651"/>
      <c r="S17" s="179">
        <f>G17+H17+I17+J17-L17+M17+N17+Q17+K17+R17</f>
        <v>11681700</v>
      </c>
      <c r="T17" s="191">
        <v>596578.5</v>
      </c>
      <c r="U17" s="185">
        <v>1221565.5</v>
      </c>
      <c r="V17" s="185">
        <f t="shared" si="8"/>
        <v>9681700</v>
      </c>
      <c r="W17" s="185">
        <v>15500000</v>
      </c>
      <c r="X17" s="164"/>
      <c r="Y17" s="185">
        <f t="shared" si="11"/>
        <v>0</v>
      </c>
      <c r="Z17" s="195">
        <f t="shared" si="3"/>
        <v>0</v>
      </c>
      <c r="AA17" s="185">
        <v>2</v>
      </c>
      <c r="AB17" s="185">
        <f t="shared" si="5"/>
        <v>0</v>
      </c>
      <c r="AC17" s="185">
        <f t="shared" si="9"/>
        <v>11085121.5</v>
      </c>
      <c r="AD17" s="323"/>
      <c r="AE17" s="197"/>
      <c r="AF17" s="197">
        <v>29722159</v>
      </c>
      <c r="AG17" s="178">
        <f t="shared" si="10"/>
        <v>7681700</v>
      </c>
      <c r="AH17" s="672"/>
      <c r="AI17" s="196">
        <v>1</v>
      </c>
      <c r="AJ17" s="677"/>
      <c r="AK17" s="210"/>
      <c r="AL17" s="211"/>
      <c r="AM17" s="212"/>
      <c r="AN17" s="202"/>
      <c r="AO17" s="348"/>
      <c r="AP17" s="145">
        <f t="shared" si="12"/>
        <v>10681700</v>
      </c>
      <c r="AQ17" s="145">
        <f t="shared" si="13"/>
        <v>0</v>
      </c>
      <c r="AR17" s="146">
        <f t="shared" si="6"/>
        <v>0</v>
      </c>
      <c r="AS17" s="145">
        <f t="shared" si="14"/>
        <v>11085121.5</v>
      </c>
      <c r="AU17" s="165" t="s">
        <v>50</v>
      </c>
      <c r="AV17" s="214"/>
    </row>
    <row r="18" spans="1:48" s="143" customFormat="1" ht="21.75" customHeight="1">
      <c r="A18" s="117">
        <v>5</v>
      </c>
      <c r="B18" s="667" t="s">
        <v>51</v>
      </c>
      <c r="C18" s="167" t="s">
        <v>181</v>
      </c>
      <c r="D18" s="163"/>
      <c r="E18" s="163"/>
      <c r="F18" s="163"/>
      <c r="G18" s="263">
        <v>5681700</v>
      </c>
      <c r="H18" s="153"/>
      <c r="I18" s="184">
        <v>0</v>
      </c>
      <c r="J18" s="263">
        <v>1000000</v>
      </c>
      <c r="K18" s="263">
        <v>1000000</v>
      </c>
      <c r="L18" s="164"/>
      <c r="M18" s="185">
        <f>VLOOKUP(B18,'BK TT'!B25:I124,8,0)</f>
        <v>0</v>
      </c>
      <c r="N18" s="181">
        <f t="shared" si="2"/>
        <v>13000000</v>
      </c>
      <c r="O18" s="152"/>
      <c r="P18" s="153"/>
      <c r="Q18" s="651">
        <v>1000000</v>
      </c>
      <c r="R18" s="651"/>
      <c r="S18" s="179">
        <f>G18+H18+I18+J18-L18+M18+N18+Q18+K18+R18</f>
        <v>21681700</v>
      </c>
      <c r="T18" s="191">
        <v>596578.5</v>
      </c>
      <c r="U18" s="185">
        <v>1221565.5</v>
      </c>
      <c r="V18" s="185">
        <f t="shared" si="8"/>
        <v>19681700</v>
      </c>
      <c r="W18" s="185">
        <v>15500000</v>
      </c>
      <c r="X18" s="164"/>
      <c r="Y18" s="185">
        <f t="shared" si="11"/>
        <v>0</v>
      </c>
      <c r="Z18" s="195">
        <f t="shared" si="3"/>
        <v>3585121.5</v>
      </c>
      <c r="AA18" s="185">
        <f t="shared" si="4"/>
        <v>1</v>
      </c>
      <c r="AB18" s="185">
        <f t="shared" si="5"/>
        <v>179256.07500000001</v>
      </c>
      <c r="AC18" s="185">
        <f t="shared" si="9"/>
        <v>20905865.425000001</v>
      </c>
      <c r="AD18" s="323"/>
      <c r="AE18" s="197"/>
      <c r="AF18" s="197">
        <v>9085122</v>
      </c>
      <c r="AG18" s="178">
        <f t="shared" si="10"/>
        <v>7681700</v>
      </c>
      <c r="AH18" s="672">
        <v>2</v>
      </c>
      <c r="AI18" s="196">
        <v>3</v>
      </c>
      <c r="AJ18" s="677"/>
      <c r="AK18" s="210"/>
      <c r="AL18" s="211"/>
      <c r="AM18" s="212"/>
      <c r="AN18" s="202"/>
      <c r="AO18" s="220"/>
      <c r="AP18" s="145">
        <f t="shared" si="12"/>
        <v>20681700</v>
      </c>
      <c r="AQ18" s="145">
        <f t="shared" si="13"/>
        <v>4585121.5</v>
      </c>
      <c r="AR18" s="146">
        <f t="shared" si="6"/>
        <v>229256.07500000001</v>
      </c>
      <c r="AS18" s="145">
        <f t="shared" si="14"/>
        <v>20855865.425000001</v>
      </c>
      <c r="AU18" s="132" t="s">
        <v>349</v>
      </c>
      <c r="AV18" s="214"/>
    </row>
    <row r="19" spans="1:48" s="143" customFormat="1" ht="21.75" customHeight="1">
      <c r="A19" s="149">
        <v>6</v>
      </c>
      <c r="B19" s="667" t="s">
        <v>52</v>
      </c>
      <c r="C19" s="168" t="s">
        <v>181</v>
      </c>
      <c r="D19" s="163"/>
      <c r="E19" s="163"/>
      <c r="F19" s="163"/>
      <c r="G19" s="263">
        <v>5681700</v>
      </c>
      <c r="H19" s="153"/>
      <c r="I19" s="184">
        <v>0</v>
      </c>
      <c r="J19" s="263">
        <v>1000000</v>
      </c>
      <c r="K19" s="263">
        <v>1000000</v>
      </c>
      <c r="L19" s="164"/>
      <c r="M19" s="185">
        <f>VLOOKUP(B19,'BK TT'!B26:I125,8,0)</f>
        <v>0</v>
      </c>
      <c r="N19" s="181">
        <f t="shared" si="2"/>
        <v>0</v>
      </c>
      <c r="O19" s="152"/>
      <c r="P19" s="153"/>
      <c r="Q19" s="651">
        <v>1000000</v>
      </c>
      <c r="R19" s="651"/>
      <c r="S19" s="179">
        <f>G19+H19+I19+J19-L19+M19+N19+Q19+K19+R19</f>
        <v>8681700</v>
      </c>
      <c r="T19" s="191">
        <v>596578.5</v>
      </c>
      <c r="U19" s="185">
        <v>1221565.5</v>
      </c>
      <c r="V19" s="185">
        <f t="shared" si="8"/>
        <v>6681700</v>
      </c>
      <c r="W19" s="185">
        <v>15500000</v>
      </c>
      <c r="X19" s="164"/>
      <c r="Y19" s="185">
        <f t="shared" si="11"/>
        <v>0</v>
      </c>
      <c r="Z19" s="195">
        <f t="shared" si="3"/>
        <v>0</v>
      </c>
      <c r="AA19" s="185">
        <f t="shared" si="4"/>
        <v>0</v>
      </c>
      <c r="AB19" s="185">
        <f t="shared" si="5"/>
        <v>0</v>
      </c>
      <c r="AC19" s="185">
        <f t="shared" si="9"/>
        <v>8085121.5</v>
      </c>
      <c r="AD19" s="323"/>
      <c r="AE19" s="197"/>
      <c r="AF19" s="197">
        <v>9085122</v>
      </c>
      <c r="AG19" s="178">
        <f t="shared" si="10"/>
        <v>7681700</v>
      </c>
      <c r="AH19" s="672"/>
      <c r="AI19" s="196"/>
      <c r="AJ19" s="677"/>
      <c r="AK19" s="210"/>
      <c r="AL19" s="211"/>
      <c r="AM19" s="212"/>
      <c r="AN19" s="202"/>
      <c r="AO19" s="220"/>
      <c r="AP19" s="145">
        <f t="shared" si="12"/>
        <v>7681700</v>
      </c>
      <c r="AQ19" s="145">
        <f t="shared" si="13"/>
        <v>0</v>
      </c>
      <c r="AR19" s="146">
        <f t="shared" si="6"/>
        <v>0</v>
      </c>
      <c r="AS19" s="145">
        <f t="shared" si="14"/>
        <v>8085121.5</v>
      </c>
      <c r="AU19" s="132" t="s">
        <v>350</v>
      </c>
      <c r="AV19" s="214"/>
    </row>
    <row r="20" spans="1:48" s="143" customFormat="1" ht="19.149999999999999" customHeight="1">
      <c r="A20" s="117">
        <v>7</v>
      </c>
      <c r="B20" s="667" t="s">
        <v>53</v>
      </c>
      <c r="C20" s="162" t="s">
        <v>180</v>
      </c>
      <c r="D20" s="163"/>
      <c r="E20" s="163"/>
      <c r="F20" s="163"/>
      <c r="G20" s="263">
        <v>5681700</v>
      </c>
      <c r="H20" s="153"/>
      <c r="I20" s="184">
        <v>0</v>
      </c>
      <c r="J20" s="263">
        <v>1000000</v>
      </c>
      <c r="K20" s="263">
        <v>1000000</v>
      </c>
      <c r="L20" s="164"/>
      <c r="M20" s="185">
        <f>VLOOKUP(B20,'BK TT'!B27:I126,8,0)</f>
        <v>0</v>
      </c>
      <c r="N20" s="181">
        <f t="shared" si="2"/>
        <v>2000000</v>
      </c>
      <c r="O20" s="152"/>
      <c r="P20" s="153"/>
      <c r="Q20" s="651">
        <v>1000000</v>
      </c>
      <c r="R20" s="651"/>
      <c r="S20" s="179">
        <f>G20+H20+I20+J20-L20+M20+N20+Q20+K20+R20</f>
        <v>10681700</v>
      </c>
      <c r="T20" s="191">
        <v>596578.5</v>
      </c>
      <c r="U20" s="185">
        <v>1221565.5</v>
      </c>
      <c r="V20" s="185">
        <f t="shared" si="8"/>
        <v>8681700</v>
      </c>
      <c r="W20" s="185">
        <v>15500000</v>
      </c>
      <c r="X20" s="164"/>
      <c r="Y20" s="185">
        <f t="shared" si="11"/>
        <v>0</v>
      </c>
      <c r="Z20" s="195">
        <f t="shared" si="3"/>
        <v>0</v>
      </c>
      <c r="AA20" s="185">
        <f t="shared" si="4"/>
        <v>0</v>
      </c>
      <c r="AB20" s="185">
        <f t="shared" si="5"/>
        <v>0</v>
      </c>
      <c r="AC20" s="185">
        <f t="shared" si="9"/>
        <v>10085121.5</v>
      </c>
      <c r="AD20" s="323"/>
      <c r="AE20" s="197"/>
      <c r="AF20" s="197"/>
      <c r="AG20" s="178">
        <f t="shared" si="10"/>
        <v>7681700</v>
      </c>
      <c r="AH20" s="672">
        <v>1</v>
      </c>
      <c r="AI20" s="196"/>
      <c r="AJ20" s="677"/>
      <c r="AK20" s="210"/>
      <c r="AL20" s="211"/>
      <c r="AM20" s="212"/>
      <c r="AN20" s="202"/>
      <c r="AO20" s="220"/>
      <c r="AP20" s="145">
        <f t="shared" si="12"/>
        <v>9681700</v>
      </c>
      <c r="AQ20" s="145">
        <f t="shared" si="13"/>
        <v>0</v>
      </c>
      <c r="AR20" s="146">
        <f t="shared" si="6"/>
        <v>0</v>
      </c>
      <c r="AS20" s="145">
        <f t="shared" si="14"/>
        <v>10085121.5</v>
      </c>
      <c r="AU20" s="169" t="s">
        <v>351</v>
      </c>
    </row>
    <row r="21" spans="1:48" s="143" customFormat="1" ht="21.75" customHeight="1">
      <c r="A21" s="149">
        <v>8</v>
      </c>
      <c r="B21" s="667" t="s">
        <v>54</v>
      </c>
      <c r="C21" s="166" t="s">
        <v>181</v>
      </c>
      <c r="D21" s="163"/>
      <c r="E21" s="163"/>
      <c r="F21" s="163"/>
      <c r="G21" s="263">
        <v>5681700</v>
      </c>
      <c r="H21" s="153"/>
      <c r="I21" s="184">
        <v>0</v>
      </c>
      <c r="J21" s="263">
        <v>1000000</v>
      </c>
      <c r="K21" s="263">
        <v>1000000</v>
      </c>
      <c r="L21" s="164"/>
      <c r="M21" s="185">
        <f>VLOOKUP(B21,'BK TT'!B28:I127,8,0)</f>
        <v>0</v>
      </c>
      <c r="N21" s="181">
        <f t="shared" si="2"/>
        <v>0</v>
      </c>
      <c r="O21" s="152"/>
      <c r="P21" s="153"/>
      <c r="Q21" s="651">
        <v>1000000</v>
      </c>
      <c r="R21" s="651"/>
      <c r="S21" s="179">
        <f t="shared" si="7"/>
        <v>8681700</v>
      </c>
      <c r="T21" s="191">
        <v>596578.5</v>
      </c>
      <c r="U21" s="185">
        <v>1221565.5</v>
      </c>
      <c r="V21" s="185">
        <f t="shared" si="8"/>
        <v>6681700</v>
      </c>
      <c r="W21" s="185">
        <v>15500000</v>
      </c>
      <c r="X21" s="164"/>
      <c r="Y21" s="185">
        <f t="shared" si="11"/>
        <v>0</v>
      </c>
      <c r="Z21" s="195">
        <f t="shared" si="3"/>
        <v>0</v>
      </c>
      <c r="AA21" s="185">
        <f t="shared" si="4"/>
        <v>0</v>
      </c>
      <c r="AB21" s="185">
        <f t="shared" si="5"/>
        <v>0</v>
      </c>
      <c r="AC21" s="185">
        <f t="shared" si="9"/>
        <v>8085121.5</v>
      </c>
      <c r="AD21" s="323"/>
      <c r="AE21" s="197"/>
      <c r="AF21" s="197"/>
      <c r="AG21" s="178">
        <f t="shared" si="10"/>
        <v>7681700</v>
      </c>
      <c r="AH21" s="672"/>
      <c r="AI21" s="196"/>
      <c r="AJ21" s="677"/>
      <c r="AK21" s="210"/>
      <c r="AL21" s="211"/>
      <c r="AM21" s="212"/>
      <c r="AN21" s="202"/>
      <c r="AO21" s="220"/>
      <c r="AP21" s="145">
        <f t="shared" si="12"/>
        <v>7681700</v>
      </c>
      <c r="AQ21" s="145">
        <f t="shared" si="13"/>
        <v>0</v>
      </c>
      <c r="AR21" s="146">
        <f t="shared" si="6"/>
        <v>0</v>
      </c>
      <c r="AS21" s="145">
        <f t="shared" si="14"/>
        <v>8085121.5</v>
      </c>
      <c r="AU21" s="170" t="s">
        <v>352</v>
      </c>
    </row>
    <row r="22" spans="1:48" s="143" customFormat="1" ht="21.75" customHeight="1">
      <c r="A22" s="117">
        <v>9</v>
      </c>
      <c r="B22" s="667" t="s">
        <v>55</v>
      </c>
      <c r="C22" s="162" t="s">
        <v>181</v>
      </c>
      <c r="D22" s="163"/>
      <c r="E22" s="163"/>
      <c r="F22" s="163"/>
      <c r="G22" s="263">
        <v>5681700</v>
      </c>
      <c r="H22" s="153"/>
      <c r="I22" s="184">
        <v>0</v>
      </c>
      <c r="J22" s="263">
        <v>1000000</v>
      </c>
      <c r="K22" s="263">
        <v>1000000</v>
      </c>
      <c r="L22" s="164"/>
      <c r="M22" s="185">
        <f>VLOOKUP(B22,'BK TT'!B29:I128,8,0)</f>
        <v>0</v>
      </c>
      <c r="N22" s="181">
        <f t="shared" si="2"/>
        <v>0</v>
      </c>
      <c r="O22" s="152"/>
      <c r="P22" s="153"/>
      <c r="Q22" s="651">
        <v>1000000</v>
      </c>
      <c r="R22" s="651"/>
      <c r="S22" s="179">
        <f t="shared" si="7"/>
        <v>8681700</v>
      </c>
      <c r="T22" s="191">
        <v>596578.5</v>
      </c>
      <c r="U22" s="185">
        <v>1221565.5</v>
      </c>
      <c r="V22" s="185">
        <f t="shared" si="8"/>
        <v>6681700</v>
      </c>
      <c r="W22" s="185">
        <v>15500000</v>
      </c>
      <c r="X22" s="164"/>
      <c r="Y22" s="185">
        <f t="shared" si="11"/>
        <v>0</v>
      </c>
      <c r="Z22" s="195">
        <f t="shared" si="3"/>
        <v>0</v>
      </c>
      <c r="AA22" s="185">
        <f t="shared" si="4"/>
        <v>0</v>
      </c>
      <c r="AB22" s="185">
        <f t="shared" si="5"/>
        <v>0</v>
      </c>
      <c r="AC22" s="185">
        <f t="shared" si="9"/>
        <v>8085121.5</v>
      </c>
      <c r="AD22" s="323"/>
      <c r="AE22" s="197"/>
      <c r="AF22" s="197"/>
      <c r="AG22" s="178">
        <f t="shared" si="10"/>
        <v>7681700</v>
      </c>
      <c r="AH22" s="672"/>
      <c r="AI22" s="196"/>
      <c r="AJ22" s="677"/>
      <c r="AK22" s="210"/>
      <c r="AL22" s="211"/>
      <c r="AM22" s="212"/>
      <c r="AN22" s="202"/>
      <c r="AO22" s="220"/>
      <c r="AP22" s="145">
        <f t="shared" si="12"/>
        <v>7681700</v>
      </c>
      <c r="AQ22" s="145">
        <f t="shared" si="13"/>
        <v>0</v>
      </c>
      <c r="AR22" s="146">
        <f t="shared" si="6"/>
        <v>0</v>
      </c>
      <c r="AS22" s="145">
        <f t="shared" si="14"/>
        <v>8085121.5</v>
      </c>
      <c r="AU22" s="132" t="s">
        <v>56</v>
      </c>
    </row>
    <row r="23" spans="1:48" s="143" customFormat="1" ht="21.75" customHeight="1">
      <c r="A23" s="149">
        <v>10</v>
      </c>
      <c r="B23" s="638" t="s">
        <v>57</v>
      </c>
      <c r="C23" s="167" t="s">
        <v>181</v>
      </c>
      <c r="D23" s="163"/>
      <c r="E23" s="163"/>
      <c r="F23" s="163"/>
      <c r="G23" s="263">
        <v>5681700</v>
      </c>
      <c r="H23" s="153"/>
      <c r="I23" s="184">
        <v>0</v>
      </c>
      <c r="J23" s="263">
        <v>1000000</v>
      </c>
      <c r="K23" s="263">
        <v>1000000</v>
      </c>
      <c r="L23" s="164"/>
      <c r="M23" s="185">
        <f>VLOOKUP(B23,'BK TT'!B30:I129,8,0)</f>
        <v>0</v>
      </c>
      <c r="N23" s="181">
        <f t="shared" si="2"/>
        <v>17000000</v>
      </c>
      <c r="O23" s="152"/>
      <c r="P23" s="153"/>
      <c r="Q23" s="651">
        <v>1000000</v>
      </c>
      <c r="R23" s="651"/>
      <c r="S23" s="179">
        <f t="shared" si="7"/>
        <v>25681700</v>
      </c>
      <c r="T23" s="191">
        <v>596578.5</v>
      </c>
      <c r="U23" s="185">
        <v>1221565.5</v>
      </c>
      <c r="V23" s="185">
        <f t="shared" si="8"/>
        <v>23681700</v>
      </c>
      <c r="W23" s="185">
        <v>15500000</v>
      </c>
      <c r="X23" s="164"/>
      <c r="Y23" s="185">
        <f t="shared" si="11"/>
        <v>0</v>
      </c>
      <c r="Z23" s="195">
        <f t="shared" si="3"/>
        <v>7585121.5</v>
      </c>
      <c r="AA23" s="185">
        <f t="shared" si="4"/>
        <v>1</v>
      </c>
      <c r="AB23" s="185">
        <f t="shared" si="5"/>
        <v>379256.07500000001</v>
      </c>
      <c r="AC23" s="185">
        <f t="shared" si="9"/>
        <v>24705865.425000001</v>
      </c>
      <c r="AD23" s="323"/>
      <c r="AE23" s="197"/>
      <c r="AF23" s="197"/>
      <c r="AG23" s="178">
        <f t="shared" si="10"/>
        <v>7681700</v>
      </c>
      <c r="AH23" s="672">
        <v>4</v>
      </c>
      <c r="AI23" s="196">
        <v>3</v>
      </c>
      <c r="AJ23" s="677"/>
      <c r="AK23" s="210"/>
      <c r="AL23" s="211"/>
      <c r="AM23" s="212"/>
      <c r="AN23" s="202"/>
      <c r="AO23" s="220"/>
      <c r="AP23" s="145">
        <f t="shared" si="12"/>
        <v>24681700</v>
      </c>
      <c r="AQ23" s="145">
        <f t="shared" si="13"/>
        <v>8585121.5</v>
      </c>
      <c r="AR23" s="146">
        <f t="shared" si="6"/>
        <v>429256.07500000001</v>
      </c>
      <c r="AS23" s="145">
        <f t="shared" si="14"/>
        <v>24655865.425000001</v>
      </c>
      <c r="AU23" s="171" t="s">
        <v>353</v>
      </c>
      <c r="AV23" s="214"/>
    </row>
    <row r="24" spans="1:48" s="143" customFormat="1" ht="21.75" customHeight="1">
      <c r="A24" s="117">
        <v>11</v>
      </c>
      <c r="B24" s="667" t="s">
        <v>58</v>
      </c>
      <c r="C24" s="166" t="s">
        <v>181</v>
      </c>
      <c r="D24" s="163"/>
      <c r="E24" s="163"/>
      <c r="F24" s="163"/>
      <c r="G24" s="263">
        <v>5681700</v>
      </c>
      <c r="H24" s="153"/>
      <c r="I24" s="184">
        <v>0</v>
      </c>
      <c r="J24" s="263">
        <v>1000000</v>
      </c>
      <c r="K24" s="263">
        <v>1000000</v>
      </c>
      <c r="L24" s="164"/>
      <c r="M24" s="185">
        <f>VLOOKUP(B24,'BK TT'!B31:I130,8,0)</f>
        <v>0</v>
      </c>
      <c r="N24" s="181">
        <f t="shared" si="2"/>
        <v>15000000</v>
      </c>
      <c r="O24" s="152"/>
      <c r="P24" s="153"/>
      <c r="Q24" s="651">
        <v>1000000</v>
      </c>
      <c r="R24" s="651"/>
      <c r="S24" s="179">
        <f t="shared" si="7"/>
        <v>23681700</v>
      </c>
      <c r="T24" s="191">
        <v>596578.5</v>
      </c>
      <c r="U24" s="185">
        <v>1221565.5</v>
      </c>
      <c r="V24" s="185">
        <f t="shared" si="8"/>
        <v>21681700</v>
      </c>
      <c r="W24" s="185">
        <v>15500000</v>
      </c>
      <c r="X24" s="164">
        <v>2</v>
      </c>
      <c r="Y24" s="185">
        <f t="shared" si="11"/>
        <v>12400000</v>
      </c>
      <c r="Z24" s="195">
        <f t="shared" si="3"/>
        <v>0</v>
      </c>
      <c r="AA24" s="185">
        <f t="shared" si="4"/>
        <v>0</v>
      </c>
      <c r="AB24" s="185">
        <f t="shared" si="5"/>
        <v>0</v>
      </c>
      <c r="AC24" s="185">
        <f t="shared" si="9"/>
        <v>23085121.5</v>
      </c>
      <c r="AD24" s="323"/>
      <c r="AE24" s="197"/>
      <c r="AF24" s="197"/>
      <c r="AG24" s="178">
        <f t="shared" si="10"/>
        <v>7681700</v>
      </c>
      <c r="AH24" s="672">
        <v>3</v>
      </c>
      <c r="AI24" s="196">
        <v>2</v>
      </c>
      <c r="AJ24" s="677">
        <v>1</v>
      </c>
      <c r="AK24" s="210"/>
      <c r="AL24" s="211"/>
      <c r="AM24" s="212"/>
      <c r="AN24" s="202"/>
      <c r="AO24" s="220"/>
      <c r="AP24" s="145">
        <f t="shared" si="12"/>
        <v>22681700</v>
      </c>
      <c r="AQ24" s="145">
        <f t="shared" si="13"/>
        <v>0</v>
      </c>
      <c r="AR24" s="146">
        <f t="shared" si="6"/>
        <v>0</v>
      </c>
      <c r="AS24" s="145">
        <f t="shared" si="14"/>
        <v>23085121.5</v>
      </c>
      <c r="AU24" s="172" t="s">
        <v>59</v>
      </c>
    </row>
    <row r="25" spans="1:48" s="143" customFormat="1" ht="21.75" customHeight="1">
      <c r="A25" s="149">
        <v>12</v>
      </c>
      <c r="B25" s="667" t="s">
        <v>60</v>
      </c>
      <c r="C25" s="167" t="s">
        <v>181</v>
      </c>
      <c r="D25" s="163"/>
      <c r="E25" s="163"/>
      <c r="F25" s="163"/>
      <c r="G25" s="263">
        <v>5681700</v>
      </c>
      <c r="H25" s="153"/>
      <c r="I25" s="184">
        <v>0</v>
      </c>
      <c r="J25" s="263">
        <v>1000000</v>
      </c>
      <c r="K25" s="263">
        <v>1000000</v>
      </c>
      <c r="L25" s="164"/>
      <c r="M25" s="185">
        <f>VLOOKUP(B25,'BK TT'!B32:I131,8,0)</f>
        <v>0</v>
      </c>
      <c r="N25" s="181">
        <f t="shared" si="2"/>
        <v>0</v>
      </c>
      <c r="O25" s="152"/>
      <c r="P25" s="153"/>
      <c r="Q25" s="651">
        <v>1000000</v>
      </c>
      <c r="R25" s="651"/>
      <c r="S25" s="179">
        <f t="shared" si="7"/>
        <v>8681700</v>
      </c>
      <c r="T25" s="191">
        <v>596578.5</v>
      </c>
      <c r="U25" s="185">
        <v>1221565.5</v>
      </c>
      <c r="V25" s="185">
        <f t="shared" si="8"/>
        <v>6681700</v>
      </c>
      <c r="W25" s="185">
        <v>15500000</v>
      </c>
      <c r="X25" s="164"/>
      <c r="Y25" s="185">
        <f t="shared" si="11"/>
        <v>0</v>
      </c>
      <c r="Z25" s="195">
        <f t="shared" si="3"/>
        <v>0</v>
      </c>
      <c r="AA25" s="185">
        <f t="shared" si="4"/>
        <v>0</v>
      </c>
      <c r="AB25" s="185">
        <f t="shared" si="5"/>
        <v>0</v>
      </c>
      <c r="AC25" s="185">
        <f t="shared" si="9"/>
        <v>8085121.5</v>
      </c>
      <c r="AD25" s="323"/>
      <c r="AE25" s="197"/>
      <c r="AF25" s="197"/>
      <c r="AG25" s="178">
        <f t="shared" si="10"/>
        <v>7681700</v>
      </c>
      <c r="AH25" s="672"/>
      <c r="AI25" s="196"/>
      <c r="AJ25" s="677"/>
      <c r="AK25" s="210"/>
      <c r="AL25" s="211"/>
      <c r="AM25" s="212"/>
      <c r="AN25" s="202"/>
      <c r="AO25" s="220"/>
      <c r="AP25" s="145">
        <f t="shared" si="12"/>
        <v>7681700</v>
      </c>
      <c r="AQ25" s="145">
        <f t="shared" si="13"/>
        <v>0</v>
      </c>
      <c r="AR25" s="146">
        <f t="shared" si="6"/>
        <v>0</v>
      </c>
      <c r="AS25" s="145">
        <f t="shared" si="14"/>
        <v>8085121.5</v>
      </c>
      <c r="AU25" s="173" t="s">
        <v>354</v>
      </c>
      <c r="AV25" s="214"/>
    </row>
    <row r="26" spans="1:48" s="143" customFormat="1" ht="21.75" customHeight="1">
      <c r="A26" s="117">
        <v>13</v>
      </c>
      <c r="B26" s="667" t="s">
        <v>61</v>
      </c>
      <c r="C26" s="166" t="s">
        <v>181</v>
      </c>
      <c r="D26" s="163"/>
      <c r="E26" s="163"/>
      <c r="F26" s="163"/>
      <c r="G26" s="263">
        <v>5681700</v>
      </c>
      <c r="H26" s="153"/>
      <c r="I26" s="184">
        <v>0</v>
      </c>
      <c r="J26" s="263">
        <v>1000000</v>
      </c>
      <c r="K26" s="263">
        <v>1000000</v>
      </c>
      <c r="L26" s="164"/>
      <c r="M26" s="185">
        <f>VLOOKUP(B26,'BK TT'!B33:I132,8,0)</f>
        <v>0</v>
      </c>
      <c r="N26" s="181">
        <f>AH26*$D$161+(AI26+AJ26)*$D$162+AK26*$D$164</f>
        <v>4000000</v>
      </c>
      <c r="O26" s="152"/>
      <c r="P26" s="153"/>
      <c r="Q26" s="651">
        <v>1000000</v>
      </c>
      <c r="R26" s="651"/>
      <c r="S26" s="179">
        <f t="shared" si="7"/>
        <v>12681700</v>
      </c>
      <c r="T26" s="191">
        <v>596578.5</v>
      </c>
      <c r="U26" s="185">
        <v>1221565.5</v>
      </c>
      <c r="V26" s="185">
        <f t="shared" si="8"/>
        <v>10681700</v>
      </c>
      <c r="W26" s="185">
        <v>15500000</v>
      </c>
      <c r="X26" s="164"/>
      <c r="Y26" s="185">
        <f t="shared" si="11"/>
        <v>0</v>
      </c>
      <c r="Z26" s="195">
        <f t="shared" si="3"/>
        <v>0</v>
      </c>
      <c r="AA26" s="185">
        <f t="shared" si="4"/>
        <v>0</v>
      </c>
      <c r="AB26" s="185">
        <f t="shared" si="5"/>
        <v>0</v>
      </c>
      <c r="AC26" s="185">
        <f t="shared" si="9"/>
        <v>12085121.5</v>
      </c>
      <c r="AD26" s="323"/>
      <c r="AE26" s="197"/>
      <c r="AF26" s="197"/>
      <c r="AG26" s="178">
        <f t="shared" si="10"/>
        <v>7681700</v>
      </c>
      <c r="AH26" s="672">
        <v>2</v>
      </c>
      <c r="AI26" s="196"/>
      <c r="AJ26" s="677"/>
      <c r="AK26" s="210"/>
      <c r="AL26" s="211"/>
      <c r="AM26" s="212"/>
      <c r="AN26" s="202"/>
      <c r="AO26" s="220"/>
      <c r="AP26" s="145">
        <f t="shared" si="12"/>
        <v>11681700</v>
      </c>
      <c r="AQ26" s="145">
        <f t="shared" si="13"/>
        <v>0</v>
      </c>
      <c r="AR26" s="146">
        <f t="shared" si="6"/>
        <v>0</v>
      </c>
      <c r="AS26" s="145">
        <f t="shared" si="14"/>
        <v>12085121.5</v>
      </c>
      <c r="AU26" s="173" t="s">
        <v>62</v>
      </c>
      <c r="AV26" s="214"/>
    </row>
    <row r="27" spans="1:48" s="143" customFormat="1" ht="21.75" customHeight="1">
      <c r="A27" s="149">
        <v>14</v>
      </c>
      <c r="B27" s="667" t="s">
        <v>63</v>
      </c>
      <c r="C27" s="167" t="s">
        <v>182</v>
      </c>
      <c r="D27" s="163"/>
      <c r="E27" s="163"/>
      <c r="F27" s="163"/>
      <c r="G27" s="263">
        <v>5681700</v>
      </c>
      <c r="H27" s="153"/>
      <c r="I27" s="184">
        <v>0</v>
      </c>
      <c r="J27" s="263">
        <v>1000000</v>
      </c>
      <c r="K27" s="263">
        <v>1000000</v>
      </c>
      <c r="L27" s="164"/>
      <c r="M27" s="185">
        <f>VLOOKUP(B27,'BK TT'!B34:I133,8,0)</f>
        <v>2500000</v>
      </c>
      <c r="N27" s="181">
        <f t="shared" si="2"/>
        <v>0</v>
      </c>
      <c r="O27" s="152"/>
      <c r="P27" s="153"/>
      <c r="Q27" s="651">
        <v>1000000</v>
      </c>
      <c r="R27" s="651"/>
      <c r="S27" s="179">
        <f t="shared" si="7"/>
        <v>11181700</v>
      </c>
      <c r="T27" s="191">
        <v>596578.5</v>
      </c>
      <c r="U27" s="185">
        <v>1221565.5</v>
      </c>
      <c r="V27" s="185">
        <f t="shared" si="8"/>
        <v>9181700</v>
      </c>
      <c r="W27" s="185">
        <v>15500000</v>
      </c>
      <c r="X27" s="164"/>
      <c r="Y27" s="185">
        <f t="shared" si="11"/>
        <v>0</v>
      </c>
      <c r="Z27" s="195">
        <f t="shared" si="3"/>
        <v>0</v>
      </c>
      <c r="AA27" s="185">
        <f t="shared" si="4"/>
        <v>0</v>
      </c>
      <c r="AB27" s="185">
        <f t="shared" si="5"/>
        <v>0</v>
      </c>
      <c r="AC27" s="185">
        <f t="shared" si="9"/>
        <v>10585121.5</v>
      </c>
      <c r="AD27" s="323"/>
      <c r="AE27" s="197"/>
      <c r="AF27" s="197"/>
      <c r="AG27" s="178">
        <f t="shared" si="10"/>
        <v>7681700</v>
      </c>
      <c r="AH27" s="672"/>
      <c r="AI27" s="196"/>
      <c r="AJ27" s="677"/>
      <c r="AK27" s="210"/>
      <c r="AL27" s="211"/>
      <c r="AM27" s="212"/>
      <c r="AN27" s="202"/>
      <c r="AO27" s="220"/>
      <c r="AP27" s="145">
        <f t="shared" si="12"/>
        <v>10181700</v>
      </c>
      <c r="AQ27" s="145">
        <f t="shared" si="13"/>
        <v>0</v>
      </c>
      <c r="AR27" s="146">
        <f t="shared" si="6"/>
        <v>0</v>
      </c>
      <c r="AS27" s="145">
        <f t="shared" si="14"/>
        <v>10585121.5</v>
      </c>
      <c r="AU27" s="173" t="s">
        <v>64</v>
      </c>
    </row>
    <row r="28" spans="1:48" s="143" customFormat="1" ht="21.75" customHeight="1">
      <c r="A28" s="117">
        <v>15</v>
      </c>
      <c r="B28" s="667" t="s">
        <v>65</v>
      </c>
      <c r="C28" s="162" t="s">
        <v>181</v>
      </c>
      <c r="D28" s="163"/>
      <c r="E28" s="163"/>
      <c r="F28" s="163"/>
      <c r="G28" s="263">
        <v>5681700</v>
      </c>
      <c r="H28" s="153"/>
      <c r="I28" s="184">
        <v>0</v>
      </c>
      <c r="J28" s="263">
        <v>1000000</v>
      </c>
      <c r="K28" s="263">
        <v>1000000</v>
      </c>
      <c r="L28" s="164"/>
      <c r="M28" s="185">
        <f>VLOOKUP(B28,'BK TT'!B35:I134,8,0)</f>
        <v>0</v>
      </c>
      <c r="N28" s="181">
        <f t="shared" si="2"/>
        <v>5000000</v>
      </c>
      <c r="O28" s="152"/>
      <c r="P28" s="153"/>
      <c r="Q28" s="651">
        <v>1000000</v>
      </c>
      <c r="R28" s="651"/>
      <c r="S28" s="179">
        <f t="shared" si="7"/>
        <v>13681700</v>
      </c>
      <c r="T28" s="191">
        <v>596578.5</v>
      </c>
      <c r="U28" s="185">
        <v>1221565.5</v>
      </c>
      <c r="V28" s="185">
        <f t="shared" si="8"/>
        <v>11681700</v>
      </c>
      <c r="W28" s="185">
        <v>15500000</v>
      </c>
      <c r="X28" s="164">
        <v>2</v>
      </c>
      <c r="Y28" s="185">
        <f t="shared" si="11"/>
        <v>12400000</v>
      </c>
      <c r="Z28" s="195">
        <f t="shared" si="3"/>
        <v>0</v>
      </c>
      <c r="AA28" s="185">
        <f t="shared" si="4"/>
        <v>0</v>
      </c>
      <c r="AB28" s="185">
        <f t="shared" si="5"/>
        <v>0</v>
      </c>
      <c r="AC28" s="185">
        <f t="shared" si="9"/>
        <v>13085121.5</v>
      </c>
      <c r="AD28" s="323"/>
      <c r="AE28" s="197"/>
      <c r="AF28" s="197"/>
      <c r="AG28" s="178">
        <f t="shared" si="10"/>
        <v>7681700</v>
      </c>
      <c r="AH28" s="672">
        <v>1</v>
      </c>
      <c r="AI28" s="196">
        <v>1</v>
      </c>
      <c r="AJ28" s="677"/>
      <c r="AK28" s="210"/>
      <c r="AL28" s="211"/>
      <c r="AM28" s="212"/>
      <c r="AN28" s="202"/>
      <c r="AO28" s="220"/>
      <c r="AP28" s="145">
        <f t="shared" si="12"/>
        <v>12681700</v>
      </c>
      <c r="AQ28" s="145">
        <f t="shared" si="13"/>
        <v>0</v>
      </c>
      <c r="AR28" s="146">
        <f t="shared" si="6"/>
        <v>0</v>
      </c>
      <c r="AS28" s="145">
        <f t="shared" si="14"/>
        <v>13085121.5</v>
      </c>
      <c r="AU28" s="133" t="s">
        <v>355</v>
      </c>
      <c r="AV28" s="214"/>
    </row>
    <row r="29" spans="1:48" s="143" customFormat="1" ht="21.75" customHeight="1">
      <c r="A29" s="149">
        <v>16</v>
      </c>
      <c r="B29" s="667" t="s">
        <v>67</v>
      </c>
      <c r="C29" s="162" t="s">
        <v>182</v>
      </c>
      <c r="D29" s="163"/>
      <c r="E29" s="163"/>
      <c r="F29" s="163"/>
      <c r="G29" s="263">
        <v>5681700</v>
      </c>
      <c r="H29" s="153"/>
      <c r="I29" s="184">
        <v>0</v>
      </c>
      <c r="J29" s="263">
        <v>1000000</v>
      </c>
      <c r="K29" s="263">
        <v>1000000</v>
      </c>
      <c r="L29" s="164"/>
      <c r="M29" s="185">
        <f>VLOOKUP(B29,'BK TT'!B37:I136,8,0)</f>
        <v>0</v>
      </c>
      <c r="N29" s="181">
        <f t="shared" si="2"/>
        <v>6000000</v>
      </c>
      <c r="O29" s="152"/>
      <c r="P29" s="153"/>
      <c r="Q29" s="651">
        <v>1000000</v>
      </c>
      <c r="R29" s="651"/>
      <c r="S29" s="179">
        <f t="shared" si="7"/>
        <v>14681700</v>
      </c>
      <c r="T29" s="191">
        <v>596578.5</v>
      </c>
      <c r="U29" s="185">
        <v>1221565.5</v>
      </c>
      <c r="V29" s="185">
        <f t="shared" si="8"/>
        <v>12681700</v>
      </c>
      <c r="W29" s="185">
        <v>15500000</v>
      </c>
      <c r="X29" s="164">
        <v>1</v>
      </c>
      <c r="Y29" s="185">
        <f t="shared" si="11"/>
        <v>6200000</v>
      </c>
      <c r="Z29" s="195">
        <f t="shared" si="3"/>
        <v>0</v>
      </c>
      <c r="AA29" s="185">
        <f t="shared" si="4"/>
        <v>0</v>
      </c>
      <c r="AB29" s="185">
        <f t="shared" si="5"/>
        <v>0</v>
      </c>
      <c r="AC29" s="185">
        <f t="shared" si="9"/>
        <v>14085121.5</v>
      </c>
      <c r="AD29" s="323"/>
      <c r="AE29" s="197"/>
      <c r="AF29" s="197"/>
      <c r="AG29" s="178">
        <f t="shared" si="10"/>
        <v>7681700</v>
      </c>
      <c r="AH29" s="672"/>
      <c r="AI29" s="196">
        <v>2</v>
      </c>
      <c r="AJ29" s="677"/>
      <c r="AK29" s="210"/>
      <c r="AL29" s="211"/>
      <c r="AM29" s="212"/>
      <c r="AN29" s="202"/>
      <c r="AO29" s="220"/>
      <c r="AP29" s="145">
        <f t="shared" si="12"/>
        <v>13681700</v>
      </c>
      <c r="AQ29" s="145">
        <f t="shared" si="13"/>
        <v>0</v>
      </c>
      <c r="AR29" s="146">
        <f t="shared" si="6"/>
        <v>0</v>
      </c>
      <c r="AS29" s="145">
        <f t="shared" si="14"/>
        <v>14085121.5</v>
      </c>
      <c r="AU29" s="170" t="s">
        <v>356</v>
      </c>
      <c r="AV29" s="214"/>
    </row>
    <row r="30" spans="1:48" s="143" customFormat="1" ht="21.75" customHeight="1">
      <c r="A30" s="117">
        <v>17</v>
      </c>
      <c r="B30" s="667" t="s">
        <v>68</v>
      </c>
      <c r="C30" s="167" t="s">
        <v>181</v>
      </c>
      <c r="D30" s="163"/>
      <c r="E30" s="163"/>
      <c r="F30" s="163"/>
      <c r="G30" s="263">
        <v>5681700</v>
      </c>
      <c r="H30" s="153"/>
      <c r="I30" s="184">
        <v>0</v>
      </c>
      <c r="J30" s="263">
        <v>1000000</v>
      </c>
      <c r="K30" s="263">
        <v>1000000</v>
      </c>
      <c r="L30" s="164"/>
      <c r="M30" s="185">
        <f>VLOOKUP(B30,'BK TT'!B38:I137,8,0)</f>
        <v>0</v>
      </c>
      <c r="N30" s="181">
        <f t="shared" si="2"/>
        <v>0</v>
      </c>
      <c r="O30" s="152"/>
      <c r="P30" s="153"/>
      <c r="Q30" s="651">
        <v>1000000</v>
      </c>
      <c r="R30" s="651"/>
      <c r="S30" s="179">
        <f t="shared" si="7"/>
        <v>8681700</v>
      </c>
      <c r="T30" s="191">
        <v>596578.5</v>
      </c>
      <c r="U30" s="185">
        <v>1221565.5</v>
      </c>
      <c r="V30" s="185">
        <f t="shared" si="8"/>
        <v>6681700</v>
      </c>
      <c r="W30" s="185">
        <v>15500000</v>
      </c>
      <c r="X30" s="164"/>
      <c r="Y30" s="185">
        <f t="shared" si="11"/>
        <v>0</v>
      </c>
      <c r="Z30" s="195">
        <f t="shared" si="3"/>
        <v>0</v>
      </c>
      <c r="AA30" s="185">
        <f t="shared" si="4"/>
        <v>0</v>
      </c>
      <c r="AB30" s="185">
        <f t="shared" si="5"/>
        <v>0</v>
      </c>
      <c r="AC30" s="185">
        <f t="shared" si="9"/>
        <v>8085121.5</v>
      </c>
      <c r="AD30" s="323"/>
      <c r="AE30" s="197"/>
      <c r="AF30" s="197"/>
      <c r="AG30" s="178">
        <f t="shared" si="10"/>
        <v>7681700</v>
      </c>
      <c r="AH30" s="672"/>
      <c r="AI30" s="196"/>
      <c r="AJ30" s="677"/>
      <c r="AK30" s="210"/>
      <c r="AL30" s="211"/>
      <c r="AM30" s="212"/>
      <c r="AN30" s="202"/>
      <c r="AO30" s="220"/>
      <c r="AP30" s="145">
        <f t="shared" si="12"/>
        <v>7681700</v>
      </c>
      <c r="AQ30" s="145">
        <f t="shared" si="13"/>
        <v>0</v>
      </c>
      <c r="AR30" s="146">
        <f t="shared" si="6"/>
        <v>0</v>
      </c>
      <c r="AS30" s="145">
        <f t="shared" si="14"/>
        <v>8085121.5</v>
      </c>
      <c r="AU30" s="132" t="s">
        <v>69</v>
      </c>
    </row>
    <row r="31" spans="1:48" s="143" customFormat="1" ht="21.75" customHeight="1">
      <c r="A31" s="149">
        <v>18</v>
      </c>
      <c r="B31" s="667" t="s">
        <v>70</v>
      </c>
      <c r="C31" s="166" t="s">
        <v>181</v>
      </c>
      <c r="D31" s="163"/>
      <c r="E31" s="163"/>
      <c r="F31" s="163"/>
      <c r="G31" s="263">
        <v>5681700</v>
      </c>
      <c r="H31" s="153"/>
      <c r="I31" s="184">
        <v>0</v>
      </c>
      <c r="J31" s="263">
        <v>1000000</v>
      </c>
      <c r="K31" s="263">
        <v>1000000</v>
      </c>
      <c r="L31" s="164"/>
      <c r="M31" s="185">
        <f>VLOOKUP(B31,'BK TT'!B39:I138,8,0)</f>
        <v>0</v>
      </c>
      <c r="N31" s="181">
        <f t="shared" si="2"/>
        <v>28300000</v>
      </c>
      <c r="O31" s="152"/>
      <c r="P31" s="153"/>
      <c r="Q31" s="651">
        <v>1000000</v>
      </c>
      <c r="R31" s="651"/>
      <c r="S31" s="179">
        <f t="shared" si="7"/>
        <v>36981700</v>
      </c>
      <c r="T31" s="191">
        <v>596578.5</v>
      </c>
      <c r="U31" s="185">
        <v>1221565.5</v>
      </c>
      <c r="V31" s="185">
        <f t="shared" si="8"/>
        <v>34981700</v>
      </c>
      <c r="W31" s="185">
        <v>15500000</v>
      </c>
      <c r="X31" s="164">
        <v>1</v>
      </c>
      <c r="Y31" s="185">
        <f t="shared" si="11"/>
        <v>6200000</v>
      </c>
      <c r="Z31" s="195">
        <f t="shared" si="3"/>
        <v>12685121.5</v>
      </c>
      <c r="AA31" s="185">
        <f t="shared" si="4"/>
        <v>2</v>
      </c>
      <c r="AB31" s="185">
        <f t="shared" si="5"/>
        <v>768512.15000000014</v>
      </c>
      <c r="AC31" s="185">
        <f t="shared" si="9"/>
        <v>35616609.350000001</v>
      </c>
      <c r="AD31" s="323"/>
      <c r="AE31" s="197"/>
      <c r="AF31" s="197"/>
      <c r="AG31" s="178">
        <f t="shared" si="10"/>
        <v>7681700</v>
      </c>
      <c r="AH31" s="672">
        <v>1</v>
      </c>
      <c r="AI31" s="196">
        <v>2</v>
      </c>
      <c r="AJ31" s="677">
        <v>2</v>
      </c>
      <c r="AK31" s="210">
        <v>13</v>
      </c>
      <c r="AL31" s="211"/>
      <c r="AM31" s="212"/>
      <c r="AN31" s="202"/>
      <c r="AO31" s="220"/>
      <c r="AP31" s="145">
        <f t="shared" si="12"/>
        <v>35981700</v>
      </c>
      <c r="AQ31" s="145">
        <f t="shared" si="13"/>
        <v>13685121.5</v>
      </c>
      <c r="AR31" s="146">
        <f t="shared" si="6"/>
        <v>868512.15</v>
      </c>
      <c r="AS31" s="145">
        <f t="shared" si="14"/>
        <v>35516609.350000001</v>
      </c>
      <c r="AU31" s="170" t="s">
        <v>71</v>
      </c>
      <c r="AV31" s="214"/>
    </row>
    <row r="32" spans="1:48" s="143" customFormat="1" ht="21.75" customHeight="1">
      <c r="A32" s="117">
        <v>19</v>
      </c>
      <c r="B32" s="667" t="s">
        <v>72</v>
      </c>
      <c r="C32" s="166" t="s">
        <v>181</v>
      </c>
      <c r="D32" s="163"/>
      <c r="E32" s="163"/>
      <c r="F32" s="163"/>
      <c r="G32" s="263">
        <v>5681700</v>
      </c>
      <c r="H32" s="153"/>
      <c r="I32" s="184">
        <v>0</v>
      </c>
      <c r="J32" s="263">
        <v>1000000</v>
      </c>
      <c r="K32" s="263">
        <v>1000000</v>
      </c>
      <c r="L32" s="164"/>
      <c r="M32" s="185">
        <f>VLOOKUP(B32,'BK TT'!B40:I139,8,0)</f>
        <v>0</v>
      </c>
      <c r="N32" s="181">
        <f t="shared" si="2"/>
        <v>9000000</v>
      </c>
      <c r="O32" s="152"/>
      <c r="P32" s="153"/>
      <c r="Q32" s="651">
        <v>1000000</v>
      </c>
      <c r="R32" s="651"/>
      <c r="S32" s="179">
        <f t="shared" si="7"/>
        <v>17681700</v>
      </c>
      <c r="T32" s="191">
        <v>596578.5</v>
      </c>
      <c r="U32" s="185">
        <v>1221565.5</v>
      </c>
      <c r="V32" s="185">
        <f t="shared" si="8"/>
        <v>15681700</v>
      </c>
      <c r="W32" s="185">
        <v>15500000</v>
      </c>
      <c r="X32" s="164">
        <v>1</v>
      </c>
      <c r="Y32" s="185">
        <f t="shared" si="11"/>
        <v>6200000</v>
      </c>
      <c r="Z32" s="195">
        <f t="shared" si="3"/>
        <v>0</v>
      </c>
      <c r="AA32" s="185">
        <f t="shared" si="4"/>
        <v>0</v>
      </c>
      <c r="AB32" s="185">
        <f t="shared" si="5"/>
        <v>0</v>
      </c>
      <c r="AC32" s="185">
        <f t="shared" si="9"/>
        <v>17085121.5</v>
      </c>
      <c r="AD32" s="323"/>
      <c r="AE32" s="197"/>
      <c r="AF32" s="197"/>
      <c r="AG32" s="178">
        <f t="shared" si="10"/>
        <v>7681700</v>
      </c>
      <c r="AH32" s="672"/>
      <c r="AI32" s="196"/>
      <c r="AJ32" s="677">
        <v>3</v>
      </c>
      <c r="AK32" s="210"/>
      <c r="AL32" s="211"/>
      <c r="AM32" s="212"/>
      <c r="AN32" s="202"/>
      <c r="AO32" s="220"/>
      <c r="AP32" s="145">
        <f t="shared" si="12"/>
        <v>16681700</v>
      </c>
      <c r="AQ32" s="145">
        <f t="shared" si="13"/>
        <v>0</v>
      </c>
      <c r="AR32" s="146">
        <f t="shared" si="6"/>
        <v>0</v>
      </c>
      <c r="AS32" s="145">
        <f t="shared" si="14"/>
        <v>17085121.5</v>
      </c>
      <c r="AU32" s="170" t="s">
        <v>357</v>
      </c>
      <c r="AV32" s="214"/>
    </row>
    <row r="33" spans="1:48" s="143" customFormat="1" ht="21.75" customHeight="1">
      <c r="A33" s="149">
        <v>20</v>
      </c>
      <c r="B33" s="667" t="s">
        <v>73</v>
      </c>
      <c r="C33" s="166" t="s">
        <v>181</v>
      </c>
      <c r="D33" s="163"/>
      <c r="E33" s="163"/>
      <c r="F33" s="163"/>
      <c r="G33" s="263">
        <v>5681700</v>
      </c>
      <c r="H33" s="153"/>
      <c r="I33" s="184">
        <v>0</v>
      </c>
      <c r="J33" s="263">
        <v>1000000</v>
      </c>
      <c r="K33" s="263">
        <v>1000000</v>
      </c>
      <c r="L33" s="164"/>
      <c r="M33" s="185">
        <f>VLOOKUP(B33,'BK TT'!B41:I140,8,0)</f>
        <v>0</v>
      </c>
      <c r="N33" s="181">
        <f t="shared" si="2"/>
        <v>0</v>
      </c>
      <c r="O33" s="152"/>
      <c r="P33" s="153"/>
      <c r="Q33" s="651">
        <v>1000000</v>
      </c>
      <c r="R33" s="651"/>
      <c r="S33" s="179">
        <f t="shared" si="7"/>
        <v>8681700</v>
      </c>
      <c r="T33" s="191">
        <v>596578.5</v>
      </c>
      <c r="U33" s="185">
        <v>1221565.5</v>
      </c>
      <c r="V33" s="185">
        <f t="shared" si="8"/>
        <v>6681700</v>
      </c>
      <c r="W33" s="185">
        <v>15500000</v>
      </c>
      <c r="X33" s="164"/>
      <c r="Y33" s="185">
        <f t="shared" si="11"/>
        <v>0</v>
      </c>
      <c r="Z33" s="195">
        <f t="shared" si="3"/>
        <v>0</v>
      </c>
      <c r="AA33" s="185">
        <f t="shared" si="4"/>
        <v>0</v>
      </c>
      <c r="AB33" s="185">
        <f t="shared" si="5"/>
        <v>0</v>
      </c>
      <c r="AC33" s="185">
        <f t="shared" si="9"/>
        <v>8085121.5</v>
      </c>
      <c r="AD33" s="323"/>
      <c r="AE33" s="197"/>
      <c r="AF33" s="197"/>
      <c r="AG33" s="178">
        <f t="shared" si="10"/>
        <v>7681700</v>
      </c>
      <c r="AH33" s="672"/>
      <c r="AI33" s="196"/>
      <c r="AJ33" s="677"/>
      <c r="AK33" s="210"/>
      <c r="AL33" s="211"/>
      <c r="AM33" s="212"/>
      <c r="AN33" s="202"/>
      <c r="AO33" s="220"/>
      <c r="AP33" s="145">
        <f t="shared" si="12"/>
        <v>7681700</v>
      </c>
      <c r="AQ33" s="145">
        <f t="shared" si="13"/>
        <v>0</v>
      </c>
      <c r="AR33" s="146">
        <f t="shared" si="6"/>
        <v>0</v>
      </c>
      <c r="AS33" s="145">
        <f t="shared" si="14"/>
        <v>8085121.5</v>
      </c>
      <c r="AU33" s="132" t="s">
        <v>358</v>
      </c>
    </row>
    <row r="34" spans="1:48" s="143" customFormat="1" ht="21.75" customHeight="1">
      <c r="A34" s="117">
        <v>21</v>
      </c>
      <c r="B34" s="667" t="s">
        <v>74</v>
      </c>
      <c r="C34" s="162" t="s">
        <v>180</v>
      </c>
      <c r="D34" s="163"/>
      <c r="E34" s="163"/>
      <c r="F34" s="163"/>
      <c r="G34" s="263">
        <v>5681700</v>
      </c>
      <c r="H34" s="153"/>
      <c r="I34" s="184">
        <v>0</v>
      </c>
      <c r="J34" s="263">
        <v>1000000</v>
      </c>
      <c r="K34" s="263">
        <v>1000000</v>
      </c>
      <c r="L34" s="164"/>
      <c r="M34" s="185">
        <f>VLOOKUP(B34,'BK TT'!B42:I141,8,0)</f>
        <v>0</v>
      </c>
      <c r="N34" s="181">
        <f t="shared" si="2"/>
        <v>8000000</v>
      </c>
      <c r="O34" s="152"/>
      <c r="P34" s="153"/>
      <c r="Q34" s="651">
        <v>1000000</v>
      </c>
      <c r="R34" s="651"/>
      <c r="S34" s="179">
        <f t="shared" si="7"/>
        <v>16681700</v>
      </c>
      <c r="T34" s="191">
        <v>596578.5</v>
      </c>
      <c r="U34" s="185">
        <v>1221565.5</v>
      </c>
      <c r="V34" s="185">
        <f t="shared" si="8"/>
        <v>14681700</v>
      </c>
      <c r="W34" s="185">
        <v>15500000</v>
      </c>
      <c r="X34" s="164"/>
      <c r="Y34" s="185">
        <f t="shared" si="11"/>
        <v>0</v>
      </c>
      <c r="Z34" s="195">
        <f t="shared" si="3"/>
        <v>0</v>
      </c>
      <c r="AA34" s="185">
        <f t="shared" si="4"/>
        <v>0</v>
      </c>
      <c r="AB34" s="185">
        <f t="shared" si="5"/>
        <v>0</v>
      </c>
      <c r="AC34" s="185">
        <f t="shared" si="9"/>
        <v>16085121.5</v>
      </c>
      <c r="AD34" s="323"/>
      <c r="AE34" s="197"/>
      <c r="AF34" s="197"/>
      <c r="AG34" s="178">
        <f t="shared" si="10"/>
        <v>7681700</v>
      </c>
      <c r="AH34" s="672">
        <v>4</v>
      </c>
      <c r="AI34" s="196"/>
      <c r="AJ34" s="677"/>
      <c r="AK34" s="210"/>
      <c r="AL34" s="211"/>
      <c r="AM34" s="212"/>
      <c r="AN34" s="202"/>
      <c r="AO34" s="220"/>
      <c r="AP34" s="145">
        <f t="shared" si="12"/>
        <v>15681700</v>
      </c>
      <c r="AQ34" s="145">
        <f t="shared" si="13"/>
        <v>0</v>
      </c>
      <c r="AR34" s="146">
        <f t="shared" si="6"/>
        <v>0</v>
      </c>
      <c r="AS34" s="145">
        <f t="shared" si="14"/>
        <v>16085121.5</v>
      </c>
      <c r="AU34" s="170" t="s">
        <v>75</v>
      </c>
    </row>
    <row r="35" spans="1:48" s="141" customFormat="1" ht="21.75" customHeight="1">
      <c r="A35" s="149">
        <v>22</v>
      </c>
      <c r="B35" s="667" t="s">
        <v>76</v>
      </c>
      <c r="C35" s="166" t="s">
        <v>181</v>
      </c>
      <c r="D35" s="163"/>
      <c r="E35" s="174"/>
      <c r="F35" s="174"/>
      <c r="G35" s="263">
        <v>5681700</v>
      </c>
      <c r="H35" s="153"/>
      <c r="I35" s="184">
        <v>0</v>
      </c>
      <c r="J35" s="263">
        <v>1000000</v>
      </c>
      <c r="K35" s="263">
        <v>1000000</v>
      </c>
      <c r="L35" s="164"/>
      <c r="M35" s="185">
        <f>VLOOKUP(B35,'BK TT'!B43:I142,8,0)</f>
        <v>0</v>
      </c>
      <c r="N35" s="181">
        <f t="shared" si="2"/>
        <v>3000000</v>
      </c>
      <c r="O35" s="152"/>
      <c r="P35" s="153"/>
      <c r="Q35" s="651">
        <v>1000000</v>
      </c>
      <c r="R35" s="651"/>
      <c r="S35" s="179">
        <f t="shared" si="7"/>
        <v>11681700</v>
      </c>
      <c r="T35" s="191">
        <v>596578.5</v>
      </c>
      <c r="U35" s="185">
        <v>1221565.5</v>
      </c>
      <c r="V35" s="185">
        <f t="shared" si="8"/>
        <v>9681700</v>
      </c>
      <c r="W35" s="185">
        <v>15500000</v>
      </c>
      <c r="X35" s="164"/>
      <c r="Y35" s="185">
        <f t="shared" si="11"/>
        <v>0</v>
      </c>
      <c r="Z35" s="195">
        <f t="shared" si="3"/>
        <v>0</v>
      </c>
      <c r="AA35" s="185">
        <f t="shared" si="4"/>
        <v>0</v>
      </c>
      <c r="AB35" s="185">
        <f t="shared" si="5"/>
        <v>0</v>
      </c>
      <c r="AC35" s="185">
        <f t="shared" si="9"/>
        <v>11085121.5</v>
      </c>
      <c r="AD35" s="323"/>
      <c r="AE35" s="197"/>
      <c r="AF35" s="197"/>
      <c r="AG35" s="178">
        <f t="shared" si="10"/>
        <v>7681700</v>
      </c>
      <c r="AH35" s="672"/>
      <c r="AI35" s="196">
        <v>1</v>
      </c>
      <c r="AJ35" s="677"/>
      <c r="AK35" s="210"/>
      <c r="AL35" s="211"/>
      <c r="AM35" s="212"/>
      <c r="AN35" s="202"/>
      <c r="AO35" s="220"/>
      <c r="AP35" s="145">
        <f t="shared" si="12"/>
        <v>10681700</v>
      </c>
      <c r="AQ35" s="145">
        <f t="shared" si="13"/>
        <v>0</v>
      </c>
      <c r="AR35" s="146">
        <f t="shared" si="6"/>
        <v>0</v>
      </c>
      <c r="AS35" s="145">
        <f t="shared" si="14"/>
        <v>11085121.5</v>
      </c>
      <c r="AU35" s="170" t="s">
        <v>77</v>
      </c>
      <c r="AV35" s="143"/>
    </row>
    <row r="36" spans="1:48" s="141" customFormat="1" ht="21.75" customHeight="1">
      <c r="A36" s="117">
        <v>23</v>
      </c>
      <c r="B36" s="667" t="s">
        <v>78</v>
      </c>
      <c r="C36" s="166" t="s">
        <v>180</v>
      </c>
      <c r="D36" s="163"/>
      <c r="E36" s="174"/>
      <c r="F36" s="174"/>
      <c r="G36" s="263">
        <v>5681700</v>
      </c>
      <c r="H36" s="153"/>
      <c r="I36" s="184">
        <v>0</v>
      </c>
      <c r="J36" s="263">
        <v>1000000</v>
      </c>
      <c r="K36" s="263">
        <v>1000000</v>
      </c>
      <c r="L36" s="164"/>
      <c r="M36" s="185">
        <f>VLOOKUP(B36,'BK TT'!B44:I143,8,0)</f>
        <v>0</v>
      </c>
      <c r="N36" s="181">
        <f t="shared" si="2"/>
        <v>8000000</v>
      </c>
      <c r="O36" s="152"/>
      <c r="P36" s="153"/>
      <c r="Q36" s="651">
        <v>1000000</v>
      </c>
      <c r="R36" s="651"/>
      <c r="S36" s="179">
        <f t="shared" si="7"/>
        <v>16681700</v>
      </c>
      <c r="T36" s="191">
        <v>596578.5</v>
      </c>
      <c r="U36" s="185">
        <v>1221565.5</v>
      </c>
      <c r="V36" s="185">
        <f t="shared" si="8"/>
        <v>14681700</v>
      </c>
      <c r="W36" s="185">
        <v>15500000</v>
      </c>
      <c r="X36" s="164">
        <v>1</v>
      </c>
      <c r="Y36" s="185">
        <f t="shared" si="11"/>
        <v>6200000</v>
      </c>
      <c r="Z36" s="195">
        <f t="shared" si="3"/>
        <v>0</v>
      </c>
      <c r="AA36" s="185">
        <f t="shared" si="4"/>
        <v>0</v>
      </c>
      <c r="AB36" s="185">
        <f t="shared" si="5"/>
        <v>0</v>
      </c>
      <c r="AC36" s="185">
        <f t="shared" si="9"/>
        <v>16085121.5</v>
      </c>
      <c r="AD36" s="323"/>
      <c r="AE36" s="197"/>
      <c r="AF36" s="197"/>
      <c r="AG36" s="178">
        <f t="shared" si="10"/>
        <v>7681700</v>
      </c>
      <c r="AH36" s="672">
        <v>4</v>
      </c>
      <c r="AI36" s="196"/>
      <c r="AJ36" s="677"/>
      <c r="AK36" s="210"/>
      <c r="AL36" s="211"/>
      <c r="AM36" s="212"/>
      <c r="AN36" s="202"/>
      <c r="AO36" s="220"/>
      <c r="AP36" s="145">
        <f t="shared" si="12"/>
        <v>15681700</v>
      </c>
      <c r="AQ36" s="145">
        <f t="shared" si="13"/>
        <v>0</v>
      </c>
      <c r="AR36" s="146">
        <f t="shared" si="6"/>
        <v>0</v>
      </c>
      <c r="AS36" s="145">
        <f t="shared" si="14"/>
        <v>16085121.5</v>
      </c>
      <c r="AU36" s="170" t="s">
        <v>79</v>
      </c>
      <c r="AV36" s="214"/>
    </row>
    <row r="37" spans="1:48" s="141" customFormat="1" ht="21.75" customHeight="1">
      <c r="A37" s="149">
        <v>24</v>
      </c>
      <c r="B37" s="667" t="s">
        <v>80</v>
      </c>
      <c r="C37" s="166" t="s">
        <v>183</v>
      </c>
      <c r="D37" s="163"/>
      <c r="E37" s="174"/>
      <c r="F37" s="174"/>
      <c r="G37" s="263">
        <v>5681700</v>
      </c>
      <c r="H37" s="153"/>
      <c r="I37" s="184">
        <v>0</v>
      </c>
      <c r="J37" s="263">
        <v>1000000</v>
      </c>
      <c r="K37" s="263">
        <v>1000000</v>
      </c>
      <c r="L37" s="164"/>
      <c r="M37" s="185">
        <f>VLOOKUP(B37,'BK TT'!B45:I144,8,0)</f>
        <v>0</v>
      </c>
      <c r="N37" s="181">
        <f t="shared" si="2"/>
        <v>24000000</v>
      </c>
      <c r="O37" s="152"/>
      <c r="P37" s="153"/>
      <c r="Q37" s="651">
        <v>1000000</v>
      </c>
      <c r="R37" s="651"/>
      <c r="S37" s="179">
        <f t="shared" si="7"/>
        <v>32681700</v>
      </c>
      <c r="T37" s="191">
        <v>596578.5</v>
      </c>
      <c r="U37" s="185">
        <v>1221565.5</v>
      </c>
      <c r="V37" s="185">
        <f t="shared" si="8"/>
        <v>30681700</v>
      </c>
      <c r="W37" s="185">
        <v>15500000</v>
      </c>
      <c r="X37" s="164">
        <v>1</v>
      </c>
      <c r="Y37" s="185">
        <f t="shared" si="11"/>
        <v>6200000</v>
      </c>
      <c r="Z37" s="195">
        <f t="shared" si="3"/>
        <v>8385121.5</v>
      </c>
      <c r="AA37" s="185">
        <f t="shared" si="4"/>
        <v>1</v>
      </c>
      <c r="AB37" s="185">
        <f t="shared" si="5"/>
        <v>419256.07500000001</v>
      </c>
      <c r="AC37" s="185">
        <f t="shared" si="9"/>
        <v>31665865.425000001</v>
      </c>
      <c r="AD37" s="323"/>
      <c r="AE37" s="197"/>
      <c r="AF37" s="197"/>
      <c r="AG37" s="178">
        <f t="shared" si="10"/>
        <v>7681700</v>
      </c>
      <c r="AH37" s="672"/>
      <c r="AI37" s="196">
        <v>3</v>
      </c>
      <c r="AJ37" s="677">
        <v>5</v>
      </c>
      <c r="AK37" s="210"/>
      <c r="AL37" s="211"/>
      <c r="AM37" s="212"/>
      <c r="AN37" s="202"/>
      <c r="AO37" s="220"/>
      <c r="AP37" s="145">
        <f t="shared" si="12"/>
        <v>31681700</v>
      </c>
      <c r="AQ37" s="145">
        <f t="shared" si="13"/>
        <v>9385121.5</v>
      </c>
      <c r="AR37" s="146">
        <f t="shared" si="6"/>
        <v>469256.07500000001</v>
      </c>
      <c r="AS37" s="145">
        <f t="shared" si="14"/>
        <v>31615865.425000001</v>
      </c>
      <c r="AU37" s="170" t="s">
        <v>359</v>
      </c>
      <c r="AV37" s="214"/>
    </row>
    <row r="38" spans="1:48" s="141" customFormat="1" ht="21.75" customHeight="1">
      <c r="A38" s="117">
        <v>25</v>
      </c>
      <c r="B38" s="667" t="s">
        <v>81</v>
      </c>
      <c r="C38" s="166" t="s">
        <v>180</v>
      </c>
      <c r="D38" s="163"/>
      <c r="E38" s="174"/>
      <c r="F38" s="174"/>
      <c r="G38" s="263">
        <v>5681700</v>
      </c>
      <c r="H38" s="153"/>
      <c r="I38" s="184">
        <v>0</v>
      </c>
      <c r="J38" s="263">
        <v>1000000</v>
      </c>
      <c r="K38" s="263">
        <v>1000000</v>
      </c>
      <c r="L38" s="164"/>
      <c r="M38" s="185">
        <f>VLOOKUP(B38,'BK TT'!B46:I145,8,0)</f>
        <v>0</v>
      </c>
      <c r="N38" s="181">
        <f t="shared" si="2"/>
        <v>6000000</v>
      </c>
      <c r="O38" s="152"/>
      <c r="P38" s="153"/>
      <c r="Q38" s="651">
        <v>1000000</v>
      </c>
      <c r="R38" s="651"/>
      <c r="S38" s="179">
        <f t="shared" si="7"/>
        <v>14681700</v>
      </c>
      <c r="T38" s="191">
        <v>596578.5</v>
      </c>
      <c r="U38" s="185">
        <v>1221565.5</v>
      </c>
      <c r="V38" s="185">
        <f t="shared" si="8"/>
        <v>12681700</v>
      </c>
      <c r="W38" s="185">
        <v>15500000</v>
      </c>
      <c r="X38" s="164"/>
      <c r="Y38" s="185">
        <f t="shared" si="11"/>
        <v>0</v>
      </c>
      <c r="Z38" s="195">
        <f t="shared" si="3"/>
        <v>0</v>
      </c>
      <c r="AA38" s="185">
        <f t="shared" si="4"/>
        <v>0</v>
      </c>
      <c r="AB38" s="185">
        <f t="shared" si="5"/>
        <v>0</v>
      </c>
      <c r="AC38" s="185">
        <f t="shared" si="9"/>
        <v>14085121.5</v>
      </c>
      <c r="AD38" s="323"/>
      <c r="AE38" s="197"/>
      <c r="AF38" s="197"/>
      <c r="AG38" s="178">
        <f t="shared" si="10"/>
        <v>7681700</v>
      </c>
      <c r="AH38" s="672"/>
      <c r="AI38" s="196">
        <v>1</v>
      </c>
      <c r="AJ38" s="677">
        <v>1</v>
      </c>
      <c r="AK38" s="210"/>
      <c r="AL38" s="211"/>
      <c r="AM38" s="212"/>
      <c r="AN38" s="202"/>
      <c r="AO38" s="220"/>
      <c r="AP38" s="145">
        <f t="shared" si="12"/>
        <v>13681700</v>
      </c>
      <c r="AQ38" s="145">
        <f t="shared" si="13"/>
        <v>0</v>
      </c>
      <c r="AR38" s="146">
        <f t="shared" si="6"/>
        <v>0</v>
      </c>
      <c r="AS38" s="145">
        <f t="shared" si="14"/>
        <v>14085121.5</v>
      </c>
      <c r="AU38" s="170" t="s">
        <v>360</v>
      </c>
      <c r="AV38" s="143"/>
    </row>
    <row r="39" spans="1:48" s="141" customFormat="1" ht="21.75" customHeight="1">
      <c r="A39" s="149">
        <v>26</v>
      </c>
      <c r="B39" s="667" t="s">
        <v>82</v>
      </c>
      <c r="C39" s="162" t="s">
        <v>181</v>
      </c>
      <c r="D39" s="163"/>
      <c r="E39" s="174"/>
      <c r="F39" s="174"/>
      <c r="G39" s="263">
        <v>5681700</v>
      </c>
      <c r="H39" s="153"/>
      <c r="I39" s="184">
        <v>0</v>
      </c>
      <c r="J39" s="263">
        <v>1000000</v>
      </c>
      <c r="K39" s="263">
        <v>1000000</v>
      </c>
      <c r="L39" s="164"/>
      <c r="M39" s="628">
        <f>VLOOKUP(B39,'BK TT'!$B$6:$I$103,8,0)</f>
        <v>0</v>
      </c>
      <c r="N39" s="181">
        <f t="shared" si="2"/>
        <v>21000000</v>
      </c>
      <c r="O39" s="152"/>
      <c r="P39" s="153"/>
      <c r="Q39" s="651">
        <v>1000000</v>
      </c>
      <c r="R39" s="651"/>
      <c r="S39" s="179">
        <f t="shared" si="7"/>
        <v>29681700</v>
      </c>
      <c r="T39" s="191">
        <v>596578.5</v>
      </c>
      <c r="U39" s="185">
        <v>1221565.5</v>
      </c>
      <c r="V39" s="185">
        <f t="shared" si="8"/>
        <v>27681700</v>
      </c>
      <c r="W39" s="185">
        <v>15500000</v>
      </c>
      <c r="X39" s="164">
        <v>2</v>
      </c>
      <c r="Y39" s="185">
        <f t="shared" si="11"/>
        <v>12400000</v>
      </c>
      <c r="Z39" s="195">
        <f t="shared" si="3"/>
        <v>0</v>
      </c>
      <c r="AA39" s="185">
        <f t="shared" si="4"/>
        <v>0</v>
      </c>
      <c r="AB39" s="185">
        <f t="shared" si="5"/>
        <v>0</v>
      </c>
      <c r="AC39" s="185">
        <f t="shared" si="9"/>
        <v>29085121.5</v>
      </c>
      <c r="AD39" s="323"/>
      <c r="AE39" s="197"/>
      <c r="AF39" s="197"/>
      <c r="AG39" s="178">
        <f t="shared" si="10"/>
        <v>7681700</v>
      </c>
      <c r="AH39" s="672"/>
      <c r="AI39" s="196">
        <v>6</v>
      </c>
      <c r="AJ39" s="677">
        <v>1</v>
      </c>
      <c r="AK39" s="210"/>
      <c r="AL39" s="211"/>
      <c r="AM39" s="212"/>
      <c r="AN39" s="202"/>
      <c r="AO39" s="220"/>
      <c r="AP39" s="145">
        <f t="shared" si="12"/>
        <v>28681700</v>
      </c>
      <c r="AQ39" s="145">
        <f t="shared" si="13"/>
        <v>185121.5</v>
      </c>
      <c r="AR39" s="146">
        <f t="shared" si="6"/>
        <v>9256.0750000000007</v>
      </c>
      <c r="AS39" s="145">
        <f t="shared" si="14"/>
        <v>29075865.425000001</v>
      </c>
      <c r="AU39" s="132" t="s">
        <v>83</v>
      </c>
      <c r="AV39" s="143"/>
    </row>
    <row r="40" spans="1:48" s="141" customFormat="1" ht="21.75" customHeight="1">
      <c r="A40" s="117">
        <v>27</v>
      </c>
      <c r="B40" s="667" t="s">
        <v>84</v>
      </c>
      <c r="C40" s="166" t="s">
        <v>180</v>
      </c>
      <c r="D40" s="163"/>
      <c r="E40" s="174"/>
      <c r="F40" s="174"/>
      <c r="G40" s="263">
        <v>5681700</v>
      </c>
      <c r="H40" s="153"/>
      <c r="I40" s="184">
        <v>0</v>
      </c>
      <c r="J40" s="263">
        <v>1000000</v>
      </c>
      <c r="K40" s="263">
        <v>1000000</v>
      </c>
      <c r="L40" s="164"/>
      <c r="M40" s="628">
        <f>VLOOKUP(B40,'BK TT'!$B$6:$I$103,8,0)</f>
        <v>0</v>
      </c>
      <c r="N40" s="181">
        <f t="shared" si="2"/>
        <v>0</v>
      </c>
      <c r="O40" s="152"/>
      <c r="P40" s="153"/>
      <c r="Q40" s="651">
        <v>1000000</v>
      </c>
      <c r="R40" s="651"/>
      <c r="S40" s="179">
        <f t="shared" si="7"/>
        <v>8681700</v>
      </c>
      <c r="T40" s="191">
        <v>596578.5</v>
      </c>
      <c r="U40" s="185">
        <v>1221565.5</v>
      </c>
      <c r="V40" s="185">
        <f t="shared" si="8"/>
        <v>6681700</v>
      </c>
      <c r="W40" s="185">
        <v>15500000</v>
      </c>
      <c r="X40" s="164"/>
      <c r="Y40" s="185">
        <f t="shared" si="11"/>
        <v>0</v>
      </c>
      <c r="Z40" s="195">
        <f t="shared" si="3"/>
        <v>0</v>
      </c>
      <c r="AA40" s="185">
        <f t="shared" si="4"/>
        <v>0</v>
      </c>
      <c r="AB40" s="185">
        <f t="shared" si="5"/>
        <v>0</v>
      </c>
      <c r="AC40" s="185">
        <f t="shared" si="9"/>
        <v>8085121.5</v>
      </c>
      <c r="AD40" s="323"/>
      <c r="AE40" s="197"/>
      <c r="AF40" s="197"/>
      <c r="AG40" s="178">
        <f t="shared" si="10"/>
        <v>7681700</v>
      </c>
      <c r="AH40" s="672"/>
      <c r="AI40" s="196"/>
      <c r="AJ40" s="677"/>
      <c r="AK40" s="210"/>
      <c r="AL40" s="211"/>
      <c r="AM40" s="212"/>
      <c r="AN40" s="202"/>
      <c r="AO40" s="220"/>
      <c r="AP40" s="145">
        <f t="shared" si="12"/>
        <v>7681700</v>
      </c>
      <c r="AQ40" s="145">
        <f t="shared" si="13"/>
        <v>0</v>
      </c>
      <c r="AR40" s="146">
        <f t="shared" si="6"/>
        <v>0</v>
      </c>
      <c r="AS40" s="145">
        <f t="shared" si="14"/>
        <v>8085121.5</v>
      </c>
      <c r="AU40" s="132" t="s">
        <v>85</v>
      </c>
      <c r="AV40" s="143"/>
    </row>
    <row r="41" spans="1:48" s="141" customFormat="1" ht="21.75" customHeight="1">
      <c r="A41" s="149">
        <v>28</v>
      </c>
      <c r="B41" s="667" t="s">
        <v>86</v>
      </c>
      <c r="C41" s="166" t="s">
        <v>181</v>
      </c>
      <c r="D41" s="163"/>
      <c r="E41" s="174"/>
      <c r="F41" s="174"/>
      <c r="G41" s="263">
        <v>5681700</v>
      </c>
      <c r="H41" s="153"/>
      <c r="I41" s="184">
        <v>0</v>
      </c>
      <c r="J41" s="263">
        <v>1000000</v>
      </c>
      <c r="K41" s="263">
        <v>1000000</v>
      </c>
      <c r="L41" s="164"/>
      <c r="M41" s="628">
        <f>VLOOKUP(B41,'BK TT'!$B$6:$I$103,8,0)</f>
        <v>0</v>
      </c>
      <c r="N41" s="181">
        <f t="shared" si="2"/>
        <v>13000000</v>
      </c>
      <c r="O41" s="152"/>
      <c r="P41" s="153"/>
      <c r="Q41" s="651">
        <v>1000000</v>
      </c>
      <c r="R41" s="651"/>
      <c r="S41" s="179">
        <f t="shared" si="7"/>
        <v>21681700</v>
      </c>
      <c r="T41" s="191">
        <v>596578.5</v>
      </c>
      <c r="U41" s="185">
        <v>1221565.5</v>
      </c>
      <c r="V41" s="185">
        <f t="shared" si="8"/>
        <v>19681700</v>
      </c>
      <c r="W41" s="185">
        <v>15500000</v>
      </c>
      <c r="X41" s="164">
        <v>2</v>
      </c>
      <c r="Y41" s="185">
        <f t="shared" si="11"/>
        <v>12400000</v>
      </c>
      <c r="Z41" s="195">
        <f t="shared" si="3"/>
        <v>0</v>
      </c>
      <c r="AA41" s="185">
        <f t="shared" si="4"/>
        <v>0</v>
      </c>
      <c r="AB41" s="185">
        <f t="shared" si="5"/>
        <v>0</v>
      </c>
      <c r="AC41" s="185">
        <f t="shared" si="9"/>
        <v>21085121.5</v>
      </c>
      <c r="AD41" s="323"/>
      <c r="AE41" s="197"/>
      <c r="AF41" s="197"/>
      <c r="AG41" s="178">
        <f t="shared" si="10"/>
        <v>7681700</v>
      </c>
      <c r="AH41" s="672">
        <v>2</v>
      </c>
      <c r="AI41" s="196">
        <v>2</v>
      </c>
      <c r="AJ41" s="677">
        <v>1</v>
      </c>
      <c r="AK41" s="210"/>
      <c r="AL41" s="211"/>
      <c r="AM41" s="212"/>
      <c r="AN41" s="202"/>
      <c r="AO41" s="220"/>
      <c r="AP41" s="145">
        <f t="shared" si="12"/>
        <v>20681700</v>
      </c>
      <c r="AQ41" s="145">
        <f t="shared" si="13"/>
        <v>0</v>
      </c>
      <c r="AR41" s="146">
        <f t="shared" si="6"/>
        <v>0</v>
      </c>
      <c r="AS41" s="145">
        <f t="shared" si="14"/>
        <v>21085121.5</v>
      </c>
      <c r="AU41" s="133" t="s">
        <v>361</v>
      </c>
      <c r="AV41" s="143"/>
    </row>
    <row r="42" spans="1:48" s="141" customFormat="1" ht="21.75" customHeight="1">
      <c r="A42" s="117">
        <v>29</v>
      </c>
      <c r="B42" s="667" t="s">
        <v>87</v>
      </c>
      <c r="C42" s="166" t="s">
        <v>180</v>
      </c>
      <c r="D42" s="163"/>
      <c r="E42" s="174"/>
      <c r="F42" s="174"/>
      <c r="G42" s="263">
        <v>5681700</v>
      </c>
      <c r="H42" s="153"/>
      <c r="I42" s="184">
        <v>0</v>
      </c>
      <c r="J42" s="263">
        <v>1000000</v>
      </c>
      <c r="K42" s="263">
        <v>1000000</v>
      </c>
      <c r="L42" s="164"/>
      <c r="M42" s="628">
        <f>VLOOKUP(B42,'BK TT'!$B$6:$I$103,8,0)</f>
        <v>0</v>
      </c>
      <c r="N42" s="181">
        <f t="shared" si="2"/>
        <v>0</v>
      </c>
      <c r="O42" s="152"/>
      <c r="P42" s="153"/>
      <c r="Q42" s="651">
        <v>1000000</v>
      </c>
      <c r="R42" s="651"/>
      <c r="S42" s="179">
        <f t="shared" si="7"/>
        <v>8681700</v>
      </c>
      <c r="T42" s="191">
        <v>596578.5</v>
      </c>
      <c r="U42" s="185">
        <v>1221565.5</v>
      </c>
      <c r="V42" s="185">
        <f t="shared" si="8"/>
        <v>6681700</v>
      </c>
      <c r="W42" s="185">
        <v>15500000</v>
      </c>
      <c r="X42" s="164"/>
      <c r="Y42" s="185">
        <f t="shared" si="11"/>
        <v>0</v>
      </c>
      <c r="Z42" s="195">
        <f t="shared" si="3"/>
        <v>0</v>
      </c>
      <c r="AA42" s="185">
        <f t="shared" si="4"/>
        <v>0</v>
      </c>
      <c r="AB42" s="185">
        <f t="shared" si="5"/>
        <v>0</v>
      </c>
      <c r="AC42" s="185">
        <f t="shared" si="9"/>
        <v>8085121.5</v>
      </c>
      <c r="AD42" s="323"/>
      <c r="AE42" s="197"/>
      <c r="AF42" s="197"/>
      <c r="AG42" s="178">
        <f t="shared" si="10"/>
        <v>7681700</v>
      </c>
      <c r="AH42" s="672"/>
      <c r="AI42" s="196"/>
      <c r="AJ42" s="678"/>
      <c r="AK42" s="210"/>
      <c r="AL42" s="211"/>
      <c r="AM42" s="212"/>
      <c r="AN42" s="202"/>
      <c r="AO42" s="220"/>
      <c r="AP42" s="145">
        <f t="shared" si="12"/>
        <v>7681700</v>
      </c>
      <c r="AQ42" s="145">
        <f t="shared" si="13"/>
        <v>0</v>
      </c>
      <c r="AR42" s="146">
        <f t="shared" si="6"/>
        <v>0</v>
      </c>
      <c r="AS42" s="145">
        <f t="shared" si="14"/>
        <v>8085121.5</v>
      </c>
      <c r="AU42" s="132" t="s">
        <v>362</v>
      </c>
      <c r="AV42" s="143"/>
    </row>
    <row r="43" spans="1:48" s="143" customFormat="1" ht="21.75" customHeight="1">
      <c r="A43" s="149">
        <v>30</v>
      </c>
      <c r="B43" s="667" t="s">
        <v>90</v>
      </c>
      <c r="C43" s="162" t="s">
        <v>181</v>
      </c>
      <c r="D43" s="163"/>
      <c r="E43" s="163"/>
      <c r="F43" s="163"/>
      <c r="G43" s="263">
        <v>5681700</v>
      </c>
      <c r="H43" s="153"/>
      <c r="I43" s="184">
        <v>0</v>
      </c>
      <c r="J43" s="263">
        <v>1000000</v>
      </c>
      <c r="K43" s="263">
        <v>1000000</v>
      </c>
      <c r="L43" s="164"/>
      <c r="M43" s="628">
        <f>VLOOKUP(B43,'BK TT'!$B$6:$I$103,8,0)</f>
        <v>0</v>
      </c>
      <c r="N43" s="181">
        <f t="shared" si="2"/>
        <v>3000000</v>
      </c>
      <c r="O43" s="152"/>
      <c r="P43" s="153"/>
      <c r="Q43" s="651">
        <v>1000000</v>
      </c>
      <c r="R43" s="651"/>
      <c r="S43" s="179">
        <f t="shared" si="7"/>
        <v>11681700</v>
      </c>
      <c r="T43" s="191">
        <v>596578.5</v>
      </c>
      <c r="U43" s="185">
        <v>1221565.5</v>
      </c>
      <c r="V43" s="185">
        <f t="shared" si="8"/>
        <v>9681700</v>
      </c>
      <c r="W43" s="185">
        <v>15500000</v>
      </c>
      <c r="X43" s="164"/>
      <c r="Y43" s="185">
        <f t="shared" si="11"/>
        <v>0</v>
      </c>
      <c r="Z43" s="195">
        <f t="shared" si="3"/>
        <v>0</v>
      </c>
      <c r="AA43" s="185">
        <f t="shared" si="4"/>
        <v>0</v>
      </c>
      <c r="AB43" s="185">
        <f t="shared" si="5"/>
        <v>0</v>
      </c>
      <c r="AC43" s="185">
        <f t="shared" si="9"/>
        <v>11085121.5</v>
      </c>
      <c r="AD43" s="323"/>
      <c r="AE43" s="197"/>
      <c r="AF43" s="197"/>
      <c r="AG43" s="178">
        <f t="shared" si="10"/>
        <v>7681700</v>
      </c>
      <c r="AH43" s="672"/>
      <c r="AI43" s="196"/>
      <c r="AJ43" s="677">
        <v>1</v>
      </c>
      <c r="AK43" s="210"/>
      <c r="AL43" s="211"/>
      <c r="AM43" s="212"/>
      <c r="AN43" s="202"/>
      <c r="AO43" s="220"/>
      <c r="AP43" s="145">
        <f t="shared" si="12"/>
        <v>10681700</v>
      </c>
      <c r="AQ43" s="145">
        <f t="shared" si="13"/>
        <v>0</v>
      </c>
      <c r="AR43" s="146">
        <f t="shared" si="6"/>
        <v>0</v>
      </c>
      <c r="AS43" s="145">
        <f t="shared" si="14"/>
        <v>11085121.5</v>
      </c>
      <c r="AU43" s="132" t="s">
        <v>91</v>
      </c>
      <c r="AV43" s="214"/>
    </row>
    <row r="44" spans="1:48" s="143" customFormat="1" ht="21.75" customHeight="1">
      <c r="A44" s="117">
        <v>31</v>
      </c>
      <c r="B44" s="667" t="s">
        <v>92</v>
      </c>
      <c r="C44" s="166" t="s">
        <v>180</v>
      </c>
      <c r="D44" s="163"/>
      <c r="E44" s="163"/>
      <c r="F44" s="163"/>
      <c r="G44" s="263">
        <v>5681700</v>
      </c>
      <c r="H44" s="153"/>
      <c r="I44" s="184">
        <v>0</v>
      </c>
      <c r="J44" s="263">
        <v>1000000</v>
      </c>
      <c r="K44" s="263">
        <v>1000000</v>
      </c>
      <c r="L44" s="164"/>
      <c r="M44" s="628">
        <f>VLOOKUP(B44,'BK TT'!$B$6:$I$103,8,0)</f>
        <v>0</v>
      </c>
      <c r="N44" s="181">
        <f t="shared" si="2"/>
        <v>2000000</v>
      </c>
      <c r="O44" s="152"/>
      <c r="P44" s="153"/>
      <c r="Q44" s="651">
        <v>1000000</v>
      </c>
      <c r="R44" s="651"/>
      <c r="S44" s="179">
        <f t="shared" si="7"/>
        <v>10681700</v>
      </c>
      <c r="T44" s="191">
        <v>596578.5</v>
      </c>
      <c r="U44" s="185">
        <v>1221565.5</v>
      </c>
      <c r="V44" s="185">
        <f t="shared" si="8"/>
        <v>8681700</v>
      </c>
      <c r="W44" s="185">
        <v>15500000</v>
      </c>
      <c r="X44" s="164">
        <v>2</v>
      </c>
      <c r="Y44" s="185">
        <f t="shared" si="11"/>
        <v>12400000</v>
      </c>
      <c r="Z44" s="195">
        <f t="shared" si="3"/>
        <v>0</v>
      </c>
      <c r="AA44" s="185">
        <f t="shared" si="4"/>
        <v>0</v>
      </c>
      <c r="AB44" s="185">
        <f t="shared" si="5"/>
        <v>0</v>
      </c>
      <c r="AC44" s="185">
        <f t="shared" si="9"/>
        <v>10085121.5</v>
      </c>
      <c r="AD44" s="323"/>
      <c r="AE44" s="197"/>
      <c r="AF44" s="197"/>
      <c r="AG44" s="178">
        <f t="shared" si="10"/>
        <v>7681700</v>
      </c>
      <c r="AH44" s="672">
        <v>1</v>
      </c>
      <c r="AI44" s="196"/>
      <c r="AJ44" s="677"/>
      <c r="AK44" s="210"/>
      <c r="AL44" s="211"/>
      <c r="AM44" s="212"/>
      <c r="AN44" s="202"/>
      <c r="AO44" s="220"/>
      <c r="AP44" s="145">
        <f t="shared" si="12"/>
        <v>9681700</v>
      </c>
      <c r="AQ44" s="145">
        <f t="shared" si="13"/>
        <v>0</v>
      </c>
      <c r="AR44" s="146">
        <f t="shared" si="6"/>
        <v>0</v>
      </c>
      <c r="AS44" s="145">
        <f t="shared" si="14"/>
        <v>10085121.5</v>
      </c>
      <c r="AU44" s="170" t="s">
        <v>363</v>
      </c>
      <c r="AV44" s="214"/>
    </row>
    <row r="45" spans="1:48" s="143" customFormat="1" ht="21.75" customHeight="1">
      <c r="A45" s="149">
        <v>32</v>
      </c>
      <c r="B45" s="667" t="s">
        <v>94</v>
      </c>
      <c r="C45" s="167" t="s">
        <v>181</v>
      </c>
      <c r="D45" s="163"/>
      <c r="E45" s="163"/>
      <c r="F45" s="163"/>
      <c r="G45" s="263">
        <v>5681700</v>
      </c>
      <c r="H45" s="153"/>
      <c r="I45" s="184">
        <v>0</v>
      </c>
      <c r="J45" s="263">
        <v>1000000</v>
      </c>
      <c r="K45" s="263">
        <v>1000000</v>
      </c>
      <c r="L45" s="164"/>
      <c r="M45" s="628">
        <f>VLOOKUP(B45,'BK TT'!$B$6:$I$103,8,0)</f>
        <v>0</v>
      </c>
      <c r="N45" s="181">
        <f t="shared" si="2"/>
        <v>0</v>
      </c>
      <c r="O45" s="152"/>
      <c r="P45" s="153"/>
      <c r="Q45" s="651">
        <v>1000000</v>
      </c>
      <c r="R45" s="651"/>
      <c r="S45" s="179">
        <f t="shared" si="7"/>
        <v>8681700</v>
      </c>
      <c r="T45" s="191">
        <v>596578.5</v>
      </c>
      <c r="U45" s="185">
        <v>1221565.5</v>
      </c>
      <c r="V45" s="185">
        <f t="shared" si="8"/>
        <v>6681700</v>
      </c>
      <c r="W45" s="185">
        <v>15500000</v>
      </c>
      <c r="X45" s="164"/>
      <c r="Y45" s="185">
        <f t="shared" si="11"/>
        <v>0</v>
      </c>
      <c r="Z45" s="195">
        <f t="shared" si="3"/>
        <v>0</v>
      </c>
      <c r="AA45" s="185">
        <f t="shared" si="4"/>
        <v>0</v>
      </c>
      <c r="AB45" s="185">
        <f t="shared" si="5"/>
        <v>0</v>
      </c>
      <c r="AC45" s="185">
        <f t="shared" si="9"/>
        <v>8085121.5</v>
      </c>
      <c r="AD45" s="323"/>
      <c r="AE45" s="197"/>
      <c r="AF45" s="197"/>
      <c r="AG45" s="178">
        <f t="shared" si="10"/>
        <v>7681700</v>
      </c>
      <c r="AH45" s="672"/>
      <c r="AI45" s="196"/>
      <c r="AJ45" s="677"/>
      <c r="AK45" s="210"/>
      <c r="AL45" s="211"/>
      <c r="AM45" s="212"/>
      <c r="AN45" s="202"/>
      <c r="AO45" s="220"/>
      <c r="AP45" s="145">
        <f t="shared" si="12"/>
        <v>7681700</v>
      </c>
      <c r="AQ45" s="145">
        <f t="shared" si="13"/>
        <v>0</v>
      </c>
      <c r="AR45" s="146">
        <f t="shared" si="6"/>
        <v>0</v>
      </c>
      <c r="AS45" s="145">
        <f t="shared" si="14"/>
        <v>8085121.5</v>
      </c>
      <c r="AU45" s="133" t="s">
        <v>364</v>
      </c>
    </row>
    <row r="46" spans="1:48" s="143" customFormat="1" ht="21.75" customHeight="1">
      <c r="A46" s="117">
        <v>33</v>
      </c>
      <c r="B46" s="667" t="s">
        <v>95</v>
      </c>
      <c r="C46" s="166" t="s">
        <v>181</v>
      </c>
      <c r="D46" s="163"/>
      <c r="E46" s="163"/>
      <c r="F46" s="163"/>
      <c r="G46" s="263">
        <v>5681700</v>
      </c>
      <c r="H46" s="153"/>
      <c r="I46" s="184">
        <v>0</v>
      </c>
      <c r="J46" s="263">
        <v>1000000</v>
      </c>
      <c r="K46" s="263">
        <v>1000000</v>
      </c>
      <c r="L46" s="164"/>
      <c r="M46" s="628">
        <f>VLOOKUP(B46,'BK TT'!$B$6:$I$103,8,0)</f>
        <v>0</v>
      </c>
      <c r="N46" s="181">
        <f t="shared" si="2"/>
        <v>0</v>
      </c>
      <c r="O46" s="152"/>
      <c r="P46" s="153"/>
      <c r="Q46" s="651">
        <v>1000000</v>
      </c>
      <c r="R46" s="651"/>
      <c r="S46" s="179">
        <f t="shared" si="7"/>
        <v>8681700</v>
      </c>
      <c r="T46" s="191">
        <v>596578.5</v>
      </c>
      <c r="U46" s="185">
        <v>1221565.5</v>
      </c>
      <c r="V46" s="185">
        <f t="shared" si="8"/>
        <v>6681700</v>
      </c>
      <c r="W46" s="185">
        <v>15500000</v>
      </c>
      <c r="X46" s="164"/>
      <c r="Y46" s="185">
        <f t="shared" si="11"/>
        <v>0</v>
      </c>
      <c r="Z46" s="195">
        <f t="shared" si="3"/>
        <v>0</v>
      </c>
      <c r="AA46" s="185">
        <f t="shared" si="4"/>
        <v>0</v>
      </c>
      <c r="AB46" s="185">
        <f t="shared" si="5"/>
        <v>0</v>
      </c>
      <c r="AC46" s="185">
        <f t="shared" si="9"/>
        <v>8085121.5</v>
      </c>
      <c r="AD46" s="323"/>
      <c r="AE46" s="197"/>
      <c r="AF46" s="197"/>
      <c r="AG46" s="178">
        <f t="shared" si="10"/>
        <v>7681700</v>
      </c>
      <c r="AH46" s="672"/>
      <c r="AI46" s="196"/>
      <c r="AJ46" s="677"/>
      <c r="AK46" s="210"/>
      <c r="AL46" s="211"/>
      <c r="AM46" s="212"/>
      <c r="AN46" s="202"/>
      <c r="AO46" s="220"/>
      <c r="AP46" s="145">
        <f t="shared" si="12"/>
        <v>7681700</v>
      </c>
      <c r="AQ46" s="145">
        <f t="shared" si="13"/>
        <v>0</v>
      </c>
      <c r="AR46" s="146">
        <f t="shared" si="6"/>
        <v>0</v>
      </c>
      <c r="AS46" s="145">
        <f t="shared" si="14"/>
        <v>8085121.5</v>
      </c>
      <c r="AU46" s="170" t="s">
        <v>365</v>
      </c>
      <c r="AV46" s="214"/>
    </row>
    <row r="47" spans="1:48" s="143" customFormat="1" ht="21.75" customHeight="1">
      <c r="A47" s="149">
        <v>34</v>
      </c>
      <c r="B47" s="667" t="s">
        <v>96</v>
      </c>
      <c r="C47" s="166" t="s">
        <v>181</v>
      </c>
      <c r="D47" s="163"/>
      <c r="E47" s="163"/>
      <c r="F47" s="163"/>
      <c r="G47" s="263">
        <v>5681700</v>
      </c>
      <c r="H47" s="153"/>
      <c r="I47" s="184">
        <v>0</v>
      </c>
      <c r="J47" s="263">
        <v>1000000</v>
      </c>
      <c r="K47" s="263">
        <v>1000000</v>
      </c>
      <c r="L47" s="164"/>
      <c r="M47" s="628">
        <f>VLOOKUP(B47,'BK TT'!$B$6:$I$103,8,0)</f>
        <v>4112000</v>
      </c>
      <c r="N47" s="181">
        <f t="shared" si="2"/>
        <v>12000000</v>
      </c>
      <c r="O47" s="152"/>
      <c r="P47" s="153"/>
      <c r="Q47" s="651">
        <v>1000000</v>
      </c>
      <c r="R47" s="651"/>
      <c r="S47" s="179">
        <f t="shared" si="7"/>
        <v>24793700</v>
      </c>
      <c r="T47" s="191">
        <v>596578.5</v>
      </c>
      <c r="U47" s="185">
        <v>1221565.5</v>
      </c>
      <c r="V47" s="185">
        <f t="shared" si="8"/>
        <v>22793700</v>
      </c>
      <c r="W47" s="185">
        <v>15500000</v>
      </c>
      <c r="X47" s="164">
        <v>2</v>
      </c>
      <c r="Y47" s="185">
        <f t="shared" si="11"/>
        <v>12400000</v>
      </c>
      <c r="Z47" s="195">
        <f t="shared" si="3"/>
        <v>0</v>
      </c>
      <c r="AA47" s="185">
        <f t="shared" si="4"/>
        <v>0</v>
      </c>
      <c r="AB47" s="185">
        <f t="shared" si="5"/>
        <v>0</v>
      </c>
      <c r="AC47" s="185">
        <f t="shared" si="9"/>
        <v>24197121.5</v>
      </c>
      <c r="AD47" s="323"/>
      <c r="AE47" s="197"/>
      <c r="AF47" s="197"/>
      <c r="AG47" s="178">
        <f t="shared" ref="AG47:AG68" si="15">G47+J47+K47</f>
        <v>7681700</v>
      </c>
      <c r="AH47" s="672">
        <v>3</v>
      </c>
      <c r="AI47" s="196"/>
      <c r="AJ47" s="677">
        <v>2</v>
      </c>
      <c r="AK47" s="210"/>
      <c r="AL47" s="211"/>
      <c r="AM47" s="212"/>
      <c r="AN47" s="202"/>
      <c r="AO47" s="220" t="s">
        <v>425</v>
      </c>
      <c r="AP47" s="145">
        <f t="shared" si="12"/>
        <v>23793700</v>
      </c>
      <c r="AQ47" s="145">
        <f t="shared" si="13"/>
        <v>0</v>
      </c>
      <c r="AR47" s="146">
        <f t="shared" si="6"/>
        <v>0</v>
      </c>
      <c r="AS47" s="145">
        <f t="shared" si="14"/>
        <v>24197121.5</v>
      </c>
      <c r="AU47" s="170" t="s">
        <v>366</v>
      </c>
      <c r="AV47" s="214"/>
    </row>
    <row r="48" spans="1:48" s="143" customFormat="1" ht="21.75" customHeight="1">
      <c r="A48" s="117">
        <v>35</v>
      </c>
      <c r="B48" s="667" t="s">
        <v>97</v>
      </c>
      <c r="C48" s="166" t="s">
        <v>181</v>
      </c>
      <c r="D48" s="163"/>
      <c r="E48" s="163"/>
      <c r="F48" s="163"/>
      <c r="G48" s="263">
        <v>5681700</v>
      </c>
      <c r="H48" s="153"/>
      <c r="I48" s="184">
        <v>0</v>
      </c>
      <c r="J48" s="263">
        <v>1000000</v>
      </c>
      <c r="K48" s="263">
        <v>1000000</v>
      </c>
      <c r="L48" s="164"/>
      <c r="M48" s="628">
        <f>VLOOKUP(B48,'BK TT'!$B$6:$I$103,8,0)</f>
        <v>0</v>
      </c>
      <c r="N48" s="181">
        <f t="shared" si="2"/>
        <v>6000000</v>
      </c>
      <c r="O48" s="152"/>
      <c r="P48" s="153"/>
      <c r="Q48" s="651">
        <v>1000000</v>
      </c>
      <c r="R48" s="651"/>
      <c r="S48" s="179">
        <f t="shared" si="7"/>
        <v>14681700</v>
      </c>
      <c r="T48" s="191">
        <v>596578.5</v>
      </c>
      <c r="U48" s="185">
        <v>1221565.5</v>
      </c>
      <c r="V48" s="185">
        <f t="shared" si="8"/>
        <v>12681700</v>
      </c>
      <c r="W48" s="185">
        <v>15500000</v>
      </c>
      <c r="X48" s="164">
        <v>2</v>
      </c>
      <c r="Y48" s="185">
        <f t="shared" ref="Y48:Y68" si="16">X48*$AD$8</f>
        <v>12400000</v>
      </c>
      <c r="Z48" s="195">
        <f t="shared" si="3"/>
        <v>0</v>
      </c>
      <c r="AA48" s="185">
        <f t="shared" si="4"/>
        <v>0</v>
      </c>
      <c r="AB48" s="185">
        <f t="shared" si="5"/>
        <v>0</v>
      </c>
      <c r="AC48" s="185">
        <f t="shared" si="9"/>
        <v>14085121.5</v>
      </c>
      <c r="AD48" s="323"/>
      <c r="AE48" s="197"/>
      <c r="AF48" s="197"/>
      <c r="AG48" s="178">
        <f t="shared" si="15"/>
        <v>7681700</v>
      </c>
      <c r="AH48" s="672"/>
      <c r="AI48" s="196">
        <v>2</v>
      </c>
      <c r="AJ48" s="677"/>
      <c r="AK48" s="210"/>
      <c r="AL48" s="211"/>
      <c r="AM48" s="212"/>
      <c r="AN48" s="202"/>
      <c r="AO48" s="220"/>
      <c r="AP48" s="145">
        <f t="shared" si="12"/>
        <v>13681700</v>
      </c>
      <c r="AQ48" s="145">
        <f t="shared" si="13"/>
        <v>0</v>
      </c>
      <c r="AR48" s="146">
        <f t="shared" si="6"/>
        <v>0</v>
      </c>
      <c r="AS48" s="145">
        <f t="shared" si="14"/>
        <v>14085121.5</v>
      </c>
      <c r="AU48" s="170" t="s">
        <v>367</v>
      </c>
      <c r="AV48" s="214"/>
    </row>
    <row r="49" spans="1:48" s="143" customFormat="1" ht="21.75" customHeight="1">
      <c r="A49" s="149">
        <v>36</v>
      </c>
      <c r="B49" s="667" t="s">
        <v>98</v>
      </c>
      <c r="C49" s="162" t="s">
        <v>180</v>
      </c>
      <c r="D49" s="163"/>
      <c r="E49" s="163"/>
      <c r="F49" s="163"/>
      <c r="G49" s="263">
        <v>5681700</v>
      </c>
      <c r="H49" s="153"/>
      <c r="I49" s="184">
        <v>0</v>
      </c>
      <c r="J49" s="263">
        <v>1000000</v>
      </c>
      <c r="K49" s="263">
        <v>1000000</v>
      </c>
      <c r="L49" s="164"/>
      <c r="M49" s="628">
        <f>VLOOKUP(B49,'BK TT'!$B$6:$I$103,8,0)</f>
        <v>0</v>
      </c>
      <c r="N49" s="181">
        <f t="shared" si="2"/>
        <v>10000000</v>
      </c>
      <c r="O49" s="152"/>
      <c r="P49" s="153"/>
      <c r="Q49" s="651">
        <v>1000000</v>
      </c>
      <c r="R49" s="651"/>
      <c r="S49" s="179">
        <f t="shared" si="7"/>
        <v>18681700</v>
      </c>
      <c r="T49" s="191">
        <v>596578.5</v>
      </c>
      <c r="U49" s="185">
        <v>1221565.5</v>
      </c>
      <c r="V49" s="185">
        <f t="shared" si="8"/>
        <v>16681700</v>
      </c>
      <c r="W49" s="185">
        <v>15500000</v>
      </c>
      <c r="X49" s="164"/>
      <c r="Y49" s="185">
        <f t="shared" si="16"/>
        <v>0</v>
      </c>
      <c r="Z49" s="195">
        <f t="shared" si="3"/>
        <v>585121.5</v>
      </c>
      <c r="AA49" s="185">
        <f t="shared" si="4"/>
        <v>1</v>
      </c>
      <c r="AB49" s="185">
        <f t="shared" si="5"/>
        <v>29256.075000000001</v>
      </c>
      <c r="AC49" s="185">
        <f t="shared" si="9"/>
        <v>18055865.425000001</v>
      </c>
      <c r="AD49" s="323"/>
      <c r="AE49" s="197"/>
      <c r="AF49" s="197"/>
      <c r="AG49" s="178">
        <f t="shared" si="15"/>
        <v>7681700</v>
      </c>
      <c r="AH49" s="672">
        <v>5</v>
      </c>
      <c r="AI49" s="196"/>
      <c r="AJ49" s="677"/>
      <c r="AK49" s="210"/>
      <c r="AL49" s="211"/>
      <c r="AM49" s="212"/>
      <c r="AN49" s="202"/>
      <c r="AO49" s="220"/>
      <c r="AP49" s="145">
        <f t="shared" si="12"/>
        <v>17681700</v>
      </c>
      <c r="AQ49" s="145">
        <f t="shared" si="13"/>
        <v>1585121.5</v>
      </c>
      <c r="AR49" s="146">
        <f t="shared" si="6"/>
        <v>79256.075000000012</v>
      </c>
      <c r="AS49" s="145">
        <f t="shared" si="14"/>
        <v>18005865.425000001</v>
      </c>
      <c r="AU49" s="170" t="s">
        <v>368</v>
      </c>
      <c r="AV49" s="214"/>
    </row>
    <row r="50" spans="1:48" s="141" customFormat="1" ht="21.75" customHeight="1">
      <c r="A50" s="117">
        <v>37</v>
      </c>
      <c r="B50" s="667" t="s">
        <v>99</v>
      </c>
      <c r="C50" s="166" t="s">
        <v>181</v>
      </c>
      <c r="D50" s="163"/>
      <c r="E50" s="174"/>
      <c r="F50" s="174"/>
      <c r="G50" s="263">
        <v>5681700</v>
      </c>
      <c r="H50" s="153"/>
      <c r="I50" s="184">
        <v>0</v>
      </c>
      <c r="J50" s="263">
        <v>1000000</v>
      </c>
      <c r="K50" s="263">
        <v>1000000</v>
      </c>
      <c r="L50" s="164"/>
      <c r="M50" s="628">
        <f>VLOOKUP(B50,'BK TT'!$B$6:$I$103,8,0)</f>
        <v>0</v>
      </c>
      <c r="N50" s="181">
        <f t="shared" si="2"/>
        <v>3000000</v>
      </c>
      <c r="O50" s="152"/>
      <c r="P50" s="153"/>
      <c r="Q50" s="651">
        <v>1000000</v>
      </c>
      <c r="R50" s="651"/>
      <c r="S50" s="179">
        <f t="shared" si="7"/>
        <v>11681700</v>
      </c>
      <c r="T50" s="191">
        <v>596578.5</v>
      </c>
      <c r="U50" s="185">
        <v>1221565.5</v>
      </c>
      <c r="V50" s="185">
        <f t="shared" si="8"/>
        <v>9681700</v>
      </c>
      <c r="W50" s="185">
        <v>15500000</v>
      </c>
      <c r="X50" s="164"/>
      <c r="Y50" s="185">
        <f t="shared" si="16"/>
        <v>0</v>
      </c>
      <c r="Z50" s="195">
        <f t="shared" si="3"/>
        <v>0</v>
      </c>
      <c r="AA50" s="185">
        <f t="shared" si="4"/>
        <v>0</v>
      </c>
      <c r="AB50" s="185">
        <f t="shared" si="5"/>
        <v>0</v>
      </c>
      <c r="AC50" s="185">
        <f t="shared" si="9"/>
        <v>11085121.5</v>
      </c>
      <c r="AD50" s="323"/>
      <c r="AE50" s="197"/>
      <c r="AF50" s="197"/>
      <c r="AG50" s="178">
        <f t="shared" si="15"/>
        <v>7681700</v>
      </c>
      <c r="AH50" s="672"/>
      <c r="AI50" s="196">
        <v>1</v>
      </c>
      <c r="AJ50" s="677"/>
      <c r="AK50" s="210"/>
      <c r="AL50" s="211"/>
      <c r="AM50" s="212"/>
      <c r="AN50" s="202"/>
      <c r="AO50" s="220"/>
      <c r="AP50" s="145">
        <f t="shared" si="12"/>
        <v>10681700</v>
      </c>
      <c r="AQ50" s="145">
        <f t="shared" si="13"/>
        <v>0</v>
      </c>
      <c r="AR50" s="146">
        <f t="shared" si="6"/>
        <v>0</v>
      </c>
      <c r="AS50" s="145">
        <f t="shared" si="14"/>
        <v>11085121.5</v>
      </c>
      <c r="AU50" s="170" t="s">
        <v>100</v>
      </c>
      <c r="AV50" s="143"/>
    </row>
    <row r="51" spans="1:48" s="141" customFormat="1" ht="21.75" customHeight="1">
      <c r="A51" s="149">
        <v>38</v>
      </c>
      <c r="B51" s="667" t="s">
        <v>101</v>
      </c>
      <c r="C51" s="166" t="s">
        <v>180</v>
      </c>
      <c r="D51" s="163"/>
      <c r="E51" s="174"/>
      <c r="F51" s="174"/>
      <c r="G51" s="263">
        <v>5681700</v>
      </c>
      <c r="H51" s="153"/>
      <c r="I51" s="184">
        <v>0</v>
      </c>
      <c r="J51" s="263">
        <v>1000000</v>
      </c>
      <c r="K51" s="263">
        <v>1000000</v>
      </c>
      <c r="L51" s="164"/>
      <c r="M51" s="628">
        <f>VLOOKUP(B51,'BK TT'!$B$6:$I$103,8,0)</f>
        <v>0</v>
      </c>
      <c r="N51" s="181">
        <f t="shared" si="2"/>
        <v>0</v>
      </c>
      <c r="O51" s="152"/>
      <c r="P51" s="153"/>
      <c r="Q51" s="651">
        <v>1000000</v>
      </c>
      <c r="R51" s="651"/>
      <c r="S51" s="179">
        <f t="shared" si="7"/>
        <v>8681700</v>
      </c>
      <c r="T51" s="191">
        <v>596578.5</v>
      </c>
      <c r="U51" s="185">
        <v>1221565.5</v>
      </c>
      <c r="V51" s="185">
        <f t="shared" si="8"/>
        <v>6681700</v>
      </c>
      <c r="W51" s="185">
        <v>15500000</v>
      </c>
      <c r="X51" s="164"/>
      <c r="Y51" s="185">
        <f t="shared" si="16"/>
        <v>0</v>
      </c>
      <c r="Z51" s="195">
        <f t="shared" si="3"/>
        <v>0</v>
      </c>
      <c r="AA51" s="185">
        <f t="shared" si="4"/>
        <v>0</v>
      </c>
      <c r="AB51" s="185">
        <f t="shared" si="5"/>
        <v>0</v>
      </c>
      <c r="AC51" s="185">
        <f t="shared" si="9"/>
        <v>8085121.5</v>
      </c>
      <c r="AD51" s="323"/>
      <c r="AE51" s="197"/>
      <c r="AF51" s="197"/>
      <c r="AG51" s="178">
        <f t="shared" si="15"/>
        <v>7681700</v>
      </c>
      <c r="AH51" s="672"/>
      <c r="AI51" s="196"/>
      <c r="AJ51" s="677"/>
      <c r="AK51" s="210"/>
      <c r="AL51" s="211"/>
      <c r="AM51" s="212"/>
      <c r="AN51" s="202"/>
      <c r="AO51" s="220"/>
      <c r="AP51" s="145">
        <f t="shared" si="12"/>
        <v>7681700</v>
      </c>
      <c r="AQ51" s="145">
        <f t="shared" si="13"/>
        <v>0</v>
      </c>
      <c r="AR51" s="146">
        <f t="shared" si="6"/>
        <v>0</v>
      </c>
      <c r="AS51" s="145">
        <f t="shared" si="14"/>
        <v>8085121.5</v>
      </c>
      <c r="AU51" s="170" t="s">
        <v>102</v>
      </c>
      <c r="AV51" s="214"/>
    </row>
    <row r="52" spans="1:48" s="141" customFormat="1" ht="21.75" customHeight="1">
      <c r="A52" s="117">
        <v>39</v>
      </c>
      <c r="B52" s="667" t="s">
        <v>103</v>
      </c>
      <c r="C52" s="166" t="s">
        <v>183</v>
      </c>
      <c r="D52" s="163"/>
      <c r="E52" s="174"/>
      <c r="F52" s="174"/>
      <c r="G52" s="263">
        <v>5681700</v>
      </c>
      <c r="H52" s="153"/>
      <c r="I52" s="184">
        <v>0</v>
      </c>
      <c r="J52" s="263">
        <v>1000000</v>
      </c>
      <c r="K52" s="263">
        <v>1000000</v>
      </c>
      <c r="L52" s="164"/>
      <c r="M52" s="628">
        <f>VLOOKUP(B52,'BK TT'!$B$6:$I$103,8,0)</f>
        <v>12448246</v>
      </c>
      <c r="N52" s="181">
        <f t="shared" si="2"/>
        <v>9000000</v>
      </c>
      <c r="O52" s="152"/>
      <c r="P52" s="153"/>
      <c r="Q52" s="651">
        <v>1000000</v>
      </c>
      <c r="R52" s="651"/>
      <c r="S52" s="179">
        <f t="shared" si="7"/>
        <v>30129946</v>
      </c>
      <c r="T52" s="191">
        <v>596578.5</v>
      </c>
      <c r="U52" s="185">
        <v>1221565.5</v>
      </c>
      <c r="V52" s="185">
        <f t="shared" si="8"/>
        <v>28129946</v>
      </c>
      <c r="W52" s="185">
        <v>15500000</v>
      </c>
      <c r="X52" s="164"/>
      <c r="Y52" s="185">
        <f t="shared" si="16"/>
        <v>0</v>
      </c>
      <c r="Z52" s="195">
        <f t="shared" si="3"/>
        <v>12033367.5</v>
      </c>
      <c r="AA52" s="185">
        <f t="shared" si="4"/>
        <v>2</v>
      </c>
      <c r="AB52" s="185">
        <f t="shared" si="5"/>
        <v>703336.75</v>
      </c>
      <c r="AC52" s="185">
        <f t="shared" si="9"/>
        <v>28830030.75</v>
      </c>
      <c r="AD52" s="323"/>
      <c r="AE52" s="197"/>
      <c r="AF52" s="197"/>
      <c r="AG52" s="178">
        <f t="shared" si="15"/>
        <v>7681700</v>
      </c>
      <c r="AH52" s="672"/>
      <c r="AI52" s="196">
        <v>3</v>
      </c>
      <c r="AJ52" s="677"/>
      <c r="AK52" s="210"/>
      <c r="AL52" s="211"/>
      <c r="AM52" s="212"/>
      <c r="AN52" s="202"/>
      <c r="AO52" s="220"/>
      <c r="AP52" s="145">
        <f t="shared" si="12"/>
        <v>29129946</v>
      </c>
      <c r="AQ52" s="145">
        <f t="shared" si="13"/>
        <v>13033367.5</v>
      </c>
      <c r="AR52" s="146">
        <f t="shared" si="6"/>
        <v>803336.75</v>
      </c>
      <c r="AS52" s="145">
        <f t="shared" si="14"/>
        <v>28730030.75</v>
      </c>
      <c r="AU52" s="170" t="s">
        <v>369</v>
      </c>
      <c r="AV52" s="214"/>
    </row>
    <row r="53" spans="1:48" s="141" customFormat="1" ht="21.75" customHeight="1">
      <c r="A53" s="149">
        <v>40</v>
      </c>
      <c r="B53" s="667" t="s">
        <v>104</v>
      </c>
      <c r="C53" s="166" t="s">
        <v>180</v>
      </c>
      <c r="D53" s="163"/>
      <c r="E53" s="174"/>
      <c r="F53" s="174"/>
      <c r="G53" s="263">
        <v>5681700</v>
      </c>
      <c r="H53" s="153"/>
      <c r="I53" s="184">
        <v>0</v>
      </c>
      <c r="J53" s="263">
        <v>1000000</v>
      </c>
      <c r="K53" s="263">
        <v>1000000</v>
      </c>
      <c r="L53" s="164"/>
      <c r="M53" s="628">
        <f>VLOOKUP(B53,'BK TT'!$B$6:$I$103,8,0)</f>
        <v>0</v>
      </c>
      <c r="N53" s="181">
        <f t="shared" si="2"/>
        <v>12000000</v>
      </c>
      <c r="O53" s="152"/>
      <c r="P53" s="153"/>
      <c r="Q53" s="651">
        <v>1000000</v>
      </c>
      <c r="R53" s="651"/>
      <c r="S53" s="179">
        <f t="shared" si="7"/>
        <v>20681700</v>
      </c>
      <c r="T53" s="191">
        <v>596578.5</v>
      </c>
      <c r="U53" s="185">
        <v>1221565.5</v>
      </c>
      <c r="V53" s="185">
        <f t="shared" si="8"/>
        <v>18681700</v>
      </c>
      <c r="W53" s="185">
        <v>15500000</v>
      </c>
      <c r="X53" s="164"/>
      <c r="Y53" s="185">
        <f t="shared" si="16"/>
        <v>0</v>
      </c>
      <c r="Z53" s="195">
        <f t="shared" si="3"/>
        <v>2585121.5</v>
      </c>
      <c r="AA53" s="185">
        <f t="shared" si="4"/>
        <v>1</v>
      </c>
      <c r="AB53" s="185">
        <f t="shared" si="5"/>
        <v>129256.07500000001</v>
      </c>
      <c r="AC53" s="185">
        <f t="shared" si="9"/>
        <v>19955865.425000001</v>
      </c>
      <c r="AD53" s="323"/>
      <c r="AE53" s="197"/>
      <c r="AF53" s="197"/>
      <c r="AG53" s="178">
        <f t="shared" si="15"/>
        <v>7681700</v>
      </c>
      <c r="AH53" s="672">
        <v>3</v>
      </c>
      <c r="AI53" s="196">
        <v>2</v>
      </c>
      <c r="AJ53" s="677"/>
      <c r="AK53" s="210"/>
      <c r="AL53" s="211"/>
      <c r="AM53" s="212"/>
      <c r="AN53" s="202"/>
      <c r="AO53" s="220"/>
      <c r="AP53" s="145">
        <f t="shared" si="12"/>
        <v>19681700</v>
      </c>
      <c r="AQ53" s="145">
        <f t="shared" si="13"/>
        <v>3585121.5</v>
      </c>
      <c r="AR53" s="146">
        <f t="shared" si="6"/>
        <v>179256.07500000001</v>
      </c>
      <c r="AS53" s="145">
        <f t="shared" si="14"/>
        <v>19905865.425000001</v>
      </c>
      <c r="AU53" s="170" t="s">
        <v>370</v>
      </c>
      <c r="AV53" s="214"/>
    </row>
    <row r="54" spans="1:48" s="141" customFormat="1" ht="21.75" customHeight="1">
      <c r="A54" s="117">
        <v>41</v>
      </c>
      <c r="B54" s="667" t="s">
        <v>105</v>
      </c>
      <c r="C54" s="162" t="s">
        <v>181</v>
      </c>
      <c r="D54" s="163"/>
      <c r="E54" s="174"/>
      <c r="F54" s="174"/>
      <c r="G54" s="263">
        <v>5681700</v>
      </c>
      <c r="H54" s="153"/>
      <c r="I54" s="184">
        <v>0</v>
      </c>
      <c r="J54" s="263">
        <v>1000000</v>
      </c>
      <c r="K54" s="263">
        <v>1000000</v>
      </c>
      <c r="L54" s="164"/>
      <c r="M54" s="628">
        <f>VLOOKUP(B54,'BK TT'!$B$6:$I$103,8,0)</f>
        <v>0</v>
      </c>
      <c r="N54" s="181">
        <f t="shared" si="2"/>
        <v>17000000</v>
      </c>
      <c r="O54" s="152"/>
      <c r="P54" s="153"/>
      <c r="Q54" s="651">
        <v>1000000</v>
      </c>
      <c r="R54" s="651"/>
      <c r="S54" s="179">
        <f t="shared" si="7"/>
        <v>25681700</v>
      </c>
      <c r="T54" s="191">
        <v>596578.5</v>
      </c>
      <c r="U54" s="185">
        <v>1221565.5</v>
      </c>
      <c r="V54" s="185">
        <f t="shared" si="8"/>
        <v>23681700</v>
      </c>
      <c r="W54" s="185">
        <v>15500000</v>
      </c>
      <c r="X54" s="164">
        <v>1</v>
      </c>
      <c r="Y54" s="185">
        <f t="shared" si="16"/>
        <v>6200000</v>
      </c>
      <c r="Z54" s="195">
        <f t="shared" si="3"/>
        <v>1385121.5</v>
      </c>
      <c r="AA54" s="185">
        <v>1</v>
      </c>
      <c r="AB54" s="185">
        <f t="shared" si="5"/>
        <v>69256.074999999997</v>
      </c>
      <c r="AC54" s="185">
        <f>S54-T54-AB54</f>
        <v>25015865.425000001</v>
      </c>
      <c r="AD54" s="323"/>
      <c r="AE54" s="197"/>
      <c r="AF54" s="197"/>
      <c r="AG54" s="178">
        <f t="shared" si="15"/>
        <v>7681700</v>
      </c>
      <c r="AH54" s="672">
        <v>1</v>
      </c>
      <c r="AI54" s="196">
        <v>1</v>
      </c>
      <c r="AJ54" s="677">
        <v>4</v>
      </c>
      <c r="AK54" s="210"/>
      <c r="AL54" s="211"/>
      <c r="AM54" s="212"/>
      <c r="AN54" s="202"/>
      <c r="AO54" s="220"/>
      <c r="AP54" s="145">
        <f t="shared" si="12"/>
        <v>24681700</v>
      </c>
      <c r="AQ54" s="145">
        <f t="shared" si="13"/>
        <v>2385121.5</v>
      </c>
      <c r="AR54" s="146">
        <f t="shared" si="6"/>
        <v>119256.07500000001</v>
      </c>
      <c r="AS54" s="145">
        <f t="shared" si="14"/>
        <v>24965865.425000001</v>
      </c>
      <c r="AU54" s="132" t="s">
        <v>106</v>
      </c>
      <c r="AV54" s="214"/>
    </row>
    <row r="55" spans="1:48" s="141" customFormat="1" ht="21.75" customHeight="1">
      <c r="A55" s="149">
        <v>42</v>
      </c>
      <c r="B55" s="667" t="s">
        <v>107</v>
      </c>
      <c r="C55" s="166" t="s">
        <v>180</v>
      </c>
      <c r="D55" s="163"/>
      <c r="E55" s="174"/>
      <c r="F55" s="174"/>
      <c r="G55" s="263">
        <v>5681700</v>
      </c>
      <c r="H55" s="153"/>
      <c r="I55" s="184">
        <v>0</v>
      </c>
      <c r="J55" s="263">
        <v>1000000</v>
      </c>
      <c r="K55" s="263">
        <v>1000000</v>
      </c>
      <c r="L55" s="164"/>
      <c r="M55" s="628">
        <f>VLOOKUP(B55,'BK TT'!$B$6:$I$103,8,0)</f>
        <v>0</v>
      </c>
      <c r="N55" s="181">
        <f t="shared" si="2"/>
        <v>0</v>
      </c>
      <c r="O55" s="152"/>
      <c r="P55" s="153"/>
      <c r="Q55" s="651">
        <v>1000000</v>
      </c>
      <c r="R55" s="651"/>
      <c r="S55" s="179">
        <f t="shared" si="7"/>
        <v>8681700</v>
      </c>
      <c r="T55" s="191">
        <v>596578.5</v>
      </c>
      <c r="U55" s="185">
        <v>1221565.5</v>
      </c>
      <c r="V55" s="185">
        <f t="shared" si="8"/>
        <v>6681700</v>
      </c>
      <c r="W55" s="185">
        <v>15500000</v>
      </c>
      <c r="X55" s="164"/>
      <c r="Y55" s="185">
        <f t="shared" si="16"/>
        <v>0</v>
      </c>
      <c r="Z55" s="195">
        <f t="shared" si="3"/>
        <v>0</v>
      </c>
      <c r="AA55" s="185">
        <f t="shared" si="4"/>
        <v>0</v>
      </c>
      <c r="AB55" s="185">
        <f t="shared" si="5"/>
        <v>0</v>
      </c>
      <c r="AC55" s="185">
        <f t="shared" si="9"/>
        <v>8085121.5</v>
      </c>
      <c r="AD55" s="323"/>
      <c r="AE55" s="197"/>
      <c r="AF55" s="197"/>
      <c r="AG55" s="178">
        <f t="shared" si="15"/>
        <v>7681700</v>
      </c>
      <c r="AH55" s="672"/>
      <c r="AI55" s="196"/>
      <c r="AJ55" s="677"/>
      <c r="AK55" s="210"/>
      <c r="AL55" s="211"/>
      <c r="AM55" s="212"/>
      <c r="AN55" s="202"/>
      <c r="AO55" s="220"/>
      <c r="AP55" s="145">
        <f t="shared" si="12"/>
        <v>7681700</v>
      </c>
      <c r="AQ55" s="145">
        <f t="shared" si="13"/>
        <v>0</v>
      </c>
      <c r="AR55" s="146">
        <f t="shared" si="6"/>
        <v>0</v>
      </c>
      <c r="AS55" s="145">
        <f t="shared" si="14"/>
        <v>8085121.5</v>
      </c>
      <c r="AU55" s="170" t="s">
        <v>371</v>
      </c>
      <c r="AV55" s="143"/>
    </row>
    <row r="56" spans="1:48" s="141" customFormat="1" ht="21.75" customHeight="1">
      <c r="A56" s="117">
        <v>43</v>
      </c>
      <c r="B56" s="667" t="s">
        <v>108</v>
      </c>
      <c r="C56" s="166" t="s">
        <v>181</v>
      </c>
      <c r="D56" s="163"/>
      <c r="E56" s="174"/>
      <c r="F56" s="174"/>
      <c r="G56" s="263">
        <v>5681700</v>
      </c>
      <c r="H56" s="153"/>
      <c r="I56" s="184">
        <v>0</v>
      </c>
      <c r="J56" s="263">
        <v>1000000</v>
      </c>
      <c r="K56" s="263">
        <v>1000000</v>
      </c>
      <c r="L56" s="164"/>
      <c r="M56" s="628">
        <f>VLOOKUP(B56,'BK TT'!$B$6:$I$103,8,0)</f>
        <v>0</v>
      </c>
      <c r="N56" s="181">
        <f t="shared" si="2"/>
        <v>51000000</v>
      </c>
      <c r="O56" s="152"/>
      <c r="P56" s="153"/>
      <c r="Q56" s="651">
        <v>1000000</v>
      </c>
      <c r="R56" s="651"/>
      <c r="S56" s="179">
        <f t="shared" si="7"/>
        <v>59681700</v>
      </c>
      <c r="T56" s="191">
        <v>596578.5</v>
      </c>
      <c r="U56" s="185">
        <v>1221565.5</v>
      </c>
      <c r="V56" s="185">
        <f t="shared" si="8"/>
        <v>57681700</v>
      </c>
      <c r="W56" s="185">
        <v>15500000</v>
      </c>
      <c r="X56" s="164"/>
      <c r="Y56" s="185">
        <f t="shared" si="16"/>
        <v>0</v>
      </c>
      <c r="Z56" s="195">
        <f t="shared" si="3"/>
        <v>41585121.5</v>
      </c>
      <c r="AA56" s="185">
        <f t="shared" si="4"/>
        <v>3</v>
      </c>
      <c r="AB56" s="185">
        <f t="shared" si="5"/>
        <v>4817024.3000000007</v>
      </c>
      <c r="AC56" s="185">
        <f t="shared" si="9"/>
        <v>54268097.200000003</v>
      </c>
      <c r="AD56" s="323"/>
      <c r="AE56" s="346"/>
      <c r="AF56" s="346"/>
      <c r="AG56" s="178">
        <f t="shared" si="15"/>
        <v>7681700</v>
      </c>
      <c r="AH56" s="672"/>
      <c r="AI56" s="196">
        <v>8</v>
      </c>
      <c r="AJ56" s="677">
        <v>9</v>
      </c>
      <c r="AK56" s="210"/>
      <c r="AL56" s="211"/>
      <c r="AM56" s="212"/>
      <c r="AN56" s="202"/>
      <c r="AO56" s="220"/>
      <c r="AP56" s="145">
        <f t="shared" si="12"/>
        <v>58681700</v>
      </c>
      <c r="AQ56" s="145">
        <f t="shared" si="13"/>
        <v>42585121.5</v>
      </c>
      <c r="AR56" s="146">
        <f t="shared" si="6"/>
        <v>5017024.3000000007</v>
      </c>
      <c r="AS56" s="145">
        <f t="shared" si="14"/>
        <v>54068097.200000003</v>
      </c>
      <c r="AU56" s="170" t="s">
        <v>372</v>
      </c>
      <c r="AV56" s="143"/>
    </row>
    <row r="57" spans="1:48" s="141" customFormat="1" ht="21.75" customHeight="1">
      <c r="A57" s="149">
        <v>44</v>
      </c>
      <c r="B57" s="638" t="s">
        <v>109</v>
      </c>
      <c r="C57" s="166" t="s">
        <v>180</v>
      </c>
      <c r="D57" s="163"/>
      <c r="E57" s="174"/>
      <c r="F57" s="174"/>
      <c r="G57" s="263">
        <v>5681700</v>
      </c>
      <c r="H57" s="153"/>
      <c r="I57" s="184">
        <v>0</v>
      </c>
      <c r="J57" s="263">
        <v>1000000</v>
      </c>
      <c r="K57" s="263">
        <v>1000000</v>
      </c>
      <c r="L57" s="164"/>
      <c r="M57" s="628">
        <f>VLOOKUP(B57,'BK TT'!$B$6:$I$103,8,0)</f>
        <v>0</v>
      </c>
      <c r="N57" s="181">
        <f t="shared" si="2"/>
        <v>6000000</v>
      </c>
      <c r="O57" s="152"/>
      <c r="P57" s="153"/>
      <c r="Q57" s="651">
        <v>1000000</v>
      </c>
      <c r="R57" s="651"/>
      <c r="S57" s="179">
        <f t="shared" si="7"/>
        <v>14681700</v>
      </c>
      <c r="T57" s="191">
        <v>596578.5</v>
      </c>
      <c r="U57" s="185">
        <v>1221565.5</v>
      </c>
      <c r="V57" s="185">
        <f t="shared" si="8"/>
        <v>12681700</v>
      </c>
      <c r="W57" s="185">
        <v>15500000</v>
      </c>
      <c r="X57" s="164">
        <v>1</v>
      </c>
      <c r="Y57" s="185">
        <f t="shared" si="16"/>
        <v>6200000</v>
      </c>
      <c r="Z57" s="195">
        <f t="shared" si="3"/>
        <v>0</v>
      </c>
      <c r="AA57" s="185">
        <f t="shared" si="4"/>
        <v>0</v>
      </c>
      <c r="AB57" s="185">
        <f t="shared" si="5"/>
        <v>0</v>
      </c>
      <c r="AC57" s="185">
        <f t="shared" si="9"/>
        <v>14085121.5</v>
      </c>
      <c r="AD57" s="323"/>
      <c r="AE57" s="197"/>
      <c r="AF57" s="197"/>
      <c r="AG57" s="178">
        <f t="shared" si="15"/>
        <v>7681700</v>
      </c>
      <c r="AH57" s="672">
        <v>3</v>
      </c>
      <c r="AI57" s="196"/>
      <c r="AJ57" s="677"/>
      <c r="AK57" s="210"/>
      <c r="AL57" s="211"/>
      <c r="AM57" s="212"/>
      <c r="AN57" s="202"/>
      <c r="AO57" s="220"/>
      <c r="AP57" s="145">
        <f t="shared" si="12"/>
        <v>13681700</v>
      </c>
      <c r="AQ57" s="145">
        <f t="shared" si="13"/>
        <v>0</v>
      </c>
      <c r="AR57" s="146">
        <f t="shared" si="6"/>
        <v>0</v>
      </c>
      <c r="AS57" s="145">
        <f t="shared" si="14"/>
        <v>14085121.5</v>
      </c>
      <c r="AU57" s="171" t="s">
        <v>373</v>
      </c>
      <c r="AV57" s="143"/>
    </row>
    <row r="58" spans="1:48" s="141" customFormat="1" ht="21.75" customHeight="1">
      <c r="A58" s="117">
        <v>45</v>
      </c>
      <c r="B58" s="638" t="s">
        <v>110</v>
      </c>
      <c r="C58" s="166" t="s">
        <v>180</v>
      </c>
      <c r="D58" s="222"/>
      <c r="E58" s="174"/>
      <c r="F58" s="174"/>
      <c r="G58" s="362">
        <v>5681700</v>
      </c>
      <c r="H58" s="153"/>
      <c r="I58" s="184">
        <v>0</v>
      </c>
      <c r="J58" s="263">
        <v>1000000</v>
      </c>
      <c r="K58" s="263">
        <v>1000000</v>
      </c>
      <c r="L58" s="164"/>
      <c r="M58" s="628">
        <f>VLOOKUP(B58,'BK TT'!$B$6:$I$103,8,0)</f>
        <v>0</v>
      </c>
      <c r="N58" s="181">
        <f t="shared" si="2"/>
        <v>12000000</v>
      </c>
      <c r="O58" s="152"/>
      <c r="P58" s="153"/>
      <c r="Q58" s="651">
        <v>1000000</v>
      </c>
      <c r="R58" s="651"/>
      <c r="S58" s="179">
        <f t="shared" si="7"/>
        <v>20681700</v>
      </c>
      <c r="T58" s="191">
        <v>596578.5</v>
      </c>
      <c r="U58" s="191">
        <v>1221565.5</v>
      </c>
      <c r="V58" s="185">
        <f t="shared" si="8"/>
        <v>18681700</v>
      </c>
      <c r="W58" s="185">
        <v>15500000</v>
      </c>
      <c r="X58" s="164"/>
      <c r="Y58" s="185">
        <f t="shared" si="16"/>
        <v>0</v>
      </c>
      <c r="Z58" s="195">
        <f t="shared" si="3"/>
        <v>2585121.5</v>
      </c>
      <c r="AA58" s="185">
        <f t="shared" si="4"/>
        <v>1</v>
      </c>
      <c r="AB58" s="185">
        <f t="shared" si="5"/>
        <v>129256.07500000001</v>
      </c>
      <c r="AC58" s="185">
        <f t="shared" si="9"/>
        <v>19955865.425000001</v>
      </c>
      <c r="AD58" s="323"/>
      <c r="AE58" s="197"/>
      <c r="AF58" s="197"/>
      <c r="AG58" s="178">
        <f t="shared" si="15"/>
        <v>7681700</v>
      </c>
      <c r="AH58" s="672"/>
      <c r="AI58" s="196">
        <v>1</v>
      </c>
      <c r="AJ58" s="677">
        <v>3</v>
      </c>
      <c r="AK58" s="210"/>
      <c r="AL58" s="211"/>
      <c r="AM58" s="212"/>
      <c r="AN58" s="202"/>
      <c r="AO58" s="220"/>
      <c r="AP58" s="145">
        <f t="shared" si="12"/>
        <v>19681700</v>
      </c>
      <c r="AQ58" s="145">
        <f t="shared" si="13"/>
        <v>3585121.5</v>
      </c>
      <c r="AR58" s="146">
        <f t="shared" si="6"/>
        <v>179256.07500000001</v>
      </c>
      <c r="AS58" s="145">
        <f t="shared" si="14"/>
        <v>19905865.425000001</v>
      </c>
      <c r="AU58" s="221" t="s">
        <v>374</v>
      </c>
      <c r="AV58" s="214"/>
    </row>
    <row r="59" spans="1:48" s="141" customFormat="1" ht="21.75" customHeight="1">
      <c r="A59" s="149">
        <v>46</v>
      </c>
      <c r="B59" s="638" t="s">
        <v>88</v>
      </c>
      <c r="C59" s="166"/>
      <c r="D59" s="163"/>
      <c r="E59" s="174"/>
      <c r="F59" s="174"/>
      <c r="G59" s="263">
        <v>5681700</v>
      </c>
      <c r="H59" s="153"/>
      <c r="I59" s="184">
        <v>0</v>
      </c>
      <c r="J59" s="263">
        <v>1000000</v>
      </c>
      <c r="K59" s="263">
        <v>1000000</v>
      </c>
      <c r="L59" s="164"/>
      <c r="M59" s="628"/>
      <c r="N59" s="181">
        <f t="shared" si="2"/>
        <v>0</v>
      </c>
      <c r="O59" s="152"/>
      <c r="P59" s="153"/>
      <c r="Q59" s="651">
        <v>1000000</v>
      </c>
      <c r="R59" s="651"/>
      <c r="S59" s="179">
        <f t="shared" si="7"/>
        <v>8681700</v>
      </c>
      <c r="T59" s="191">
        <v>596578.5</v>
      </c>
      <c r="U59" s="185">
        <v>1221565.5</v>
      </c>
      <c r="V59" s="185">
        <f t="shared" si="8"/>
        <v>6681700</v>
      </c>
      <c r="W59" s="185">
        <v>15500000</v>
      </c>
      <c r="X59" s="164"/>
      <c r="Y59" s="185">
        <f t="shared" si="16"/>
        <v>0</v>
      </c>
      <c r="Z59" s="195">
        <f t="shared" si="3"/>
        <v>0</v>
      </c>
      <c r="AA59" s="185">
        <f t="shared" si="4"/>
        <v>0</v>
      </c>
      <c r="AB59" s="185">
        <f t="shared" si="5"/>
        <v>0</v>
      </c>
      <c r="AC59" s="185">
        <f t="shared" si="9"/>
        <v>8085121.5</v>
      </c>
      <c r="AD59" s="323"/>
      <c r="AE59" s="197"/>
      <c r="AF59" s="197"/>
      <c r="AG59" s="178">
        <f t="shared" si="15"/>
        <v>7681700</v>
      </c>
      <c r="AH59" s="672"/>
      <c r="AI59" s="196"/>
      <c r="AJ59" s="677"/>
      <c r="AK59" s="210"/>
      <c r="AL59" s="211"/>
      <c r="AM59" s="212"/>
      <c r="AN59" s="202"/>
      <c r="AO59" s="220"/>
      <c r="AP59" s="145"/>
      <c r="AQ59" s="145"/>
      <c r="AR59" s="146"/>
      <c r="AS59" s="145"/>
      <c r="AU59" s="171"/>
      <c r="AV59" s="143"/>
    </row>
    <row r="60" spans="1:48" s="141" customFormat="1" ht="21.75" customHeight="1">
      <c r="A60" s="117">
        <v>47</v>
      </c>
      <c r="B60" s="638" t="s">
        <v>111</v>
      </c>
      <c r="C60" s="166" t="s">
        <v>181</v>
      </c>
      <c r="D60" s="163"/>
      <c r="E60" s="174"/>
      <c r="F60" s="174"/>
      <c r="G60" s="263">
        <v>7205904</v>
      </c>
      <c r="H60" s="153"/>
      <c r="I60" s="184">
        <v>0</v>
      </c>
      <c r="J60" s="263">
        <v>1000000</v>
      </c>
      <c r="K60" s="263">
        <v>1000000</v>
      </c>
      <c r="L60" s="164"/>
      <c r="M60" s="628">
        <f>VLOOKUP(B60,'BK TT'!$B$6:$I$103,8,0)</f>
        <v>0</v>
      </c>
      <c r="N60" s="181">
        <f t="shared" si="2"/>
        <v>0</v>
      </c>
      <c r="O60" s="152"/>
      <c r="P60" s="153"/>
      <c r="Q60" s="651">
        <v>1500000</v>
      </c>
      <c r="R60" s="651"/>
      <c r="S60" s="179">
        <f t="shared" si="7"/>
        <v>10705904</v>
      </c>
      <c r="T60" s="191"/>
      <c r="U60" s="185"/>
      <c r="V60" s="185">
        <f t="shared" si="8"/>
        <v>8205904</v>
      </c>
      <c r="W60" s="185">
        <v>15500000</v>
      </c>
      <c r="X60" s="164"/>
      <c r="Y60" s="185">
        <f t="shared" si="16"/>
        <v>0</v>
      </c>
      <c r="Z60" s="195">
        <f t="shared" si="3"/>
        <v>0</v>
      </c>
      <c r="AA60" s="185">
        <f t="shared" si="4"/>
        <v>0</v>
      </c>
      <c r="AB60" s="185">
        <f t="shared" si="5"/>
        <v>0</v>
      </c>
      <c r="AC60" s="185">
        <f t="shared" si="9"/>
        <v>10705904</v>
      </c>
      <c r="AD60" s="323"/>
      <c r="AE60" s="197"/>
      <c r="AF60" s="197"/>
      <c r="AG60" s="178">
        <f t="shared" si="15"/>
        <v>9205904</v>
      </c>
      <c r="AH60" s="672"/>
      <c r="AI60" s="196"/>
      <c r="AJ60" s="677"/>
      <c r="AK60" s="210"/>
      <c r="AL60" s="211"/>
      <c r="AM60" s="212"/>
      <c r="AN60" s="202"/>
      <c r="AO60" s="220"/>
      <c r="AP60" s="145">
        <f t="shared" ref="AP60:AP67" si="17">S60-J60</f>
        <v>9705904</v>
      </c>
      <c r="AQ60" s="145">
        <f t="shared" ref="AQ60:AQ67" si="18">MAX(AP60-T60-W60-Y60,0)</f>
        <v>0</v>
      </c>
      <c r="AR60" s="146">
        <f t="shared" si="6"/>
        <v>0</v>
      </c>
      <c r="AS60" s="145">
        <f t="shared" ref="AS60:AS67" si="19">S60-AR60-T60</f>
        <v>10705904</v>
      </c>
      <c r="AU60" s="171" t="s">
        <v>375</v>
      </c>
      <c r="AV60" s="143"/>
    </row>
    <row r="61" spans="1:48" s="141" customFormat="1" ht="21.75" customHeight="1">
      <c r="A61" s="149">
        <v>48</v>
      </c>
      <c r="B61" s="638" t="s">
        <v>112</v>
      </c>
      <c r="C61" s="166" t="s">
        <v>184</v>
      </c>
      <c r="D61" s="163"/>
      <c r="E61" s="174"/>
      <c r="F61" s="174"/>
      <c r="G61" s="263">
        <v>7205904</v>
      </c>
      <c r="H61" s="153"/>
      <c r="I61" s="184">
        <v>0</v>
      </c>
      <c r="J61" s="263">
        <v>1000000</v>
      </c>
      <c r="K61" s="263">
        <v>1000000</v>
      </c>
      <c r="L61" s="164"/>
      <c r="M61" s="628">
        <f>VLOOKUP(B61,'BK TT'!$B$6:$I$103,8,0)</f>
        <v>5500000</v>
      </c>
      <c r="N61" s="181">
        <f t="shared" si="2"/>
        <v>14300000</v>
      </c>
      <c r="O61" s="152"/>
      <c r="P61" s="153"/>
      <c r="Q61" s="651">
        <v>1000000</v>
      </c>
      <c r="R61" s="651"/>
      <c r="S61" s="179">
        <f t="shared" si="7"/>
        <v>30005904</v>
      </c>
      <c r="T61" s="191"/>
      <c r="U61" s="185"/>
      <c r="V61" s="185">
        <f t="shared" si="8"/>
        <v>28005904</v>
      </c>
      <c r="W61" s="185">
        <v>15500000</v>
      </c>
      <c r="X61" s="164">
        <v>1</v>
      </c>
      <c r="Y61" s="185">
        <f t="shared" si="16"/>
        <v>6200000</v>
      </c>
      <c r="Z61" s="195">
        <f t="shared" si="3"/>
        <v>6305904</v>
      </c>
      <c r="AA61" s="185">
        <v>1</v>
      </c>
      <c r="AB61" s="185">
        <f t="shared" si="5"/>
        <v>315295.2</v>
      </c>
      <c r="AC61" s="185">
        <f t="shared" si="9"/>
        <v>29690608.800000001</v>
      </c>
      <c r="AD61" s="323"/>
      <c r="AE61" s="197"/>
      <c r="AF61" s="197"/>
      <c r="AG61" s="178">
        <f t="shared" si="15"/>
        <v>9205904</v>
      </c>
      <c r="AH61" s="672"/>
      <c r="AI61" s="196"/>
      <c r="AJ61" s="677"/>
      <c r="AK61" s="210">
        <v>13</v>
      </c>
      <c r="AL61" s="211"/>
      <c r="AM61" s="212"/>
      <c r="AN61" s="202"/>
      <c r="AO61" s="220"/>
      <c r="AP61" s="145">
        <f t="shared" si="17"/>
        <v>29005904</v>
      </c>
      <c r="AQ61" s="145">
        <f t="shared" si="18"/>
        <v>7305904</v>
      </c>
      <c r="AR61" s="146">
        <f t="shared" si="6"/>
        <v>365295.2</v>
      </c>
      <c r="AS61" s="145">
        <f t="shared" si="19"/>
        <v>29640608.800000001</v>
      </c>
      <c r="AU61" s="171" t="s">
        <v>113</v>
      </c>
      <c r="AV61" s="143"/>
    </row>
    <row r="62" spans="1:48" s="141" customFormat="1" ht="21.75" customHeight="1">
      <c r="A62" s="117">
        <v>49</v>
      </c>
      <c r="B62" s="638" t="s">
        <v>114</v>
      </c>
      <c r="C62" s="162" t="s">
        <v>43</v>
      </c>
      <c r="D62" s="222"/>
      <c r="E62" s="174"/>
      <c r="F62" s="174"/>
      <c r="G62" s="362">
        <v>7205904</v>
      </c>
      <c r="H62" s="153"/>
      <c r="I62" s="184">
        <v>0</v>
      </c>
      <c r="J62" s="263">
        <v>1000000</v>
      </c>
      <c r="K62" s="263">
        <v>1000000</v>
      </c>
      <c r="L62" s="164"/>
      <c r="M62" s="628">
        <f>VLOOKUP(B62,'BK TT'!$B$6:$I$103,8,0)</f>
        <v>0</v>
      </c>
      <c r="N62" s="181">
        <f t="shared" si="2"/>
        <v>3000000</v>
      </c>
      <c r="O62" s="152"/>
      <c r="P62" s="153"/>
      <c r="Q62" s="651">
        <v>1000000</v>
      </c>
      <c r="R62" s="651"/>
      <c r="S62" s="179">
        <f t="shared" si="7"/>
        <v>13205904</v>
      </c>
      <c r="T62" s="185"/>
      <c r="U62" s="185"/>
      <c r="V62" s="185">
        <f t="shared" si="8"/>
        <v>11205904</v>
      </c>
      <c r="W62" s="185">
        <v>15500000</v>
      </c>
      <c r="X62" s="164"/>
      <c r="Y62" s="185">
        <f t="shared" si="16"/>
        <v>0</v>
      </c>
      <c r="Z62" s="195">
        <f t="shared" si="3"/>
        <v>0</v>
      </c>
      <c r="AA62" s="185">
        <f t="shared" si="4"/>
        <v>0</v>
      </c>
      <c r="AB62" s="185">
        <f t="shared" si="5"/>
        <v>0</v>
      </c>
      <c r="AC62" s="185">
        <f t="shared" si="9"/>
        <v>13205904</v>
      </c>
      <c r="AD62" s="323"/>
      <c r="AE62" s="197"/>
      <c r="AF62" s="197"/>
      <c r="AG62" s="178">
        <f t="shared" si="15"/>
        <v>9205904</v>
      </c>
      <c r="AH62" s="672"/>
      <c r="AI62" s="196">
        <v>1</v>
      </c>
      <c r="AJ62" s="677"/>
      <c r="AK62" s="210"/>
      <c r="AL62" s="211"/>
      <c r="AM62" s="246"/>
      <c r="AN62" s="247"/>
      <c r="AO62" s="220"/>
      <c r="AP62" s="145">
        <f t="shared" si="17"/>
        <v>12205904</v>
      </c>
      <c r="AQ62" s="145">
        <f t="shared" si="18"/>
        <v>0</v>
      </c>
      <c r="AR62" s="146">
        <f t="shared" si="6"/>
        <v>0</v>
      </c>
      <c r="AS62" s="145">
        <f t="shared" si="19"/>
        <v>13205904</v>
      </c>
      <c r="AU62" s="221" t="s">
        <v>376</v>
      </c>
      <c r="AV62" s="143"/>
    </row>
    <row r="63" spans="1:48" s="141" customFormat="1" ht="21.75" customHeight="1">
      <c r="A63" s="149">
        <v>50</v>
      </c>
      <c r="B63" s="638" t="s">
        <v>115</v>
      </c>
      <c r="C63" s="166" t="s">
        <v>180</v>
      </c>
      <c r="D63" s="222"/>
      <c r="E63" s="174"/>
      <c r="F63" s="174"/>
      <c r="G63" s="362">
        <v>7205904</v>
      </c>
      <c r="H63" s="153"/>
      <c r="I63" s="184">
        <v>0</v>
      </c>
      <c r="J63" s="263">
        <v>1000000</v>
      </c>
      <c r="K63" s="263">
        <v>1000000</v>
      </c>
      <c r="L63" s="164"/>
      <c r="M63" s="628">
        <f>VLOOKUP(B63,'BK TT'!$B$6:$I$103,8,0)</f>
        <v>0</v>
      </c>
      <c r="N63" s="181">
        <f t="shared" si="2"/>
        <v>0</v>
      </c>
      <c r="O63" s="152"/>
      <c r="P63" s="153"/>
      <c r="Q63" s="651">
        <v>1000000</v>
      </c>
      <c r="R63" s="651"/>
      <c r="S63" s="179">
        <f t="shared" si="7"/>
        <v>10205904</v>
      </c>
      <c r="T63" s="185"/>
      <c r="U63" s="185"/>
      <c r="V63" s="185">
        <f t="shared" si="8"/>
        <v>8205904</v>
      </c>
      <c r="W63" s="185">
        <v>15500000</v>
      </c>
      <c r="X63" s="164"/>
      <c r="Y63" s="185">
        <f t="shared" si="16"/>
        <v>0</v>
      </c>
      <c r="Z63" s="195">
        <f t="shared" si="3"/>
        <v>0</v>
      </c>
      <c r="AA63" s="185">
        <f t="shared" si="4"/>
        <v>0</v>
      </c>
      <c r="AB63" s="185">
        <f t="shared" si="5"/>
        <v>0</v>
      </c>
      <c r="AC63" s="185">
        <f t="shared" si="9"/>
        <v>10205904</v>
      </c>
      <c r="AD63" s="323"/>
      <c r="AE63" s="197"/>
      <c r="AF63" s="197"/>
      <c r="AG63" s="178">
        <f t="shared" si="15"/>
        <v>9205904</v>
      </c>
      <c r="AH63" s="672"/>
      <c r="AI63" s="196"/>
      <c r="AJ63" s="677"/>
      <c r="AK63" s="210"/>
      <c r="AL63" s="211"/>
      <c r="AM63" s="246"/>
      <c r="AN63" s="245"/>
      <c r="AO63" s="220"/>
      <c r="AP63" s="145">
        <f t="shared" si="17"/>
        <v>9205904</v>
      </c>
      <c r="AQ63" s="145">
        <f t="shared" si="18"/>
        <v>0</v>
      </c>
      <c r="AR63" s="146">
        <f t="shared" si="6"/>
        <v>0</v>
      </c>
      <c r="AS63" s="145">
        <f t="shared" si="19"/>
        <v>10205904</v>
      </c>
      <c r="AU63" s="137" t="s">
        <v>377</v>
      </c>
      <c r="AV63" s="214"/>
    </row>
    <row r="64" spans="1:48" s="141" customFormat="1" ht="21.75" customHeight="1">
      <c r="A64" s="117">
        <v>51</v>
      </c>
      <c r="B64" s="638" t="s">
        <v>116</v>
      </c>
      <c r="C64" s="167" t="s">
        <v>182</v>
      </c>
      <c r="D64" s="222"/>
      <c r="E64" s="174"/>
      <c r="F64" s="174"/>
      <c r="G64" s="362">
        <v>7205904</v>
      </c>
      <c r="H64" s="153"/>
      <c r="I64" s="184">
        <v>0</v>
      </c>
      <c r="J64" s="263">
        <v>1000000</v>
      </c>
      <c r="K64" s="263">
        <v>1000000</v>
      </c>
      <c r="L64" s="164"/>
      <c r="M64" s="628">
        <f>VLOOKUP(B64,'BK TT'!$B$6:$I$103,8,0)</f>
        <v>13500000</v>
      </c>
      <c r="N64" s="181">
        <f>AH64*$D$161+(AI64+AJ64)*$D$162+AK64*$D$164</f>
        <v>24400000</v>
      </c>
      <c r="O64" s="152"/>
      <c r="P64" s="153"/>
      <c r="Q64" s="651">
        <v>1000000</v>
      </c>
      <c r="R64" s="651"/>
      <c r="S64" s="179">
        <f t="shared" si="7"/>
        <v>48105904</v>
      </c>
      <c r="T64" s="185"/>
      <c r="U64" s="185"/>
      <c r="V64" s="185">
        <f t="shared" si="8"/>
        <v>46105904</v>
      </c>
      <c r="W64" s="185">
        <v>15500000</v>
      </c>
      <c r="X64" s="164">
        <v>1</v>
      </c>
      <c r="Y64" s="185">
        <f t="shared" si="16"/>
        <v>6200000</v>
      </c>
      <c r="Z64" s="195">
        <f t="shared" si="3"/>
        <v>24405904</v>
      </c>
      <c r="AA64" s="185">
        <f t="shared" si="4"/>
        <v>2</v>
      </c>
      <c r="AB64" s="185">
        <f t="shared" si="5"/>
        <v>1940590.4</v>
      </c>
      <c r="AC64" s="185">
        <f t="shared" si="9"/>
        <v>46165313.600000001</v>
      </c>
      <c r="AD64" s="323"/>
      <c r="AE64" s="197"/>
      <c r="AF64" s="197"/>
      <c r="AG64" s="178">
        <f t="shared" si="15"/>
        <v>9205904</v>
      </c>
      <c r="AH64" s="672"/>
      <c r="AI64" s="196"/>
      <c r="AJ64" s="677">
        <v>3</v>
      </c>
      <c r="AK64" s="210">
        <v>14</v>
      </c>
      <c r="AL64" s="211"/>
      <c r="AM64" s="246"/>
      <c r="AN64" s="245"/>
      <c r="AO64" s="220"/>
      <c r="AP64" s="145">
        <f t="shared" si="17"/>
        <v>47105904</v>
      </c>
      <c r="AQ64" s="145">
        <f t="shared" si="18"/>
        <v>25405904</v>
      </c>
      <c r="AR64" s="146">
        <f t="shared" si="6"/>
        <v>2040590.4000000001</v>
      </c>
      <c r="AS64" s="145">
        <f t="shared" si="19"/>
        <v>46065313.600000001</v>
      </c>
      <c r="AU64" s="137" t="s">
        <v>378</v>
      </c>
      <c r="AV64" s="143"/>
    </row>
    <row r="65" spans="1:48" s="141" customFormat="1" ht="21.75" customHeight="1">
      <c r="A65" s="149">
        <v>52</v>
      </c>
      <c r="B65" s="638" t="s">
        <v>117</v>
      </c>
      <c r="C65" s="162" t="s">
        <v>180</v>
      </c>
      <c r="D65" s="222"/>
      <c r="E65" s="174"/>
      <c r="F65" s="174"/>
      <c r="G65" s="362">
        <v>7205904</v>
      </c>
      <c r="H65" s="153"/>
      <c r="I65" s="184">
        <v>0</v>
      </c>
      <c r="J65" s="263">
        <v>1000000</v>
      </c>
      <c r="K65" s="263">
        <v>1000000</v>
      </c>
      <c r="L65" s="164"/>
      <c r="M65" s="628">
        <f>VLOOKUP(B65,'BK TT'!$B$6:$I$103,8,0)</f>
        <v>0</v>
      </c>
      <c r="N65" s="181">
        <f t="shared" ref="N65:N68" si="20">AH65*$D$161+(AI65+AJ65)*$D$162+AK65*$D$164</f>
        <v>0</v>
      </c>
      <c r="O65" s="152"/>
      <c r="P65" s="153"/>
      <c r="Q65" s="652">
        <v>2000000</v>
      </c>
      <c r="R65" s="652"/>
      <c r="S65" s="179">
        <f t="shared" si="7"/>
        <v>11205904</v>
      </c>
      <c r="T65" s="185"/>
      <c r="U65" s="185"/>
      <c r="V65" s="185">
        <f t="shared" si="8"/>
        <v>8205904</v>
      </c>
      <c r="W65" s="185">
        <v>15500000</v>
      </c>
      <c r="X65" s="164"/>
      <c r="Y65" s="185">
        <f t="shared" si="16"/>
        <v>0</v>
      </c>
      <c r="Z65" s="195">
        <f t="shared" si="3"/>
        <v>0</v>
      </c>
      <c r="AA65" s="185">
        <f t="shared" si="4"/>
        <v>0</v>
      </c>
      <c r="AB65" s="185">
        <f t="shared" si="5"/>
        <v>0</v>
      </c>
      <c r="AC65" s="185">
        <f t="shared" si="9"/>
        <v>11205904</v>
      </c>
      <c r="AD65" s="323"/>
      <c r="AE65" s="197"/>
      <c r="AF65" s="197"/>
      <c r="AG65" s="178">
        <f t="shared" si="15"/>
        <v>9205904</v>
      </c>
      <c r="AH65" s="672"/>
      <c r="AI65" s="196"/>
      <c r="AJ65" s="677"/>
      <c r="AK65" s="210"/>
      <c r="AL65" s="211"/>
      <c r="AM65" s="248"/>
      <c r="AN65" s="202"/>
      <c r="AO65" s="220"/>
      <c r="AP65" s="145">
        <f t="shared" si="17"/>
        <v>10205904</v>
      </c>
      <c r="AQ65" s="145">
        <f t="shared" si="18"/>
        <v>0</v>
      </c>
      <c r="AR65" s="146">
        <f t="shared" si="6"/>
        <v>0</v>
      </c>
      <c r="AS65" s="145">
        <f t="shared" si="19"/>
        <v>11205904</v>
      </c>
      <c r="AU65" s="221" t="s">
        <v>379</v>
      </c>
      <c r="AV65" s="143"/>
    </row>
    <row r="66" spans="1:48" s="141" customFormat="1" ht="21.75" customHeight="1">
      <c r="A66" s="117">
        <v>53</v>
      </c>
      <c r="B66" s="638" t="s">
        <v>118</v>
      </c>
      <c r="C66" s="162" t="s">
        <v>43</v>
      </c>
      <c r="D66" s="222"/>
      <c r="E66" s="174"/>
      <c r="F66" s="174"/>
      <c r="G66" s="362">
        <v>7205904</v>
      </c>
      <c r="H66" s="153"/>
      <c r="I66" s="184">
        <v>0</v>
      </c>
      <c r="J66" s="263">
        <v>1000000</v>
      </c>
      <c r="K66" s="263">
        <v>1000000</v>
      </c>
      <c r="L66" s="164"/>
      <c r="M66" s="628">
        <f>VLOOKUP(B66,'BK TT'!$B$6:$I$103,8,0)</f>
        <v>0</v>
      </c>
      <c r="N66" s="181">
        <f t="shared" si="20"/>
        <v>0</v>
      </c>
      <c r="O66" s="152"/>
      <c r="P66" s="153"/>
      <c r="Q66" s="651">
        <v>1000000</v>
      </c>
      <c r="R66" s="651"/>
      <c r="S66" s="179">
        <f t="shared" si="7"/>
        <v>10205904</v>
      </c>
      <c r="T66" s="185"/>
      <c r="U66" s="185"/>
      <c r="V66" s="185">
        <f t="shared" si="8"/>
        <v>8205904</v>
      </c>
      <c r="W66" s="185">
        <v>15500000</v>
      </c>
      <c r="X66" s="164"/>
      <c r="Y66" s="185">
        <f t="shared" si="16"/>
        <v>0</v>
      </c>
      <c r="Z66" s="195">
        <f t="shared" si="3"/>
        <v>0</v>
      </c>
      <c r="AA66" s="185">
        <f t="shared" si="4"/>
        <v>0</v>
      </c>
      <c r="AB66" s="185">
        <f t="shared" si="5"/>
        <v>0</v>
      </c>
      <c r="AC66" s="185">
        <f t="shared" si="9"/>
        <v>10205904</v>
      </c>
      <c r="AD66" s="323"/>
      <c r="AE66" s="197"/>
      <c r="AF66" s="197"/>
      <c r="AG66" s="178">
        <f t="shared" si="15"/>
        <v>9205904</v>
      </c>
      <c r="AH66" s="672"/>
      <c r="AI66" s="196"/>
      <c r="AJ66" s="677"/>
      <c r="AK66" s="210"/>
      <c r="AL66" s="211"/>
      <c r="AM66" s="248"/>
      <c r="AN66" s="202"/>
      <c r="AO66" s="220"/>
      <c r="AP66" s="145">
        <f t="shared" si="17"/>
        <v>9205904</v>
      </c>
      <c r="AQ66" s="145">
        <f t="shared" si="18"/>
        <v>0</v>
      </c>
      <c r="AR66" s="146">
        <f t="shared" si="6"/>
        <v>0</v>
      </c>
      <c r="AS66" s="145">
        <f t="shared" si="19"/>
        <v>10205904</v>
      </c>
      <c r="AU66" s="137" t="s">
        <v>380</v>
      </c>
      <c r="AV66" s="143"/>
    </row>
    <row r="67" spans="1:48" s="141" customFormat="1" ht="21.75" customHeight="1">
      <c r="A67" s="149">
        <v>54</v>
      </c>
      <c r="B67" s="638" t="s">
        <v>119</v>
      </c>
      <c r="C67" s="162" t="s">
        <v>180</v>
      </c>
      <c r="D67" s="163"/>
      <c r="E67" s="163"/>
      <c r="F67" s="163"/>
      <c r="G67" s="263">
        <v>7205904</v>
      </c>
      <c r="H67" s="153"/>
      <c r="I67" s="184">
        <v>0</v>
      </c>
      <c r="J67" s="263">
        <v>1000000</v>
      </c>
      <c r="K67" s="263">
        <v>1000000</v>
      </c>
      <c r="L67" s="164"/>
      <c r="M67" s="628">
        <f>VLOOKUP(B67,'BK TT'!$B$6:$I$103,8,0)</f>
        <v>0</v>
      </c>
      <c r="N67" s="181">
        <f t="shared" si="20"/>
        <v>19000000</v>
      </c>
      <c r="O67" s="152"/>
      <c r="P67" s="153"/>
      <c r="Q67" s="651">
        <v>1000000</v>
      </c>
      <c r="R67" s="651"/>
      <c r="S67" s="179">
        <f t="shared" si="7"/>
        <v>29205904</v>
      </c>
      <c r="T67" s="185"/>
      <c r="U67" s="185"/>
      <c r="V67" s="185">
        <f t="shared" si="8"/>
        <v>27205904</v>
      </c>
      <c r="W67" s="185">
        <v>15500000</v>
      </c>
      <c r="X67" s="164"/>
      <c r="Y67" s="185">
        <f t="shared" si="16"/>
        <v>0</v>
      </c>
      <c r="Z67" s="195">
        <f t="shared" si="3"/>
        <v>11705904</v>
      </c>
      <c r="AA67" s="185">
        <f t="shared" si="4"/>
        <v>2</v>
      </c>
      <c r="AB67" s="185">
        <f t="shared" si="5"/>
        <v>670590.40000000014</v>
      </c>
      <c r="AC67" s="185">
        <f t="shared" si="9"/>
        <v>28535313.600000001</v>
      </c>
      <c r="AD67" s="323"/>
      <c r="AE67" s="197"/>
      <c r="AF67" s="197"/>
      <c r="AG67" s="178">
        <f t="shared" si="15"/>
        <v>9205904</v>
      </c>
      <c r="AH67" s="672">
        <v>2</v>
      </c>
      <c r="AI67" s="196">
        <v>5</v>
      </c>
      <c r="AJ67" s="677"/>
      <c r="AK67" s="210"/>
      <c r="AL67" s="211"/>
      <c r="AM67" s="248"/>
      <c r="AN67" s="202"/>
      <c r="AO67" s="220"/>
      <c r="AP67" s="145">
        <f t="shared" si="17"/>
        <v>28205904</v>
      </c>
      <c r="AQ67" s="145">
        <f t="shared" si="18"/>
        <v>12705904</v>
      </c>
      <c r="AR67" s="146">
        <f t="shared" si="6"/>
        <v>770590.4</v>
      </c>
      <c r="AS67" s="145">
        <f t="shared" si="19"/>
        <v>28435313.600000001</v>
      </c>
      <c r="AU67" s="137" t="s">
        <v>381</v>
      </c>
      <c r="AV67" s="214"/>
    </row>
    <row r="68" spans="1:48" s="141" customFormat="1" ht="21.75" customHeight="1">
      <c r="A68" s="117">
        <v>55</v>
      </c>
      <c r="B68" s="638" t="s">
        <v>120</v>
      </c>
      <c r="C68" s="162"/>
      <c r="D68" s="163"/>
      <c r="E68" s="163"/>
      <c r="F68" s="163"/>
      <c r="G68" s="263">
        <v>7205904</v>
      </c>
      <c r="H68" s="153"/>
      <c r="I68" s="184">
        <v>0</v>
      </c>
      <c r="J68" s="263">
        <v>1000000</v>
      </c>
      <c r="K68" s="263">
        <v>1000000</v>
      </c>
      <c r="L68" s="164"/>
      <c r="M68" s="628">
        <f>VLOOKUP(B68,'BK TT'!$B$6:$I$103,8,0)</f>
        <v>0</v>
      </c>
      <c r="N68" s="181">
        <f t="shared" si="20"/>
        <v>21000000</v>
      </c>
      <c r="O68" s="152"/>
      <c r="P68" s="153"/>
      <c r="Q68" s="651">
        <v>1000000</v>
      </c>
      <c r="R68" s="651"/>
      <c r="S68" s="179">
        <f t="shared" si="7"/>
        <v>31205904</v>
      </c>
      <c r="T68" s="185"/>
      <c r="U68" s="185"/>
      <c r="V68" s="185">
        <f t="shared" si="8"/>
        <v>29205904</v>
      </c>
      <c r="W68" s="185">
        <v>15500000</v>
      </c>
      <c r="X68" s="164"/>
      <c r="Y68" s="185">
        <f t="shared" si="16"/>
        <v>0</v>
      </c>
      <c r="Z68" s="195">
        <f t="shared" si="3"/>
        <v>13705904</v>
      </c>
      <c r="AA68" s="185">
        <f t="shared" si="4"/>
        <v>2</v>
      </c>
      <c r="AB68" s="185">
        <f t="shared" si="5"/>
        <v>870590.40000000014</v>
      </c>
      <c r="AC68" s="185">
        <f t="shared" si="9"/>
        <v>30335313.600000001</v>
      </c>
      <c r="AD68" s="323"/>
      <c r="AE68" s="197"/>
      <c r="AF68" s="197"/>
      <c r="AG68" s="178">
        <f t="shared" si="15"/>
        <v>9205904</v>
      </c>
      <c r="AH68" s="672">
        <v>3</v>
      </c>
      <c r="AI68" s="196"/>
      <c r="AJ68" s="677">
        <v>5</v>
      </c>
      <c r="AK68" s="210"/>
      <c r="AL68" s="211"/>
      <c r="AM68" s="249"/>
      <c r="AN68" s="250"/>
      <c r="AO68" s="220"/>
      <c r="AP68" s="145"/>
      <c r="AQ68" s="145"/>
      <c r="AR68" s="146"/>
      <c r="AS68" s="145"/>
      <c r="AU68" s="137" t="s">
        <v>382</v>
      </c>
      <c r="AV68" s="214"/>
    </row>
    <row r="69" spans="1:48" s="618" customFormat="1" ht="21.75" customHeight="1">
      <c r="A69" s="643"/>
      <c r="B69" s="644" t="s">
        <v>121</v>
      </c>
      <c r="C69" s="645"/>
      <c r="D69" s="646"/>
      <c r="E69" s="646"/>
      <c r="F69" s="646"/>
      <c r="G69" s="559">
        <f t="shared" ref="G69:AB69" si="21">SUM(G71:G97)</f>
        <v>0</v>
      </c>
      <c r="H69" s="559">
        <f t="shared" si="21"/>
        <v>0</v>
      </c>
      <c r="I69" s="647">
        <v>0</v>
      </c>
      <c r="J69" s="559">
        <f t="shared" si="21"/>
        <v>0</v>
      </c>
      <c r="K69" s="559">
        <f t="shared" si="21"/>
        <v>0</v>
      </c>
      <c r="L69" s="559">
        <f t="shared" si="21"/>
        <v>0</v>
      </c>
      <c r="M69" s="559">
        <f t="shared" si="21"/>
        <v>0</v>
      </c>
      <c r="N69" s="186">
        <f t="shared" si="2"/>
        <v>0</v>
      </c>
      <c r="O69" s="559">
        <f t="shared" si="21"/>
        <v>0</v>
      </c>
      <c r="P69" s="559">
        <f t="shared" si="21"/>
        <v>0</v>
      </c>
      <c r="Q69" s="559">
        <f t="shared" si="21"/>
        <v>27000000</v>
      </c>
      <c r="R69" s="559">
        <f t="shared" si="21"/>
        <v>0</v>
      </c>
      <c r="S69" s="648">
        <f t="shared" si="7"/>
        <v>27000000</v>
      </c>
      <c r="T69" s="559">
        <f t="shared" si="21"/>
        <v>0</v>
      </c>
      <c r="U69" s="559">
        <f t="shared" si="21"/>
        <v>0</v>
      </c>
      <c r="V69" s="559">
        <f t="shared" si="21"/>
        <v>49000000</v>
      </c>
      <c r="W69" s="559">
        <f t="shared" si="21"/>
        <v>0</v>
      </c>
      <c r="X69" s="559">
        <f t="shared" si="21"/>
        <v>1</v>
      </c>
      <c r="Y69" s="559">
        <f t="shared" si="21"/>
        <v>6200000</v>
      </c>
      <c r="Z69" s="559">
        <f t="shared" si="21"/>
        <v>49000000</v>
      </c>
      <c r="AA69" s="559">
        <f t="shared" si="21"/>
        <v>6</v>
      </c>
      <c r="AB69" s="559">
        <f t="shared" si="21"/>
        <v>4900000</v>
      </c>
      <c r="AC69" s="559">
        <f>SUM(AC70:AC97)</f>
        <v>72100000</v>
      </c>
      <c r="AD69" s="649"/>
      <c r="AE69" s="559"/>
      <c r="AF69" s="559"/>
      <c r="AG69" s="559">
        <f>SUM(AG71:AG97)</f>
        <v>0</v>
      </c>
      <c r="AH69" s="673"/>
      <c r="AI69" s="613"/>
      <c r="AJ69" s="673"/>
      <c r="AK69" s="613"/>
      <c r="AL69" s="614"/>
      <c r="AM69" s="615"/>
      <c r="AN69" s="616"/>
      <c r="AO69" s="617"/>
      <c r="AP69" s="619"/>
      <c r="AQ69" s="619"/>
      <c r="AR69" s="620"/>
      <c r="AS69" s="619"/>
      <c r="AU69" s="612"/>
      <c r="AV69" s="621"/>
    </row>
    <row r="70" spans="1:48" s="663" customFormat="1" ht="21.75" customHeight="1">
      <c r="A70" s="653">
        <v>56</v>
      </c>
      <c r="B70" s="669" t="s">
        <v>89</v>
      </c>
      <c r="C70" s="654"/>
      <c r="D70" s="655"/>
      <c r="E70" s="655"/>
      <c r="F70" s="655"/>
      <c r="G70" s="656"/>
      <c r="H70" s="656"/>
      <c r="I70" s="657">
        <v>0</v>
      </c>
      <c r="J70" s="656"/>
      <c r="K70" s="656"/>
      <c r="L70" s="656"/>
      <c r="M70" s="656">
        <v>0</v>
      </c>
      <c r="N70" s="658">
        <f t="shared" si="2"/>
        <v>0</v>
      </c>
      <c r="O70" s="656"/>
      <c r="P70" s="656"/>
      <c r="Q70" s="656">
        <v>1000000</v>
      </c>
      <c r="R70" s="656"/>
      <c r="S70" s="659">
        <f t="shared" si="7"/>
        <v>1000000</v>
      </c>
      <c r="T70" s="656"/>
      <c r="U70" s="656"/>
      <c r="V70" s="658">
        <f>S70-Q70-J70-R70</f>
        <v>0</v>
      </c>
      <c r="W70" s="656"/>
      <c r="X70" s="656"/>
      <c r="Y70" s="656">
        <v>0</v>
      </c>
      <c r="Z70" s="656">
        <v>0</v>
      </c>
      <c r="AA70" s="656">
        <v>0</v>
      </c>
      <c r="AB70" s="656">
        <v>0</v>
      </c>
      <c r="AC70" s="658">
        <f t="shared" si="9"/>
        <v>1000000</v>
      </c>
      <c r="AD70" s="658"/>
      <c r="AE70" s="659"/>
      <c r="AF70" s="659"/>
      <c r="AG70" s="660"/>
      <c r="AH70" s="674"/>
      <c r="AI70" s="656"/>
      <c r="AJ70" s="674"/>
      <c r="AK70" s="656"/>
      <c r="AL70" s="658"/>
      <c r="AM70" s="703" t="s">
        <v>887</v>
      </c>
      <c r="AN70" s="704"/>
      <c r="AO70" s="704"/>
      <c r="AP70" s="661"/>
      <c r="AQ70" s="661"/>
      <c r="AR70" s="662"/>
      <c r="AS70" s="661"/>
      <c r="AU70" s="664"/>
      <c r="AV70" s="665"/>
    </row>
    <row r="71" spans="1:48" s="141" customFormat="1" ht="21.75" customHeight="1">
      <c r="A71" s="108">
        <v>57</v>
      </c>
      <c r="B71" s="638" t="s">
        <v>122</v>
      </c>
      <c r="C71" s="162"/>
      <c r="D71" s="163"/>
      <c r="E71" s="163"/>
      <c r="F71" s="163"/>
      <c r="G71" s="263"/>
      <c r="H71" s="153"/>
      <c r="I71" s="184">
        <v>0</v>
      </c>
      <c r="J71" s="366"/>
      <c r="K71" s="263"/>
      <c r="L71" s="164"/>
      <c r="M71" s="628">
        <f>VLOOKUP(B71,'BK TT'!$B$6:$I$103,8,0)</f>
        <v>0</v>
      </c>
      <c r="N71" s="181">
        <f t="shared" si="2"/>
        <v>0</v>
      </c>
      <c r="O71" s="152"/>
      <c r="P71" s="153"/>
      <c r="Q71" s="185">
        <v>1000000</v>
      </c>
      <c r="R71" s="185"/>
      <c r="S71" s="179">
        <f t="shared" si="7"/>
        <v>1000000</v>
      </c>
      <c r="T71" s="185"/>
      <c r="U71" s="185"/>
      <c r="V71" s="185">
        <f t="shared" ref="V71:V84" si="22">S71-Q71-J71-R71</f>
        <v>0</v>
      </c>
      <c r="W71" s="185"/>
      <c r="X71" s="164"/>
      <c r="Y71" s="185">
        <f t="shared" ref="Y71:Y97" si="23">X71*$AD$8</f>
        <v>0</v>
      </c>
      <c r="Z71" s="195">
        <f t="shared" si="3"/>
        <v>0</v>
      </c>
      <c r="AA71" s="185">
        <f t="shared" si="4"/>
        <v>0</v>
      </c>
      <c r="AB71" s="153">
        <f>IF(V71&gt;2000000,10%*V71,0)</f>
        <v>0</v>
      </c>
      <c r="AC71" s="185">
        <f t="shared" si="9"/>
        <v>1000000</v>
      </c>
      <c r="AD71" s="323"/>
      <c r="AE71" s="197"/>
      <c r="AF71" s="197"/>
      <c r="AG71" s="178"/>
      <c r="AH71" s="672"/>
      <c r="AI71" s="196"/>
      <c r="AJ71" s="677"/>
      <c r="AK71" s="210"/>
      <c r="AL71" s="211"/>
      <c r="AM71" s="249"/>
      <c r="AN71" s="250"/>
      <c r="AO71" s="220"/>
      <c r="AP71" s="145"/>
      <c r="AQ71" s="145"/>
      <c r="AR71" s="146"/>
      <c r="AS71" s="145"/>
      <c r="AU71" s="137" t="s">
        <v>383</v>
      </c>
      <c r="AV71" s="143"/>
    </row>
    <row r="72" spans="1:48" s="141" customFormat="1" ht="21.75" customHeight="1">
      <c r="A72" s="151">
        <v>58</v>
      </c>
      <c r="B72" s="638" t="s">
        <v>123</v>
      </c>
      <c r="C72" s="162"/>
      <c r="D72" s="163"/>
      <c r="E72" s="163"/>
      <c r="F72" s="163"/>
      <c r="G72" s="263"/>
      <c r="H72" s="153"/>
      <c r="I72" s="184">
        <v>0</v>
      </c>
      <c r="J72" s="366"/>
      <c r="K72" s="263"/>
      <c r="L72" s="164"/>
      <c r="M72" s="628">
        <f>VLOOKUP(B72,'BK TT'!$B$6:$I$103,8,0)</f>
        <v>0</v>
      </c>
      <c r="N72" s="181">
        <f t="shared" si="2"/>
        <v>0</v>
      </c>
      <c r="O72" s="152"/>
      <c r="P72" s="153"/>
      <c r="Q72" s="185">
        <v>1000000</v>
      </c>
      <c r="R72" s="185"/>
      <c r="S72" s="179">
        <f t="shared" si="7"/>
        <v>1000000</v>
      </c>
      <c r="T72" s="185"/>
      <c r="U72" s="185"/>
      <c r="V72" s="185">
        <f t="shared" si="22"/>
        <v>0</v>
      </c>
      <c r="W72" s="185"/>
      <c r="X72" s="164"/>
      <c r="Y72" s="185">
        <f t="shared" si="23"/>
        <v>0</v>
      </c>
      <c r="Z72" s="195">
        <f t="shared" si="3"/>
        <v>0</v>
      </c>
      <c r="AA72" s="185">
        <f t="shared" si="4"/>
        <v>0</v>
      </c>
      <c r="AB72" s="153">
        <f>IF(V72&gt;2000000,10%*V72,0)</f>
        <v>0</v>
      </c>
      <c r="AC72" s="185">
        <f t="shared" si="9"/>
        <v>1000000</v>
      </c>
      <c r="AD72" s="323"/>
      <c r="AE72" s="197"/>
      <c r="AF72" s="197"/>
      <c r="AG72" s="178"/>
      <c r="AH72" s="672"/>
      <c r="AI72" s="196"/>
      <c r="AJ72" s="677"/>
      <c r="AK72" s="210"/>
      <c r="AL72" s="211"/>
      <c r="AM72" s="249"/>
      <c r="AN72" s="250"/>
      <c r="AO72" s="220"/>
      <c r="AP72" s="145"/>
      <c r="AQ72" s="145"/>
      <c r="AR72" s="146"/>
      <c r="AS72" s="145"/>
      <c r="AU72" s="137" t="s">
        <v>384</v>
      </c>
      <c r="AV72" s="143"/>
    </row>
    <row r="73" spans="1:48" s="141" customFormat="1" ht="21.75" customHeight="1">
      <c r="A73" s="108">
        <v>59</v>
      </c>
      <c r="B73" s="638" t="s">
        <v>124</v>
      </c>
      <c r="C73" s="162"/>
      <c r="D73" s="163"/>
      <c r="E73" s="163"/>
      <c r="F73" s="163"/>
      <c r="G73" s="263"/>
      <c r="H73" s="153"/>
      <c r="I73" s="184">
        <v>0</v>
      </c>
      <c r="J73" s="366"/>
      <c r="K73" s="263"/>
      <c r="L73" s="164"/>
      <c r="M73" s="628">
        <f>VLOOKUP(B73,'BK TT'!$B$6:$I$103,8,0)</f>
        <v>0</v>
      </c>
      <c r="N73" s="181">
        <f t="shared" si="2"/>
        <v>0</v>
      </c>
      <c r="O73" s="152"/>
      <c r="P73" s="153"/>
      <c r="Q73" s="185">
        <v>1000000</v>
      </c>
      <c r="R73" s="185"/>
      <c r="S73" s="179">
        <f t="shared" si="7"/>
        <v>1000000</v>
      </c>
      <c r="T73" s="185"/>
      <c r="U73" s="185"/>
      <c r="V73" s="185">
        <f t="shared" si="22"/>
        <v>0</v>
      </c>
      <c r="W73" s="185"/>
      <c r="X73" s="164"/>
      <c r="Y73" s="185">
        <f t="shared" si="23"/>
        <v>0</v>
      </c>
      <c r="Z73" s="195">
        <f t="shared" si="3"/>
        <v>0</v>
      </c>
      <c r="AA73" s="185">
        <f t="shared" si="4"/>
        <v>0</v>
      </c>
      <c r="AB73" s="153">
        <f>IF(V73&gt;2000000,10%*V73,0)</f>
        <v>0</v>
      </c>
      <c r="AC73" s="185">
        <f t="shared" si="9"/>
        <v>1000000</v>
      </c>
      <c r="AD73" s="323"/>
      <c r="AE73" s="197"/>
      <c r="AF73" s="197"/>
      <c r="AG73" s="178"/>
      <c r="AH73" s="672"/>
      <c r="AI73" s="196"/>
      <c r="AJ73" s="677"/>
      <c r="AK73" s="210"/>
      <c r="AL73" s="211"/>
      <c r="AM73" s="249"/>
      <c r="AN73" s="250"/>
      <c r="AO73" s="220"/>
      <c r="AP73" s="145"/>
      <c r="AQ73" s="145"/>
      <c r="AR73" s="146"/>
      <c r="AS73" s="145"/>
      <c r="AU73" s="137" t="s">
        <v>385</v>
      </c>
      <c r="AV73" s="214"/>
    </row>
    <row r="74" spans="1:48" s="141" customFormat="1" ht="21.75" customHeight="1">
      <c r="A74" s="151">
        <v>60</v>
      </c>
      <c r="B74" s="638" t="s">
        <v>125</v>
      </c>
      <c r="C74" s="162"/>
      <c r="D74" s="163"/>
      <c r="E74" s="163"/>
      <c r="F74" s="163"/>
      <c r="G74" s="263"/>
      <c r="H74" s="153"/>
      <c r="I74" s="184">
        <v>0</v>
      </c>
      <c r="J74" s="366"/>
      <c r="K74" s="263"/>
      <c r="L74" s="164"/>
      <c r="M74" s="628">
        <f>VLOOKUP(B74,'BK TT'!$B$6:$I$103,8,0)</f>
        <v>0</v>
      </c>
      <c r="N74" s="181">
        <f t="shared" si="2"/>
        <v>0</v>
      </c>
      <c r="O74" s="152"/>
      <c r="P74" s="153"/>
      <c r="Q74" s="185">
        <v>1000000</v>
      </c>
      <c r="R74" s="185"/>
      <c r="S74" s="179">
        <f t="shared" si="7"/>
        <v>1000000</v>
      </c>
      <c r="T74" s="185"/>
      <c r="U74" s="185"/>
      <c r="V74" s="185">
        <f t="shared" si="22"/>
        <v>0</v>
      </c>
      <c r="W74" s="185"/>
      <c r="X74" s="164"/>
      <c r="Y74" s="185">
        <f t="shared" si="23"/>
        <v>0</v>
      </c>
      <c r="Z74" s="195">
        <f t="shared" si="3"/>
        <v>0</v>
      </c>
      <c r="AA74" s="185">
        <f t="shared" si="4"/>
        <v>0</v>
      </c>
      <c r="AB74" s="153">
        <f t="shared" ref="AB74:AB97" si="24">IF(V74&gt;2000000,10%*V74,0)</f>
        <v>0</v>
      </c>
      <c r="AC74" s="185">
        <f t="shared" si="9"/>
        <v>1000000</v>
      </c>
      <c r="AD74" s="323"/>
      <c r="AE74" s="197"/>
      <c r="AF74" s="197"/>
      <c r="AG74" s="178"/>
      <c r="AH74" s="672"/>
      <c r="AI74" s="196"/>
      <c r="AJ74" s="677"/>
      <c r="AK74" s="210"/>
      <c r="AL74" s="211"/>
      <c r="AM74" s="249"/>
      <c r="AN74" s="250"/>
      <c r="AO74" s="220"/>
      <c r="AP74" s="145"/>
      <c r="AQ74" s="145"/>
      <c r="AR74" s="146"/>
      <c r="AS74" s="145"/>
      <c r="AU74" s="137" t="s">
        <v>386</v>
      </c>
      <c r="AV74" s="143"/>
    </row>
    <row r="75" spans="1:48" s="141" customFormat="1" ht="21.75" customHeight="1">
      <c r="A75" s="108">
        <v>61</v>
      </c>
      <c r="B75" s="638" t="s">
        <v>126</v>
      </c>
      <c r="C75" s="162"/>
      <c r="D75" s="163"/>
      <c r="E75" s="163"/>
      <c r="F75" s="163"/>
      <c r="G75" s="263"/>
      <c r="H75" s="153"/>
      <c r="I75" s="184">
        <v>0</v>
      </c>
      <c r="J75" s="366"/>
      <c r="K75" s="263"/>
      <c r="L75" s="164"/>
      <c r="M75" s="628">
        <f>VLOOKUP(B75,'BK TT'!$B$6:$I$103,8,0)</f>
        <v>0</v>
      </c>
      <c r="N75" s="181">
        <f t="shared" si="2"/>
        <v>0</v>
      </c>
      <c r="O75" s="152"/>
      <c r="P75" s="153"/>
      <c r="Q75" s="185">
        <v>1000000</v>
      </c>
      <c r="R75" s="185"/>
      <c r="S75" s="179">
        <f t="shared" si="7"/>
        <v>1000000</v>
      </c>
      <c r="T75" s="185"/>
      <c r="U75" s="185"/>
      <c r="V75" s="185">
        <f t="shared" si="22"/>
        <v>0</v>
      </c>
      <c r="W75" s="185"/>
      <c r="X75" s="164"/>
      <c r="Y75" s="185">
        <f t="shared" si="23"/>
        <v>0</v>
      </c>
      <c r="Z75" s="195">
        <f t="shared" si="3"/>
        <v>0</v>
      </c>
      <c r="AA75" s="185">
        <f t="shared" si="4"/>
        <v>0</v>
      </c>
      <c r="AB75" s="153">
        <f t="shared" si="24"/>
        <v>0</v>
      </c>
      <c r="AC75" s="185">
        <f t="shared" si="9"/>
        <v>1000000</v>
      </c>
      <c r="AD75" s="323"/>
      <c r="AE75" s="197"/>
      <c r="AF75" s="197"/>
      <c r="AG75" s="178"/>
      <c r="AH75" s="672"/>
      <c r="AI75" s="196"/>
      <c r="AJ75" s="677"/>
      <c r="AK75" s="210"/>
      <c r="AL75" s="211"/>
      <c r="AM75" s="249"/>
      <c r="AN75" s="250"/>
      <c r="AO75" s="220"/>
      <c r="AP75" s="145"/>
      <c r="AQ75" s="145"/>
      <c r="AR75" s="146"/>
      <c r="AS75" s="145"/>
      <c r="AU75" s="137" t="s">
        <v>387</v>
      </c>
      <c r="AV75" s="143"/>
    </row>
    <row r="76" spans="1:48" s="141" customFormat="1" ht="21.75" customHeight="1">
      <c r="A76" s="151">
        <v>62</v>
      </c>
      <c r="B76" s="638" t="s">
        <v>127</v>
      </c>
      <c r="C76" s="162"/>
      <c r="D76" s="163"/>
      <c r="E76" s="163"/>
      <c r="F76" s="163"/>
      <c r="G76" s="263"/>
      <c r="H76" s="153"/>
      <c r="I76" s="184">
        <v>0</v>
      </c>
      <c r="J76" s="366"/>
      <c r="K76" s="263"/>
      <c r="L76" s="164"/>
      <c r="M76" s="628">
        <f>VLOOKUP(B76,'BK TT'!$B$6:$I$103,8,0)</f>
        <v>0</v>
      </c>
      <c r="N76" s="181">
        <f t="shared" si="2"/>
        <v>0</v>
      </c>
      <c r="O76" s="152"/>
      <c r="P76" s="153"/>
      <c r="Q76" s="185">
        <v>1000000</v>
      </c>
      <c r="R76" s="185"/>
      <c r="S76" s="179">
        <f t="shared" si="7"/>
        <v>1000000</v>
      </c>
      <c r="T76" s="185"/>
      <c r="U76" s="185"/>
      <c r="V76" s="185">
        <f t="shared" si="22"/>
        <v>0</v>
      </c>
      <c r="W76" s="185"/>
      <c r="X76" s="164"/>
      <c r="Y76" s="185">
        <f t="shared" si="23"/>
        <v>0</v>
      </c>
      <c r="Z76" s="195">
        <f t="shared" si="3"/>
        <v>0</v>
      </c>
      <c r="AA76" s="185">
        <f t="shared" si="4"/>
        <v>0</v>
      </c>
      <c r="AB76" s="153">
        <f t="shared" si="24"/>
        <v>0</v>
      </c>
      <c r="AC76" s="185">
        <f t="shared" si="9"/>
        <v>1000000</v>
      </c>
      <c r="AD76" s="323"/>
      <c r="AE76" s="197"/>
      <c r="AF76" s="197"/>
      <c r="AG76" s="178"/>
      <c r="AH76" s="672"/>
      <c r="AI76" s="196"/>
      <c r="AJ76" s="677"/>
      <c r="AK76" s="210"/>
      <c r="AL76" s="211"/>
      <c r="AM76" s="249"/>
      <c r="AN76" s="250"/>
      <c r="AO76" s="220"/>
      <c r="AP76" s="145"/>
      <c r="AQ76" s="145"/>
      <c r="AR76" s="146"/>
      <c r="AS76" s="145"/>
      <c r="AU76" s="137" t="s">
        <v>388</v>
      </c>
      <c r="AV76" s="143"/>
    </row>
    <row r="77" spans="1:48" s="141" customFormat="1" ht="21.75" customHeight="1">
      <c r="A77" s="108">
        <v>63</v>
      </c>
      <c r="B77" s="638" t="s">
        <v>128</v>
      </c>
      <c r="C77" s="162"/>
      <c r="D77" s="163"/>
      <c r="E77" s="163"/>
      <c r="F77" s="163"/>
      <c r="G77" s="263"/>
      <c r="H77" s="153"/>
      <c r="I77" s="184">
        <v>0</v>
      </c>
      <c r="J77" s="366"/>
      <c r="K77" s="263"/>
      <c r="L77" s="164"/>
      <c r="M77" s="628">
        <f>VLOOKUP(B77,'BK TT'!$B$6:$I$103,8,0)</f>
        <v>0</v>
      </c>
      <c r="N77" s="181">
        <f t="shared" si="2"/>
        <v>0</v>
      </c>
      <c r="O77" s="152"/>
      <c r="P77" s="153"/>
      <c r="Q77" s="185">
        <v>1000000</v>
      </c>
      <c r="R77" s="185"/>
      <c r="S77" s="179">
        <f t="shared" si="7"/>
        <v>1000000</v>
      </c>
      <c r="T77" s="185"/>
      <c r="U77" s="185"/>
      <c r="V77" s="185">
        <f t="shared" si="22"/>
        <v>0</v>
      </c>
      <c r="W77" s="185"/>
      <c r="X77" s="164"/>
      <c r="Y77" s="185">
        <f t="shared" si="23"/>
        <v>0</v>
      </c>
      <c r="Z77" s="195">
        <f t="shared" si="3"/>
        <v>0</v>
      </c>
      <c r="AA77" s="185">
        <f t="shared" si="4"/>
        <v>0</v>
      </c>
      <c r="AB77" s="153">
        <f t="shared" si="24"/>
        <v>0</v>
      </c>
      <c r="AC77" s="185">
        <f t="shared" si="9"/>
        <v>1000000</v>
      </c>
      <c r="AD77" s="323"/>
      <c r="AE77" s="197"/>
      <c r="AF77" s="197"/>
      <c r="AG77" s="178"/>
      <c r="AH77" s="672"/>
      <c r="AI77" s="196"/>
      <c r="AJ77" s="677"/>
      <c r="AK77" s="210"/>
      <c r="AL77" s="211"/>
      <c r="AM77" s="249"/>
      <c r="AN77" s="250"/>
      <c r="AO77" s="220"/>
      <c r="AP77" s="145"/>
      <c r="AQ77" s="145"/>
      <c r="AR77" s="146"/>
      <c r="AS77" s="145"/>
      <c r="AU77" s="137" t="s">
        <v>389</v>
      </c>
      <c r="AV77" s="143"/>
    </row>
    <row r="78" spans="1:48" s="47" customFormat="1" ht="21.75" customHeight="1">
      <c r="A78" s="151">
        <v>64</v>
      </c>
      <c r="B78" s="638" t="s">
        <v>66</v>
      </c>
      <c r="C78" s="340"/>
      <c r="D78" s="341"/>
      <c r="E78" s="341"/>
      <c r="F78" s="341"/>
      <c r="G78" s="263"/>
      <c r="H78" s="152"/>
      <c r="I78" s="184">
        <v>0</v>
      </c>
      <c r="J78" s="366"/>
      <c r="K78" s="263"/>
      <c r="L78" s="182"/>
      <c r="M78" s="628">
        <f>VLOOKUP(B78,'BK TT'!$B$6:$I$103,8,0)</f>
        <v>0</v>
      </c>
      <c r="N78" s="181">
        <f t="shared" ref="N78:N97" si="25">AH78*$D$161+(AI78+AJ78)*$D$162+AK78*$D$164</f>
        <v>0</v>
      </c>
      <c r="O78" s="152"/>
      <c r="P78" s="152"/>
      <c r="Q78" s="185">
        <v>1000000</v>
      </c>
      <c r="R78" s="185"/>
      <c r="S78" s="179">
        <f t="shared" si="7"/>
        <v>1000000</v>
      </c>
      <c r="T78" s="185"/>
      <c r="U78" s="185"/>
      <c r="V78" s="185">
        <f t="shared" si="22"/>
        <v>0</v>
      </c>
      <c r="W78" s="185"/>
      <c r="X78" s="164">
        <v>1</v>
      </c>
      <c r="Y78" s="185">
        <f t="shared" si="23"/>
        <v>6200000</v>
      </c>
      <c r="Z78" s="195">
        <f t="shared" ref="Z78:Z97" si="26">MAX(V78-T78-W78-Y78,0)</f>
        <v>0</v>
      </c>
      <c r="AA78" s="185">
        <f t="shared" ref="AA78:AA97" si="27">IF(Z78=0,0,IF(Z78&lt;=10000000,1,IF(Z78&lt;=30000000,2,IF(Z78&lt;=60000000,3,IF(Z78&lt;=100000000,4,5)))))</f>
        <v>0</v>
      </c>
      <c r="AB78" s="153">
        <f t="shared" si="24"/>
        <v>0</v>
      </c>
      <c r="AC78" s="185">
        <f t="shared" ref="AC78:AC97" si="28">S78-T78-AB78</f>
        <v>1000000</v>
      </c>
      <c r="AD78" s="181"/>
      <c r="AE78" s="179"/>
      <c r="AF78" s="179">
        <v>13585122</v>
      </c>
      <c r="AG78" s="179"/>
      <c r="AH78" s="672"/>
      <c r="AI78" s="196"/>
      <c r="AJ78" s="677"/>
      <c r="AK78" s="204"/>
      <c r="AL78" s="347"/>
      <c r="AM78" s="342"/>
      <c r="AN78" s="343"/>
      <c r="AO78" s="344"/>
      <c r="AP78" s="115"/>
      <c r="AQ78" s="115"/>
      <c r="AR78" s="259"/>
      <c r="AS78" s="115"/>
      <c r="AU78" s="339" t="s">
        <v>390</v>
      </c>
      <c r="AV78" s="113"/>
    </row>
    <row r="79" spans="1:48" s="141" customFormat="1" ht="21.75" customHeight="1">
      <c r="A79" s="108">
        <v>65</v>
      </c>
      <c r="B79" s="638" t="s">
        <v>129</v>
      </c>
      <c r="C79" s="162"/>
      <c r="D79" s="163"/>
      <c r="E79" s="163"/>
      <c r="F79" s="163"/>
      <c r="G79" s="263"/>
      <c r="H79" s="153"/>
      <c r="I79" s="184">
        <v>0</v>
      </c>
      <c r="J79" s="366"/>
      <c r="K79" s="263"/>
      <c r="L79" s="164"/>
      <c r="M79" s="628">
        <f>VLOOKUP(B79,'BK TT'!$B$6:$I$103,8,0)</f>
        <v>0</v>
      </c>
      <c r="N79" s="181">
        <f t="shared" si="25"/>
        <v>6000000</v>
      </c>
      <c r="O79" s="152"/>
      <c r="P79" s="153"/>
      <c r="Q79" s="185">
        <v>1000000</v>
      </c>
      <c r="R79" s="185"/>
      <c r="S79" s="179">
        <f t="shared" ref="S79:S97" si="29">G79+H79+I79+J79-L79+M79+N79+Q79+K79+R79</f>
        <v>7000000</v>
      </c>
      <c r="T79" s="185"/>
      <c r="U79" s="185"/>
      <c r="V79" s="185">
        <f t="shared" si="22"/>
        <v>6000000</v>
      </c>
      <c r="W79" s="185"/>
      <c r="X79" s="164"/>
      <c r="Y79" s="185">
        <f t="shared" si="23"/>
        <v>0</v>
      </c>
      <c r="Z79" s="195">
        <f t="shared" si="26"/>
        <v>6000000</v>
      </c>
      <c r="AA79" s="185">
        <f t="shared" si="27"/>
        <v>1</v>
      </c>
      <c r="AB79" s="153">
        <f t="shared" si="24"/>
        <v>600000</v>
      </c>
      <c r="AC79" s="185">
        <f t="shared" si="28"/>
        <v>6400000</v>
      </c>
      <c r="AD79" s="323"/>
      <c r="AE79" s="197"/>
      <c r="AF79" s="197"/>
      <c r="AG79" s="178"/>
      <c r="AH79" s="672"/>
      <c r="AI79" s="196">
        <v>2</v>
      </c>
      <c r="AJ79" s="677"/>
      <c r="AK79" s="210"/>
      <c r="AL79" s="211"/>
      <c r="AM79" s="249"/>
      <c r="AN79" s="250"/>
      <c r="AO79" s="220"/>
      <c r="AP79" s="145"/>
      <c r="AQ79" s="145"/>
      <c r="AR79" s="146"/>
      <c r="AS79" s="145"/>
      <c r="AU79" s="137" t="s">
        <v>391</v>
      </c>
      <c r="AV79" s="143"/>
    </row>
    <row r="80" spans="1:48" s="141" customFormat="1" ht="21.75" customHeight="1">
      <c r="A80" s="151">
        <v>66</v>
      </c>
      <c r="B80" s="638" t="s">
        <v>130</v>
      </c>
      <c r="C80" s="162"/>
      <c r="D80" s="163"/>
      <c r="E80" s="163"/>
      <c r="F80" s="163"/>
      <c r="G80" s="263"/>
      <c r="H80" s="153"/>
      <c r="I80" s="184">
        <v>0</v>
      </c>
      <c r="J80" s="366"/>
      <c r="K80" s="263"/>
      <c r="L80" s="164"/>
      <c r="M80" s="628">
        <f>VLOOKUP(B80,'BK TT'!$B$6:$I$103,8,0)</f>
        <v>0</v>
      </c>
      <c r="N80" s="181">
        <f t="shared" si="25"/>
        <v>0</v>
      </c>
      <c r="O80" s="152"/>
      <c r="P80" s="153"/>
      <c r="Q80" s="185">
        <v>1000000</v>
      </c>
      <c r="R80" s="185"/>
      <c r="S80" s="179">
        <f t="shared" si="29"/>
        <v>1000000</v>
      </c>
      <c r="T80" s="185"/>
      <c r="U80" s="185"/>
      <c r="V80" s="185">
        <f>S80-Q80-J80-R80</f>
        <v>0</v>
      </c>
      <c r="W80" s="185"/>
      <c r="X80" s="164"/>
      <c r="Y80" s="185">
        <f t="shared" si="23"/>
        <v>0</v>
      </c>
      <c r="Z80" s="195">
        <f t="shared" si="26"/>
        <v>0</v>
      </c>
      <c r="AA80" s="185">
        <f t="shared" si="27"/>
        <v>0</v>
      </c>
      <c r="AB80" s="153">
        <f t="shared" si="24"/>
        <v>0</v>
      </c>
      <c r="AC80" s="185">
        <f t="shared" si="28"/>
        <v>1000000</v>
      </c>
      <c r="AD80" s="323"/>
      <c r="AE80" s="197"/>
      <c r="AF80" s="197"/>
      <c r="AG80" s="178"/>
      <c r="AH80" s="672"/>
      <c r="AI80" s="196"/>
      <c r="AJ80" s="677"/>
      <c r="AK80" s="210"/>
      <c r="AL80" s="211"/>
      <c r="AM80" s="249"/>
      <c r="AN80" s="250"/>
      <c r="AO80" s="220"/>
      <c r="AP80" s="145"/>
      <c r="AQ80" s="145"/>
      <c r="AR80" s="146"/>
      <c r="AS80" s="145"/>
      <c r="AU80" s="137" t="s">
        <v>392</v>
      </c>
      <c r="AV80" s="143"/>
    </row>
    <row r="81" spans="1:48" s="141" customFormat="1" ht="21.75" customHeight="1">
      <c r="A81" s="108">
        <v>67</v>
      </c>
      <c r="B81" s="638" t="s">
        <v>131</v>
      </c>
      <c r="C81" s="162"/>
      <c r="D81" s="163"/>
      <c r="E81" s="163"/>
      <c r="F81" s="163"/>
      <c r="G81" s="263"/>
      <c r="H81" s="153"/>
      <c r="I81" s="184">
        <v>0</v>
      </c>
      <c r="J81" s="366"/>
      <c r="K81" s="263"/>
      <c r="L81" s="164"/>
      <c r="M81" s="628">
        <f>VLOOKUP(B81,'BK TT'!$B$6:$I$103,8,0)</f>
        <v>0</v>
      </c>
      <c r="N81" s="181">
        <f t="shared" si="25"/>
        <v>0</v>
      </c>
      <c r="O81" s="152"/>
      <c r="P81" s="153"/>
      <c r="Q81" s="185">
        <v>1000000</v>
      </c>
      <c r="R81" s="185"/>
      <c r="S81" s="179">
        <f t="shared" si="29"/>
        <v>1000000</v>
      </c>
      <c r="T81" s="185"/>
      <c r="U81" s="185"/>
      <c r="V81" s="185">
        <f t="shared" si="22"/>
        <v>0</v>
      </c>
      <c r="W81" s="185"/>
      <c r="X81" s="164"/>
      <c r="Y81" s="185">
        <f t="shared" si="23"/>
        <v>0</v>
      </c>
      <c r="Z81" s="195">
        <f t="shared" si="26"/>
        <v>0</v>
      </c>
      <c r="AA81" s="185">
        <f t="shared" si="27"/>
        <v>0</v>
      </c>
      <c r="AB81" s="153">
        <f t="shared" si="24"/>
        <v>0</v>
      </c>
      <c r="AC81" s="185">
        <f t="shared" si="28"/>
        <v>1000000</v>
      </c>
      <c r="AD81" s="323"/>
      <c r="AE81" s="197"/>
      <c r="AF81" s="197"/>
      <c r="AG81" s="178"/>
      <c r="AH81" s="672"/>
      <c r="AI81" s="196"/>
      <c r="AJ81" s="677"/>
      <c r="AK81" s="210"/>
      <c r="AL81" s="211"/>
      <c r="AM81" s="249"/>
      <c r="AN81" s="250"/>
      <c r="AO81" s="220"/>
      <c r="AP81" s="145"/>
      <c r="AQ81" s="145"/>
      <c r="AR81" s="146"/>
      <c r="AS81" s="145"/>
      <c r="AU81" s="137" t="s">
        <v>393</v>
      </c>
      <c r="AV81" s="143"/>
    </row>
    <row r="82" spans="1:48" s="141" customFormat="1" ht="21.75" customHeight="1">
      <c r="A82" s="151">
        <v>68</v>
      </c>
      <c r="B82" s="638" t="s">
        <v>132</v>
      </c>
      <c r="C82" s="162"/>
      <c r="D82" s="163"/>
      <c r="E82" s="163"/>
      <c r="F82" s="163"/>
      <c r="G82" s="263"/>
      <c r="H82" s="153"/>
      <c r="I82" s="184">
        <v>0</v>
      </c>
      <c r="J82" s="366"/>
      <c r="K82" s="263"/>
      <c r="L82" s="164"/>
      <c r="M82" s="628">
        <f>VLOOKUP(B82,'BK TT'!$B$6:$I$103,8,0)</f>
        <v>0</v>
      </c>
      <c r="N82" s="181">
        <f t="shared" si="25"/>
        <v>0</v>
      </c>
      <c r="O82" s="152"/>
      <c r="P82" s="153"/>
      <c r="Q82" s="185">
        <v>1000000</v>
      </c>
      <c r="R82" s="185"/>
      <c r="S82" s="179">
        <f t="shared" si="29"/>
        <v>1000000</v>
      </c>
      <c r="T82" s="185"/>
      <c r="U82" s="185"/>
      <c r="V82" s="185">
        <f t="shared" si="22"/>
        <v>0</v>
      </c>
      <c r="W82" s="185"/>
      <c r="X82" s="164"/>
      <c r="Y82" s="185">
        <f t="shared" si="23"/>
        <v>0</v>
      </c>
      <c r="Z82" s="195">
        <f t="shared" si="26"/>
        <v>0</v>
      </c>
      <c r="AA82" s="185">
        <f t="shared" si="27"/>
        <v>0</v>
      </c>
      <c r="AB82" s="153">
        <f t="shared" si="24"/>
        <v>0</v>
      </c>
      <c r="AC82" s="185">
        <f t="shared" si="28"/>
        <v>1000000</v>
      </c>
      <c r="AD82" s="323"/>
      <c r="AE82" s="197"/>
      <c r="AF82" s="197"/>
      <c r="AG82" s="178"/>
      <c r="AH82" s="672"/>
      <c r="AI82" s="196"/>
      <c r="AJ82" s="677"/>
      <c r="AK82" s="210"/>
      <c r="AL82" s="211"/>
      <c r="AM82" s="249"/>
      <c r="AN82" s="250"/>
      <c r="AO82" s="220"/>
      <c r="AP82" s="145"/>
      <c r="AQ82" s="145"/>
      <c r="AR82" s="146"/>
      <c r="AS82" s="145"/>
      <c r="AU82" s="137" t="s">
        <v>394</v>
      </c>
      <c r="AV82" s="143"/>
    </row>
    <row r="83" spans="1:48" s="141" customFormat="1" ht="21.75" customHeight="1">
      <c r="A83" s="108">
        <v>69</v>
      </c>
      <c r="B83" s="638" t="s">
        <v>133</v>
      </c>
      <c r="C83" s="162"/>
      <c r="D83" s="163"/>
      <c r="E83" s="163"/>
      <c r="F83" s="163"/>
      <c r="G83" s="263"/>
      <c r="H83" s="153"/>
      <c r="I83" s="184">
        <v>0</v>
      </c>
      <c r="J83" s="366"/>
      <c r="K83" s="263"/>
      <c r="L83" s="164"/>
      <c r="M83" s="628">
        <f>VLOOKUP(B83,'BK TT'!$B$6:$I$103,8,0)</f>
        <v>0</v>
      </c>
      <c r="N83" s="181">
        <f t="shared" si="25"/>
        <v>0</v>
      </c>
      <c r="O83" s="152"/>
      <c r="P83" s="153"/>
      <c r="Q83" s="185">
        <v>1000000</v>
      </c>
      <c r="R83" s="185"/>
      <c r="S83" s="179">
        <f t="shared" si="29"/>
        <v>1000000</v>
      </c>
      <c r="T83" s="185"/>
      <c r="U83" s="185"/>
      <c r="V83" s="185">
        <f t="shared" si="22"/>
        <v>0</v>
      </c>
      <c r="W83" s="185"/>
      <c r="X83" s="164"/>
      <c r="Y83" s="185">
        <f t="shared" si="23"/>
        <v>0</v>
      </c>
      <c r="Z83" s="195">
        <f t="shared" si="26"/>
        <v>0</v>
      </c>
      <c r="AA83" s="185">
        <f t="shared" si="27"/>
        <v>0</v>
      </c>
      <c r="AB83" s="153">
        <f t="shared" si="24"/>
        <v>0</v>
      </c>
      <c r="AC83" s="185">
        <f t="shared" si="28"/>
        <v>1000000</v>
      </c>
      <c r="AD83" s="323"/>
      <c r="AE83" s="197"/>
      <c r="AF83" s="197"/>
      <c r="AG83" s="178"/>
      <c r="AH83" s="672"/>
      <c r="AI83" s="196"/>
      <c r="AJ83" s="677"/>
      <c r="AK83" s="210"/>
      <c r="AL83" s="211"/>
      <c r="AM83" s="249"/>
      <c r="AN83" s="250"/>
      <c r="AO83" s="220"/>
      <c r="AP83" s="145"/>
      <c r="AQ83" s="145"/>
      <c r="AR83" s="146"/>
      <c r="AS83" s="145"/>
      <c r="AU83" s="137" t="s">
        <v>395</v>
      </c>
      <c r="AV83" s="143"/>
    </row>
    <row r="84" spans="1:48" s="141" customFormat="1" ht="21.75" customHeight="1">
      <c r="A84" s="151">
        <v>70</v>
      </c>
      <c r="B84" s="638" t="s">
        <v>134</v>
      </c>
      <c r="C84" s="162"/>
      <c r="D84" s="163"/>
      <c r="E84" s="163"/>
      <c r="F84" s="163"/>
      <c r="G84" s="263"/>
      <c r="H84" s="153"/>
      <c r="I84" s="184">
        <v>0</v>
      </c>
      <c r="J84" s="366"/>
      <c r="K84" s="263"/>
      <c r="L84" s="164"/>
      <c r="M84" s="628">
        <f>VLOOKUP(B84,'BK TT'!$B$6:$I$103,8,0)</f>
        <v>0</v>
      </c>
      <c r="N84" s="181">
        <f t="shared" si="25"/>
        <v>22000000</v>
      </c>
      <c r="O84" s="152"/>
      <c r="P84" s="153"/>
      <c r="Q84" s="185">
        <v>1000000</v>
      </c>
      <c r="R84" s="185"/>
      <c r="S84" s="179">
        <f t="shared" si="29"/>
        <v>23000000</v>
      </c>
      <c r="T84" s="185"/>
      <c r="U84" s="185"/>
      <c r="V84" s="185">
        <f t="shared" si="22"/>
        <v>22000000</v>
      </c>
      <c r="W84" s="185"/>
      <c r="X84" s="164"/>
      <c r="Y84" s="185">
        <f t="shared" si="23"/>
        <v>0</v>
      </c>
      <c r="Z84" s="195">
        <f t="shared" si="26"/>
        <v>22000000</v>
      </c>
      <c r="AA84" s="185">
        <f t="shared" si="27"/>
        <v>2</v>
      </c>
      <c r="AB84" s="153">
        <f t="shared" si="24"/>
        <v>2200000</v>
      </c>
      <c r="AC84" s="185">
        <f t="shared" si="28"/>
        <v>20800000</v>
      </c>
      <c r="AD84" s="323"/>
      <c r="AE84" s="197"/>
      <c r="AF84" s="197"/>
      <c r="AG84" s="178"/>
      <c r="AH84" s="672">
        <v>5</v>
      </c>
      <c r="AI84" s="196">
        <v>3</v>
      </c>
      <c r="AJ84" s="677">
        <v>1</v>
      </c>
      <c r="AK84" s="210"/>
      <c r="AL84" s="211"/>
      <c r="AM84" s="249"/>
      <c r="AN84" s="250"/>
      <c r="AO84" s="220"/>
      <c r="AP84" s="145"/>
      <c r="AQ84" s="145"/>
      <c r="AR84" s="146"/>
      <c r="AS84" s="145"/>
      <c r="AU84" s="137" t="s">
        <v>396</v>
      </c>
      <c r="AV84" s="214"/>
    </row>
    <row r="85" spans="1:48" s="141" customFormat="1" ht="21.75" customHeight="1">
      <c r="A85" s="108">
        <v>71</v>
      </c>
      <c r="B85" s="638" t="s">
        <v>135</v>
      </c>
      <c r="C85" s="162"/>
      <c r="D85" s="163"/>
      <c r="E85" s="163"/>
      <c r="F85" s="163"/>
      <c r="G85" s="263"/>
      <c r="H85" s="153"/>
      <c r="I85" s="184">
        <v>0</v>
      </c>
      <c r="J85" s="366"/>
      <c r="K85" s="263"/>
      <c r="L85" s="164"/>
      <c r="M85" s="628">
        <f>VLOOKUP(B85,'BK TT'!$B$6:$I$103,8,0)</f>
        <v>0</v>
      </c>
      <c r="N85" s="181">
        <f t="shared" si="25"/>
        <v>9000000</v>
      </c>
      <c r="O85" s="152"/>
      <c r="P85" s="153"/>
      <c r="Q85" s="185">
        <v>1000000</v>
      </c>
      <c r="R85" s="185"/>
      <c r="S85" s="179">
        <f t="shared" si="29"/>
        <v>10000000</v>
      </c>
      <c r="T85" s="185"/>
      <c r="U85" s="185"/>
      <c r="V85" s="185">
        <f>S85-Q85-J85-R85</f>
        <v>9000000</v>
      </c>
      <c r="W85" s="185"/>
      <c r="X85" s="164"/>
      <c r="Y85" s="185">
        <f t="shared" si="23"/>
        <v>0</v>
      </c>
      <c r="Z85" s="195">
        <f t="shared" si="26"/>
        <v>9000000</v>
      </c>
      <c r="AA85" s="185">
        <f t="shared" si="27"/>
        <v>1</v>
      </c>
      <c r="AB85" s="153">
        <f t="shared" si="24"/>
        <v>900000</v>
      </c>
      <c r="AC85" s="185">
        <f t="shared" si="28"/>
        <v>9100000</v>
      </c>
      <c r="AD85" s="323"/>
      <c r="AE85" s="197"/>
      <c r="AF85" s="197"/>
      <c r="AG85" s="178"/>
      <c r="AH85" s="672"/>
      <c r="AI85" s="196">
        <v>3</v>
      </c>
      <c r="AJ85" s="677"/>
      <c r="AK85" s="210"/>
      <c r="AL85" s="211"/>
      <c r="AM85" s="249"/>
      <c r="AN85" s="250"/>
      <c r="AO85" s="220"/>
      <c r="AP85" s="145"/>
      <c r="AQ85" s="145"/>
      <c r="AR85" s="146"/>
      <c r="AS85" s="145"/>
      <c r="AU85" s="137" t="s">
        <v>397</v>
      </c>
      <c r="AV85" s="214"/>
    </row>
    <row r="86" spans="1:48" s="141" customFormat="1" ht="21.75" customHeight="1">
      <c r="A86" s="151">
        <v>72</v>
      </c>
      <c r="B86" s="638" t="s">
        <v>136</v>
      </c>
      <c r="C86" s="162"/>
      <c r="D86" s="163"/>
      <c r="E86" s="163"/>
      <c r="F86" s="163"/>
      <c r="G86" s="263"/>
      <c r="H86" s="153"/>
      <c r="I86" s="184">
        <v>0</v>
      </c>
      <c r="J86" s="366"/>
      <c r="K86" s="263"/>
      <c r="L86" s="164"/>
      <c r="M86" s="628">
        <f>VLOOKUP(B86,'BK TT'!$B$6:$I$103,8,0)</f>
        <v>0</v>
      </c>
      <c r="N86" s="181">
        <f t="shared" si="25"/>
        <v>0</v>
      </c>
      <c r="O86" s="152"/>
      <c r="P86" s="153"/>
      <c r="Q86" s="185">
        <v>1000000</v>
      </c>
      <c r="R86" s="185"/>
      <c r="S86" s="179">
        <f t="shared" si="29"/>
        <v>1000000</v>
      </c>
      <c r="T86" s="185"/>
      <c r="U86" s="185"/>
      <c r="V86" s="185">
        <f>S86-Q86-J86-R86</f>
        <v>0</v>
      </c>
      <c r="W86" s="185"/>
      <c r="X86" s="164"/>
      <c r="Y86" s="185">
        <f t="shared" si="23"/>
        <v>0</v>
      </c>
      <c r="Z86" s="195">
        <f t="shared" si="26"/>
        <v>0</v>
      </c>
      <c r="AA86" s="185">
        <f t="shared" si="27"/>
        <v>0</v>
      </c>
      <c r="AB86" s="153">
        <f t="shared" si="24"/>
        <v>0</v>
      </c>
      <c r="AC86" s="185">
        <f t="shared" si="28"/>
        <v>1000000</v>
      </c>
      <c r="AD86" s="323"/>
      <c r="AE86" s="197"/>
      <c r="AF86" s="197"/>
      <c r="AG86" s="178"/>
      <c r="AH86" s="672"/>
      <c r="AI86" s="196"/>
      <c r="AJ86" s="677"/>
      <c r="AK86" s="210"/>
      <c r="AL86" s="211"/>
      <c r="AM86" s="249"/>
      <c r="AN86" s="250"/>
      <c r="AO86" s="220"/>
      <c r="AP86" s="145"/>
      <c r="AQ86" s="145"/>
      <c r="AR86" s="146"/>
      <c r="AS86" s="145"/>
      <c r="AU86" s="137" t="s">
        <v>398</v>
      </c>
      <c r="AV86" s="143"/>
    </row>
    <row r="87" spans="1:48" s="141" customFormat="1" ht="21.75" customHeight="1">
      <c r="A87" s="108">
        <v>73</v>
      </c>
      <c r="B87" s="638" t="s">
        <v>137</v>
      </c>
      <c r="C87" s="162"/>
      <c r="D87" s="163"/>
      <c r="E87" s="163"/>
      <c r="F87" s="163"/>
      <c r="G87" s="263"/>
      <c r="H87" s="153"/>
      <c r="I87" s="184">
        <v>0</v>
      </c>
      <c r="J87" s="366"/>
      <c r="K87" s="263"/>
      <c r="L87" s="164"/>
      <c r="M87" s="628">
        <f>VLOOKUP(B87,'BK TT'!$B$6:$I$103,8,0)</f>
        <v>0</v>
      </c>
      <c r="N87" s="181">
        <f t="shared" si="25"/>
        <v>0</v>
      </c>
      <c r="O87" s="152"/>
      <c r="P87" s="153"/>
      <c r="Q87" s="185">
        <v>1000000</v>
      </c>
      <c r="R87" s="185"/>
      <c r="S87" s="179">
        <f t="shared" si="29"/>
        <v>1000000</v>
      </c>
      <c r="T87" s="185"/>
      <c r="U87" s="185"/>
      <c r="V87" s="185">
        <f t="shared" ref="V87:V97" si="30">S87-Q87-J87-R87</f>
        <v>0</v>
      </c>
      <c r="W87" s="185"/>
      <c r="X87" s="164"/>
      <c r="Y87" s="185">
        <f t="shared" si="23"/>
        <v>0</v>
      </c>
      <c r="Z87" s="195">
        <f t="shared" si="26"/>
        <v>0</v>
      </c>
      <c r="AA87" s="185">
        <f t="shared" si="27"/>
        <v>0</v>
      </c>
      <c r="AB87" s="153">
        <f t="shared" si="24"/>
        <v>0</v>
      </c>
      <c r="AC87" s="185">
        <f t="shared" si="28"/>
        <v>1000000</v>
      </c>
      <c r="AD87" s="323"/>
      <c r="AE87" s="197"/>
      <c r="AF87" s="197"/>
      <c r="AG87" s="178"/>
      <c r="AH87" s="672"/>
      <c r="AI87" s="196"/>
      <c r="AJ87" s="677"/>
      <c r="AK87" s="210"/>
      <c r="AL87" s="211"/>
      <c r="AM87" s="249"/>
      <c r="AN87" s="250"/>
      <c r="AO87" s="220"/>
      <c r="AP87" s="145"/>
      <c r="AQ87" s="145"/>
      <c r="AR87" s="146"/>
      <c r="AS87" s="145"/>
      <c r="AU87" s="137" t="s">
        <v>399</v>
      </c>
      <c r="AV87" s="143"/>
    </row>
    <row r="88" spans="1:48" s="141" customFormat="1" ht="21.75" customHeight="1">
      <c r="A88" s="151">
        <v>74</v>
      </c>
      <c r="B88" s="638" t="s">
        <v>138</v>
      </c>
      <c r="C88" s="162"/>
      <c r="D88" s="163"/>
      <c r="E88" s="163"/>
      <c r="F88" s="163"/>
      <c r="G88" s="263"/>
      <c r="H88" s="153"/>
      <c r="I88" s="184">
        <v>0</v>
      </c>
      <c r="J88" s="366"/>
      <c r="K88" s="263"/>
      <c r="L88" s="164"/>
      <c r="M88" s="628">
        <f>VLOOKUP(B88,'BK TT'!$B$6:$I$103,8,0)</f>
        <v>0</v>
      </c>
      <c r="N88" s="181">
        <f t="shared" si="25"/>
        <v>0</v>
      </c>
      <c r="O88" s="152"/>
      <c r="P88" s="153"/>
      <c r="Q88" s="185">
        <v>1000000</v>
      </c>
      <c r="R88" s="185"/>
      <c r="S88" s="179">
        <f t="shared" si="29"/>
        <v>1000000</v>
      </c>
      <c r="T88" s="185"/>
      <c r="U88" s="185"/>
      <c r="V88" s="185">
        <f t="shared" si="30"/>
        <v>0</v>
      </c>
      <c r="W88" s="185"/>
      <c r="X88" s="164"/>
      <c r="Y88" s="185">
        <f t="shared" si="23"/>
        <v>0</v>
      </c>
      <c r="Z88" s="195">
        <f t="shared" si="26"/>
        <v>0</v>
      </c>
      <c r="AA88" s="185">
        <f t="shared" si="27"/>
        <v>0</v>
      </c>
      <c r="AB88" s="153">
        <f t="shared" si="24"/>
        <v>0</v>
      </c>
      <c r="AC88" s="185">
        <f t="shared" si="28"/>
        <v>1000000</v>
      </c>
      <c r="AD88" s="323"/>
      <c r="AE88" s="197"/>
      <c r="AF88" s="197"/>
      <c r="AG88" s="178" t="s">
        <v>410</v>
      </c>
      <c r="AH88" s="672"/>
      <c r="AI88" s="196"/>
      <c r="AJ88" s="677"/>
      <c r="AK88" s="210"/>
      <c r="AL88" s="211"/>
      <c r="AM88" s="249"/>
      <c r="AN88" s="250"/>
      <c r="AO88" s="220"/>
      <c r="AP88" s="145"/>
      <c r="AQ88" s="145"/>
      <c r="AR88" s="146"/>
      <c r="AS88" s="145"/>
      <c r="AU88" s="137" t="s">
        <v>400</v>
      </c>
      <c r="AV88" s="143"/>
    </row>
    <row r="89" spans="1:48" s="141" customFormat="1" ht="21.75" customHeight="1">
      <c r="A89" s="108">
        <v>75</v>
      </c>
      <c r="B89" s="638" t="s">
        <v>139</v>
      </c>
      <c r="C89" s="162"/>
      <c r="D89" s="163"/>
      <c r="E89" s="163"/>
      <c r="F89" s="163"/>
      <c r="G89" s="263"/>
      <c r="H89" s="153"/>
      <c r="I89" s="184">
        <v>0</v>
      </c>
      <c r="J89" s="366"/>
      <c r="K89" s="263"/>
      <c r="L89" s="164"/>
      <c r="M89" s="628">
        <f>VLOOKUP(B89,'BK TT'!$B$6:$I$103,8,0)</f>
        <v>0</v>
      </c>
      <c r="N89" s="181">
        <f t="shared" si="25"/>
        <v>0</v>
      </c>
      <c r="O89" s="152"/>
      <c r="P89" s="153"/>
      <c r="Q89" s="185">
        <v>1000000</v>
      </c>
      <c r="R89" s="185"/>
      <c r="S89" s="179">
        <f t="shared" si="29"/>
        <v>1000000</v>
      </c>
      <c r="T89" s="185"/>
      <c r="U89" s="185"/>
      <c r="V89" s="185">
        <f t="shared" si="30"/>
        <v>0</v>
      </c>
      <c r="W89" s="185"/>
      <c r="X89" s="164"/>
      <c r="Y89" s="185">
        <f t="shared" si="23"/>
        <v>0</v>
      </c>
      <c r="Z89" s="195">
        <f t="shared" si="26"/>
        <v>0</v>
      </c>
      <c r="AA89" s="185">
        <f t="shared" si="27"/>
        <v>0</v>
      </c>
      <c r="AB89" s="153">
        <f t="shared" si="24"/>
        <v>0</v>
      </c>
      <c r="AC89" s="185">
        <f t="shared" si="28"/>
        <v>1000000</v>
      </c>
      <c r="AD89" s="323"/>
      <c r="AE89" s="197"/>
      <c r="AF89" s="197"/>
      <c r="AG89" s="178" t="s">
        <v>417</v>
      </c>
      <c r="AH89" s="672"/>
      <c r="AI89" s="196"/>
      <c r="AJ89" s="677"/>
      <c r="AK89" s="210"/>
      <c r="AL89" s="211"/>
      <c r="AM89" s="249"/>
      <c r="AN89" s="250"/>
      <c r="AO89" s="220"/>
      <c r="AP89" s="145"/>
      <c r="AQ89" s="145"/>
      <c r="AR89" s="146"/>
      <c r="AS89" s="145"/>
      <c r="AU89" s="137" t="s">
        <v>401</v>
      </c>
      <c r="AV89" s="143"/>
    </row>
    <row r="90" spans="1:48" s="141" customFormat="1" ht="21.75" customHeight="1">
      <c r="A90" s="151">
        <v>76</v>
      </c>
      <c r="B90" s="638" t="s">
        <v>140</v>
      </c>
      <c r="C90" s="162"/>
      <c r="D90" s="163"/>
      <c r="E90" s="163"/>
      <c r="F90" s="163"/>
      <c r="G90" s="263"/>
      <c r="H90" s="153"/>
      <c r="I90" s="184">
        <v>0</v>
      </c>
      <c r="J90" s="366"/>
      <c r="K90" s="263"/>
      <c r="L90" s="164"/>
      <c r="M90" s="628">
        <f>VLOOKUP(B90,'BK TT'!$B$6:$I$103,8,0)</f>
        <v>0</v>
      </c>
      <c r="N90" s="181">
        <f t="shared" si="25"/>
        <v>0</v>
      </c>
      <c r="O90" s="152"/>
      <c r="P90" s="153"/>
      <c r="Q90" s="185">
        <v>1000000</v>
      </c>
      <c r="R90" s="185"/>
      <c r="S90" s="179">
        <f t="shared" si="29"/>
        <v>1000000</v>
      </c>
      <c r="T90" s="185"/>
      <c r="U90" s="185"/>
      <c r="V90" s="185">
        <f t="shared" si="30"/>
        <v>0</v>
      </c>
      <c r="W90" s="185"/>
      <c r="X90" s="164"/>
      <c r="Y90" s="185">
        <f t="shared" si="23"/>
        <v>0</v>
      </c>
      <c r="Z90" s="195">
        <f t="shared" si="26"/>
        <v>0</v>
      </c>
      <c r="AA90" s="185">
        <f t="shared" si="27"/>
        <v>0</v>
      </c>
      <c r="AB90" s="153">
        <f t="shared" si="24"/>
        <v>0</v>
      </c>
      <c r="AC90" s="185">
        <f t="shared" si="28"/>
        <v>1000000</v>
      </c>
      <c r="AD90" s="323"/>
      <c r="AE90" s="197"/>
      <c r="AF90" s="197"/>
      <c r="AG90" s="178"/>
      <c r="AH90" s="672"/>
      <c r="AI90" s="196"/>
      <c r="AJ90" s="677"/>
      <c r="AK90" s="210"/>
      <c r="AL90" s="211"/>
      <c r="AM90" s="249"/>
      <c r="AN90" s="250"/>
      <c r="AO90" s="220"/>
      <c r="AP90" s="145"/>
      <c r="AQ90" s="145"/>
      <c r="AR90" s="146"/>
      <c r="AS90" s="145"/>
      <c r="AU90" s="137" t="s">
        <v>402</v>
      </c>
      <c r="AV90" s="143"/>
    </row>
    <row r="91" spans="1:48" s="141" customFormat="1" ht="21.75" customHeight="1">
      <c r="A91" s="108">
        <v>77</v>
      </c>
      <c r="B91" s="638" t="s">
        <v>141</v>
      </c>
      <c r="C91" s="162"/>
      <c r="D91" s="163"/>
      <c r="E91" s="163"/>
      <c r="F91" s="163"/>
      <c r="G91" s="263"/>
      <c r="H91" s="153"/>
      <c r="I91" s="184">
        <v>0</v>
      </c>
      <c r="J91" s="366"/>
      <c r="K91" s="263"/>
      <c r="L91" s="164"/>
      <c r="M91" s="628">
        <f>VLOOKUP(B91,'BK TT'!$B$6:$I$103,8,0)</f>
        <v>0</v>
      </c>
      <c r="N91" s="181">
        <f t="shared" si="25"/>
        <v>0</v>
      </c>
      <c r="O91" s="152"/>
      <c r="P91" s="153"/>
      <c r="Q91" s="185">
        <v>1000000</v>
      </c>
      <c r="R91" s="185"/>
      <c r="S91" s="179">
        <f t="shared" si="29"/>
        <v>1000000</v>
      </c>
      <c r="T91" s="185"/>
      <c r="U91" s="185"/>
      <c r="V91" s="185">
        <f t="shared" si="30"/>
        <v>0</v>
      </c>
      <c r="W91" s="185"/>
      <c r="X91" s="164"/>
      <c r="Y91" s="185">
        <f t="shared" si="23"/>
        <v>0</v>
      </c>
      <c r="Z91" s="195">
        <f t="shared" si="26"/>
        <v>0</v>
      </c>
      <c r="AA91" s="185">
        <f t="shared" si="27"/>
        <v>0</v>
      </c>
      <c r="AB91" s="153">
        <f t="shared" si="24"/>
        <v>0</v>
      </c>
      <c r="AC91" s="185">
        <f t="shared" si="28"/>
        <v>1000000</v>
      </c>
      <c r="AD91" s="323"/>
      <c r="AE91" s="197"/>
      <c r="AF91" s="197"/>
      <c r="AG91" s="178"/>
      <c r="AH91" s="672"/>
      <c r="AI91" s="196"/>
      <c r="AJ91" s="677"/>
      <c r="AK91" s="210"/>
      <c r="AL91" s="211"/>
      <c r="AM91" s="249"/>
      <c r="AN91" s="250"/>
      <c r="AO91" s="220"/>
      <c r="AP91" s="145"/>
      <c r="AQ91" s="145"/>
      <c r="AR91" s="146"/>
      <c r="AS91" s="145"/>
      <c r="AU91" s="137" t="s">
        <v>403</v>
      </c>
      <c r="AV91" s="143"/>
    </row>
    <row r="92" spans="1:48" s="141" customFormat="1" ht="21.75" customHeight="1">
      <c r="A92" s="151">
        <v>78</v>
      </c>
      <c r="B92" s="638" t="s">
        <v>142</v>
      </c>
      <c r="C92" s="162"/>
      <c r="D92" s="163"/>
      <c r="E92" s="163"/>
      <c r="F92" s="163"/>
      <c r="G92" s="263"/>
      <c r="H92" s="153"/>
      <c r="I92" s="184">
        <v>0</v>
      </c>
      <c r="J92" s="366"/>
      <c r="K92" s="263"/>
      <c r="L92" s="164"/>
      <c r="M92" s="628">
        <f>VLOOKUP(B92,'BK TT'!$B$6:$I$103,8,0)</f>
        <v>0</v>
      </c>
      <c r="N92" s="181">
        <f t="shared" si="25"/>
        <v>0</v>
      </c>
      <c r="O92" s="152"/>
      <c r="P92" s="153"/>
      <c r="Q92" s="185">
        <v>1000000</v>
      </c>
      <c r="R92" s="185"/>
      <c r="S92" s="179">
        <f t="shared" si="29"/>
        <v>1000000</v>
      </c>
      <c r="T92" s="185"/>
      <c r="U92" s="185"/>
      <c r="V92" s="185">
        <f t="shared" si="30"/>
        <v>0</v>
      </c>
      <c r="W92" s="185"/>
      <c r="X92" s="164"/>
      <c r="Y92" s="185">
        <f t="shared" si="23"/>
        <v>0</v>
      </c>
      <c r="Z92" s="195">
        <f t="shared" si="26"/>
        <v>0</v>
      </c>
      <c r="AA92" s="185">
        <f t="shared" si="27"/>
        <v>0</v>
      </c>
      <c r="AB92" s="153">
        <f t="shared" si="24"/>
        <v>0</v>
      </c>
      <c r="AC92" s="185">
        <f t="shared" si="28"/>
        <v>1000000</v>
      </c>
      <c r="AD92" s="323"/>
      <c r="AE92" s="197"/>
      <c r="AF92" s="197"/>
      <c r="AG92" s="178"/>
      <c r="AH92" s="672"/>
      <c r="AI92" s="196"/>
      <c r="AJ92" s="677"/>
      <c r="AK92" s="210"/>
      <c r="AL92" s="211"/>
      <c r="AM92" s="249"/>
      <c r="AN92" s="250"/>
      <c r="AO92" s="220"/>
      <c r="AP92" s="145"/>
      <c r="AQ92" s="145"/>
      <c r="AR92" s="146"/>
      <c r="AS92" s="145"/>
      <c r="AU92" s="137" t="s">
        <v>404</v>
      </c>
      <c r="AV92" s="143"/>
    </row>
    <row r="93" spans="1:48" s="141" customFormat="1" ht="21.75" customHeight="1">
      <c r="A93" s="108">
        <v>79</v>
      </c>
      <c r="B93" s="638" t="s">
        <v>143</v>
      </c>
      <c r="C93" s="162"/>
      <c r="D93" s="163"/>
      <c r="E93" s="163"/>
      <c r="F93" s="163"/>
      <c r="G93" s="263"/>
      <c r="H93" s="153"/>
      <c r="I93" s="184">
        <v>0</v>
      </c>
      <c r="J93" s="366"/>
      <c r="K93" s="263"/>
      <c r="L93" s="164"/>
      <c r="M93" s="628">
        <f>VLOOKUP(B93,'BK TT'!$B$6:$I$103,8,0)</f>
        <v>0</v>
      </c>
      <c r="N93" s="181">
        <f t="shared" si="25"/>
        <v>0</v>
      </c>
      <c r="O93" s="152"/>
      <c r="P93" s="153"/>
      <c r="Q93" s="185">
        <v>1000000</v>
      </c>
      <c r="R93" s="185"/>
      <c r="S93" s="179">
        <f t="shared" si="29"/>
        <v>1000000</v>
      </c>
      <c r="T93" s="185"/>
      <c r="U93" s="185"/>
      <c r="V93" s="185">
        <f t="shared" si="30"/>
        <v>0</v>
      </c>
      <c r="W93" s="185"/>
      <c r="X93" s="164"/>
      <c r="Y93" s="185">
        <f t="shared" si="23"/>
        <v>0</v>
      </c>
      <c r="Z93" s="195">
        <f t="shared" si="26"/>
        <v>0</v>
      </c>
      <c r="AA93" s="185">
        <f t="shared" si="27"/>
        <v>0</v>
      </c>
      <c r="AB93" s="153">
        <f t="shared" si="24"/>
        <v>0</v>
      </c>
      <c r="AC93" s="185">
        <f t="shared" si="28"/>
        <v>1000000</v>
      </c>
      <c r="AD93" s="323"/>
      <c r="AE93" s="197"/>
      <c r="AF93" s="197"/>
      <c r="AG93" s="178"/>
      <c r="AH93" s="672"/>
      <c r="AI93" s="196"/>
      <c r="AJ93" s="677"/>
      <c r="AK93" s="210"/>
      <c r="AL93" s="211"/>
      <c r="AM93" s="249"/>
      <c r="AN93" s="250"/>
      <c r="AO93" s="220"/>
      <c r="AP93" s="145"/>
      <c r="AQ93" s="145"/>
      <c r="AR93" s="146"/>
      <c r="AS93" s="145"/>
      <c r="AU93" s="137" t="s">
        <v>405</v>
      </c>
      <c r="AV93" s="214"/>
    </row>
    <row r="94" spans="1:48" s="141" customFormat="1" ht="21.75" customHeight="1">
      <c r="A94" s="151">
        <v>80</v>
      </c>
      <c r="B94" s="638" t="s">
        <v>144</v>
      </c>
      <c r="C94" s="162"/>
      <c r="D94" s="163"/>
      <c r="E94" s="163"/>
      <c r="F94" s="163"/>
      <c r="G94" s="263"/>
      <c r="H94" s="153"/>
      <c r="I94" s="184">
        <v>0</v>
      </c>
      <c r="J94" s="366"/>
      <c r="K94" s="263"/>
      <c r="L94" s="164"/>
      <c r="M94" s="628">
        <f>VLOOKUP(B94,'BK TT'!$B$6:$I$103,8,0)</f>
        <v>0</v>
      </c>
      <c r="N94" s="181">
        <f t="shared" si="25"/>
        <v>3000000</v>
      </c>
      <c r="O94" s="152"/>
      <c r="P94" s="153"/>
      <c r="Q94" s="185">
        <v>1000000</v>
      </c>
      <c r="R94" s="185"/>
      <c r="S94" s="179">
        <f t="shared" si="29"/>
        <v>4000000</v>
      </c>
      <c r="T94" s="185"/>
      <c r="U94" s="185"/>
      <c r="V94" s="185">
        <f t="shared" si="30"/>
        <v>3000000</v>
      </c>
      <c r="W94" s="185"/>
      <c r="X94" s="164"/>
      <c r="Y94" s="185">
        <f t="shared" si="23"/>
        <v>0</v>
      </c>
      <c r="Z94" s="195">
        <f t="shared" si="26"/>
        <v>3000000</v>
      </c>
      <c r="AA94" s="185">
        <f t="shared" si="27"/>
        <v>1</v>
      </c>
      <c r="AB94" s="153">
        <f t="shared" si="24"/>
        <v>300000</v>
      </c>
      <c r="AC94" s="185">
        <f t="shared" si="28"/>
        <v>3700000</v>
      </c>
      <c r="AD94" s="323"/>
      <c r="AE94" s="197"/>
      <c r="AF94" s="197"/>
      <c r="AG94" s="178"/>
      <c r="AH94" s="672"/>
      <c r="AI94" s="196">
        <v>1</v>
      </c>
      <c r="AJ94" s="677"/>
      <c r="AK94" s="210"/>
      <c r="AL94" s="211"/>
      <c r="AM94" s="249"/>
      <c r="AN94" s="250"/>
      <c r="AO94" s="220"/>
      <c r="AP94" s="145"/>
      <c r="AQ94" s="145"/>
      <c r="AR94" s="146"/>
      <c r="AS94" s="145"/>
      <c r="AU94" s="137" t="s">
        <v>406</v>
      </c>
      <c r="AV94" s="143"/>
    </row>
    <row r="95" spans="1:48" s="141" customFormat="1" ht="21.75" customHeight="1">
      <c r="A95" s="108">
        <v>81</v>
      </c>
      <c r="B95" s="638" t="s">
        <v>145</v>
      </c>
      <c r="C95" s="162"/>
      <c r="D95" s="163"/>
      <c r="E95" s="163"/>
      <c r="F95" s="163"/>
      <c r="G95" s="263"/>
      <c r="H95" s="153"/>
      <c r="I95" s="184">
        <v>0</v>
      </c>
      <c r="J95" s="366"/>
      <c r="K95" s="263"/>
      <c r="L95" s="164"/>
      <c r="M95" s="628">
        <f>VLOOKUP(B95,'BK TT'!$B$6:$I$103,8,0)</f>
        <v>0</v>
      </c>
      <c r="N95" s="181">
        <f t="shared" si="25"/>
        <v>0</v>
      </c>
      <c r="O95" s="152"/>
      <c r="P95" s="153"/>
      <c r="Q95" s="185">
        <v>1000000</v>
      </c>
      <c r="R95" s="185"/>
      <c r="S95" s="179">
        <f t="shared" si="29"/>
        <v>1000000</v>
      </c>
      <c r="T95" s="185"/>
      <c r="U95" s="185"/>
      <c r="V95" s="185">
        <f t="shared" si="30"/>
        <v>0</v>
      </c>
      <c r="W95" s="185"/>
      <c r="X95" s="164"/>
      <c r="Y95" s="185">
        <f t="shared" si="23"/>
        <v>0</v>
      </c>
      <c r="Z95" s="195">
        <f t="shared" si="26"/>
        <v>0</v>
      </c>
      <c r="AA95" s="185">
        <f t="shared" si="27"/>
        <v>0</v>
      </c>
      <c r="AB95" s="153">
        <f t="shared" si="24"/>
        <v>0</v>
      </c>
      <c r="AC95" s="185">
        <f t="shared" si="28"/>
        <v>1000000</v>
      </c>
      <c r="AD95" s="323"/>
      <c r="AE95" s="197"/>
      <c r="AF95" s="197"/>
      <c r="AG95" s="178"/>
      <c r="AH95" s="672"/>
      <c r="AI95" s="196"/>
      <c r="AJ95" s="677"/>
      <c r="AK95" s="210"/>
      <c r="AL95" s="211"/>
      <c r="AM95" s="249"/>
      <c r="AN95" s="250"/>
      <c r="AO95" s="220"/>
      <c r="AP95" s="145"/>
      <c r="AQ95" s="145"/>
      <c r="AR95" s="146"/>
      <c r="AS95" s="145"/>
      <c r="AU95" s="137" t="s">
        <v>407</v>
      </c>
      <c r="AV95" s="143"/>
    </row>
    <row r="96" spans="1:48" s="141" customFormat="1" ht="21.75" customHeight="1">
      <c r="A96" s="151">
        <v>82</v>
      </c>
      <c r="B96" s="638" t="s">
        <v>146</v>
      </c>
      <c r="C96" s="162"/>
      <c r="D96" s="163"/>
      <c r="E96" s="163"/>
      <c r="F96" s="163"/>
      <c r="G96" s="263"/>
      <c r="H96" s="153"/>
      <c r="I96" s="184">
        <v>0</v>
      </c>
      <c r="J96" s="366"/>
      <c r="K96" s="263"/>
      <c r="L96" s="164"/>
      <c r="M96" s="628">
        <f>VLOOKUP(B96,'BK TT'!$B$6:$I$103,8,0)</f>
        <v>0</v>
      </c>
      <c r="N96" s="181">
        <f t="shared" si="25"/>
        <v>0</v>
      </c>
      <c r="O96" s="152"/>
      <c r="P96" s="153"/>
      <c r="Q96" s="185">
        <v>1000000</v>
      </c>
      <c r="R96" s="185"/>
      <c r="S96" s="179">
        <f t="shared" si="29"/>
        <v>1000000</v>
      </c>
      <c r="T96" s="185"/>
      <c r="U96" s="185"/>
      <c r="V96" s="185">
        <f>S96-Q96-J96-R96</f>
        <v>0</v>
      </c>
      <c r="W96" s="185"/>
      <c r="X96" s="164"/>
      <c r="Y96" s="185">
        <f t="shared" si="23"/>
        <v>0</v>
      </c>
      <c r="Z96" s="195">
        <f t="shared" si="26"/>
        <v>0</v>
      </c>
      <c r="AA96" s="185">
        <f t="shared" si="27"/>
        <v>0</v>
      </c>
      <c r="AB96" s="153">
        <f t="shared" si="24"/>
        <v>0</v>
      </c>
      <c r="AC96" s="185">
        <f t="shared" si="28"/>
        <v>1000000</v>
      </c>
      <c r="AD96" s="323"/>
      <c r="AE96" s="197"/>
      <c r="AF96" s="197"/>
      <c r="AG96" s="178"/>
      <c r="AH96" s="672"/>
      <c r="AI96" s="196"/>
      <c r="AJ96" s="677"/>
      <c r="AK96" s="210"/>
      <c r="AL96" s="211"/>
      <c r="AM96" s="249"/>
      <c r="AN96" s="250"/>
      <c r="AO96" s="220"/>
      <c r="AP96" s="145"/>
      <c r="AQ96" s="145"/>
      <c r="AR96" s="146"/>
      <c r="AS96" s="145"/>
      <c r="AU96" s="137" t="s">
        <v>408</v>
      </c>
      <c r="AV96" s="143"/>
    </row>
    <row r="97" spans="1:48" s="141" customFormat="1" ht="21.75" customHeight="1">
      <c r="A97" s="108">
        <v>83</v>
      </c>
      <c r="B97" s="668" t="s">
        <v>147</v>
      </c>
      <c r="C97" s="224"/>
      <c r="D97" s="225"/>
      <c r="E97" s="225"/>
      <c r="F97" s="225"/>
      <c r="G97" s="363"/>
      <c r="H97" s="227"/>
      <c r="I97" s="184">
        <v>0</v>
      </c>
      <c r="J97" s="366"/>
      <c r="K97" s="363"/>
      <c r="L97" s="226"/>
      <c r="M97" s="682">
        <f>VLOOKUP(B97,'BK TT'!$B$6:$I$103,8,0)</f>
        <v>0</v>
      </c>
      <c r="N97" s="181">
        <f t="shared" si="25"/>
        <v>9000000</v>
      </c>
      <c r="O97" s="234"/>
      <c r="P97" s="227"/>
      <c r="Q97" s="185">
        <v>1000000</v>
      </c>
      <c r="R97" s="185"/>
      <c r="S97" s="179">
        <f t="shared" si="29"/>
        <v>10000000</v>
      </c>
      <c r="T97" s="187"/>
      <c r="U97" s="187"/>
      <c r="V97" s="185">
        <f t="shared" si="30"/>
        <v>9000000</v>
      </c>
      <c r="W97" s="187"/>
      <c r="X97" s="226"/>
      <c r="Y97" s="187">
        <f t="shared" si="23"/>
        <v>0</v>
      </c>
      <c r="Z97" s="239">
        <f t="shared" si="26"/>
        <v>9000000</v>
      </c>
      <c r="AA97" s="187">
        <f t="shared" si="27"/>
        <v>1</v>
      </c>
      <c r="AB97" s="153">
        <f t="shared" si="24"/>
        <v>900000</v>
      </c>
      <c r="AC97" s="187">
        <f t="shared" si="28"/>
        <v>9100000</v>
      </c>
      <c r="AD97" s="323"/>
      <c r="AE97" s="197"/>
      <c r="AF97" s="197"/>
      <c r="AG97" s="178"/>
      <c r="AH97" s="675"/>
      <c r="AI97" s="274">
        <v>1</v>
      </c>
      <c r="AJ97" s="679">
        <v>2</v>
      </c>
      <c r="AK97" s="253"/>
      <c r="AL97" s="254"/>
      <c r="AM97" s="249"/>
      <c r="AN97" s="250"/>
      <c r="AO97" s="220"/>
      <c r="AP97" s="145"/>
      <c r="AQ97" s="145"/>
      <c r="AR97" s="146"/>
      <c r="AS97" s="145"/>
      <c r="AU97" s="223" t="s">
        <v>409</v>
      </c>
      <c r="AV97" s="214"/>
    </row>
    <row r="98" spans="1:48" s="142" customFormat="1" ht="21.75" customHeight="1">
      <c r="A98" s="150"/>
      <c r="B98" s="639"/>
      <c r="C98" s="228"/>
      <c r="D98" s="229"/>
      <c r="E98" s="229"/>
      <c r="F98" s="229"/>
      <c r="G98" s="370" t="e">
        <f>G69+G13+#REF!+#REF!</f>
        <v>#REF!</v>
      </c>
      <c r="H98" s="370" t="e">
        <f>H69+H13+#REF!+#REF!</f>
        <v>#REF!</v>
      </c>
      <c r="I98" s="370" t="e">
        <f>I69+I13+#REF!+#REF!</f>
        <v>#REF!</v>
      </c>
      <c r="J98" s="370" t="e">
        <f>J69+J13+#REF!+#REF!</f>
        <v>#REF!</v>
      </c>
      <c r="K98" s="370" t="e">
        <f>K69+K13+#REF!+#REF!</f>
        <v>#REF!</v>
      </c>
      <c r="L98" s="230" t="e">
        <f>L69+L13+#REF!+#REF!</f>
        <v>#REF!</v>
      </c>
      <c r="M98" s="683" t="e">
        <f>M69+M13+#REF!+#REF!</f>
        <v>#REF!</v>
      </c>
      <c r="N98" s="230" t="e">
        <f>N69+N13+#REF!+#REF!</f>
        <v>#REF!</v>
      </c>
      <c r="O98" s="230" t="e">
        <f>O69+O13+#REF!+#REF!</f>
        <v>#REF!</v>
      </c>
      <c r="P98" s="230" t="e">
        <f>P69+P13+#REF!+#REF!</f>
        <v>#REF!</v>
      </c>
      <c r="Q98" s="235" t="e">
        <f>Q69+Q13+#REF!+#REF!</f>
        <v>#REF!</v>
      </c>
      <c r="R98" s="235" t="e">
        <f>R69+R13+#REF!+#REF!</f>
        <v>#REF!</v>
      </c>
      <c r="S98" s="235" t="e">
        <f>S69+S13+#REF!+#REF!</f>
        <v>#REF!</v>
      </c>
      <c r="T98" s="364" t="e">
        <f>T69+T13+#REF!+#REF!</f>
        <v>#REF!</v>
      </c>
      <c r="U98" s="230" t="e">
        <f>U69+U13+#REF!+#REF!</f>
        <v>#REF!</v>
      </c>
      <c r="V98" s="230" t="e">
        <f>V69+V13+#REF!+#REF!</f>
        <v>#REF!</v>
      </c>
      <c r="W98" s="230" t="e">
        <f>W69+W13+#REF!+#REF!</f>
        <v>#REF!</v>
      </c>
      <c r="X98" s="230" t="e">
        <f>X69+X13+#REF!+#REF!</f>
        <v>#REF!</v>
      </c>
      <c r="Y98" s="370" t="e">
        <f>Y69+Y13+#REF!+#REF!</f>
        <v>#REF!</v>
      </c>
      <c r="Z98" s="230" t="e">
        <f>Z69+Z13+#REF!+#REF!</f>
        <v>#REF!</v>
      </c>
      <c r="AA98" s="230" t="e">
        <f>AA69+AA13+#REF!+#REF!</f>
        <v>#REF!</v>
      </c>
      <c r="AB98" s="230" t="e">
        <f>AB69+AB13+#REF!+#REF!</f>
        <v>#REF!</v>
      </c>
      <c r="AC98" s="240" t="e">
        <f>AC69+AC13+#REF!+#REF!</f>
        <v>#REF!</v>
      </c>
      <c r="AD98" s="240" t="e">
        <f>AD69+AD13+#REF!+#REF!</f>
        <v>#REF!</v>
      </c>
      <c r="AE98" s="240" t="e">
        <f>AE69+AE13+#REF!+#REF!</f>
        <v>#REF!</v>
      </c>
      <c r="AF98" s="240"/>
      <c r="AG98" s="240" t="e">
        <f>AG69+AG13+#REF!+#REF!</f>
        <v>#REF!</v>
      </c>
      <c r="AH98" s="240">
        <f>SUM(AH14:AH97)</f>
        <v>50</v>
      </c>
      <c r="AI98" s="240">
        <f t="shared" ref="AI98:AL98" si="31">SUM(AI14:AI97)</f>
        <v>61</v>
      </c>
      <c r="AJ98" s="240">
        <f t="shared" si="31"/>
        <v>51</v>
      </c>
      <c r="AK98" s="240">
        <f t="shared" si="31"/>
        <v>40</v>
      </c>
      <c r="AL98" s="240">
        <f t="shared" si="31"/>
        <v>0</v>
      </c>
      <c r="AM98" s="251"/>
      <c r="AN98" s="252"/>
      <c r="AO98" s="255"/>
      <c r="AP98" s="215"/>
      <c r="AQ98" s="215"/>
      <c r="AR98" s="216"/>
      <c r="AS98" s="215"/>
      <c r="AU98" s="333"/>
      <c r="AV98" s="256"/>
    </row>
    <row r="99" spans="1:48" s="143" customFormat="1" ht="21.75" customHeight="1">
      <c r="A99" s="231"/>
      <c r="B99" s="640"/>
      <c r="C99" s="231"/>
      <c r="D99" s="232"/>
      <c r="E99" s="233"/>
      <c r="F99" s="232"/>
      <c r="G99" s="232"/>
      <c r="H99" s="232"/>
      <c r="I99" s="375"/>
      <c r="J99" s="376"/>
      <c r="K99" s="232"/>
      <c r="L99" s="232"/>
      <c r="M99" s="684"/>
      <c r="N99" s="232"/>
      <c r="O99" s="232"/>
      <c r="P99" s="232"/>
      <c r="Q99" s="311" t="s">
        <v>321</v>
      </c>
      <c r="R99" s="232"/>
      <c r="S99" s="232"/>
      <c r="T99" s="365"/>
      <c r="U99" s="232"/>
      <c r="V99" s="232"/>
      <c r="W99" s="232"/>
      <c r="X99" s="232"/>
      <c r="Y99" s="232"/>
      <c r="Z99" s="232"/>
      <c r="AA99" s="232"/>
      <c r="AB99" s="232"/>
      <c r="AC99" s="241"/>
      <c r="AD99" s="241"/>
      <c r="AE99" s="241"/>
      <c r="AF99" s="241"/>
      <c r="AG99" s="241"/>
      <c r="AH99" s="242"/>
      <c r="AI99" s="275"/>
      <c r="AJ99" s="242"/>
      <c r="AK99" s="242"/>
      <c r="AL99" s="242"/>
      <c r="AM99" s="242"/>
      <c r="AN99" s="242"/>
      <c r="AO99" s="214"/>
      <c r="AP99" s="145"/>
      <c r="AQ99" s="145"/>
      <c r="AR99" s="146"/>
      <c r="AS99" s="145"/>
      <c r="AV99" s="214"/>
    </row>
    <row r="100" spans="1:48" s="143" customFormat="1" ht="18.75">
      <c r="A100" s="106"/>
      <c r="B100" s="641"/>
      <c r="C100" s="1"/>
      <c r="D100" s="1"/>
      <c r="E100" s="1"/>
      <c r="F100" s="1"/>
      <c r="G100" s="1"/>
      <c r="H100" s="1"/>
      <c r="I100" s="375"/>
      <c r="J100" s="375" t="s">
        <v>185</v>
      </c>
      <c r="K100" s="1"/>
      <c r="L100" s="1"/>
      <c r="M100" s="685"/>
      <c r="N100" s="1"/>
      <c r="O100" s="1"/>
      <c r="P100" s="1"/>
      <c r="Q100" s="260" t="s">
        <v>186</v>
      </c>
      <c r="R100" s="238"/>
      <c r="S100" s="701" t="s">
        <v>148</v>
      </c>
      <c r="T100" s="701"/>
      <c r="U100" s="701"/>
      <c r="V100" s="701"/>
      <c r="W100" s="701"/>
      <c r="X100" s="701"/>
      <c r="Y100" s="701"/>
      <c r="Z100" s="701"/>
      <c r="AA100" s="701"/>
      <c r="AB100" s="701"/>
      <c r="AC100" s="701"/>
      <c r="AD100" s="358"/>
      <c r="AE100" s="243"/>
      <c r="AF100" s="243"/>
      <c r="AG100" s="243"/>
      <c r="AH100" s="244"/>
      <c r="AI100" s="116"/>
      <c r="AL100" s="145"/>
      <c r="AO100" s="214"/>
      <c r="AP100" s="145"/>
      <c r="AQ100" s="145"/>
      <c r="AR100" s="146"/>
      <c r="AS100" s="145"/>
      <c r="AV100" s="214"/>
    </row>
    <row r="101" spans="1:48" s="143" customFormat="1" ht="18.75">
      <c r="A101" s="106"/>
      <c r="B101" s="702" t="s">
        <v>149</v>
      </c>
      <c r="C101" s="702"/>
      <c r="D101" s="702"/>
      <c r="E101" s="702"/>
      <c r="F101" s="702"/>
      <c r="G101" s="702"/>
      <c r="H101" s="702"/>
      <c r="I101" s="236"/>
      <c r="J101" s="367"/>
      <c r="K101" s="368"/>
      <c r="L101" s="237"/>
      <c r="M101" s="686" t="s">
        <v>150</v>
      </c>
      <c r="N101" s="237"/>
      <c r="O101" s="237"/>
      <c r="P101" s="237"/>
      <c r="Q101" s="261"/>
      <c r="R101" s="111"/>
      <c r="S101" s="693" t="s">
        <v>151</v>
      </c>
      <c r="T101" s="693"/>
      <c r="U101" s="693"/>
      <c r="V101" s="693"/>
      <c r="W101" s="693"/>
      <c r="X101" s="693"/>
      <c r="Y101" s="693"/>
      <c r="Z101" s="693"/>
      <c r="AA101" s="693"/>
      <c r="AB101" s="693"/>
      <c r="AC101" s="693"/>
      <c r="AD101" s="6"/>
      <c r="AE101" s="6"/>
      <c r="AF101" s="6"/>
      <c r="AG101" s="6"/>
      <c r="AH101" s="192"/>
      <c r="AI101" s="107"/>
      <c r="AL101" s="145"/>
      <c r="AO101" s="214"/>
      <c r="AP101" s="145"/>
      <c r="AQ101" s="145"/>
      <c r="AR101" s="146"/>
      <c r="AS101" s="145"/>
      <c r="AV101" s="214"/>
    </row>
    <row r="102" spans="1:48">
      <c r="C102" s="106"/>
      <c r="D102" s="106"/>
      <c r="E102" s="106"/>
      <c r="F102" s="106"/>
      <c r="I102" s="375"/>
      <c r="J102" s="375"/>
      <c r="AO102" s="113"/>
    </row>
    <row r="103" spans="1:48">
      <c r="C103" s="106"/>
      <c r="D103" s="106"/>
      <c r="E103" s="106"/>
      <c r="F103" s="106"/>
      <c r="I103" s="375"/>
      <c r="J103" s="375"/>
      <c r="AG103" s="394" t="e">
        <f>#REF!+AG14</f>
        <v>#REF!</v>
      </c>
    </row>
    <row r="104" spans="1:48">
      <c r="C104" s="106"/>
      <c r="D104" s="106"/>
      <c r="E104" s="106"/>
      <c r="F104" s="106"/>
      <c r="I104" s="375"/>
      <c r="J104" s="375"/>
      <c r="S104" s="106">
        <f>2500+1000-596</f>
        <v>2904</v>
      </c>
    </row>
    <row r="105" spans="1:48">
      <c r="C105" s="106"/>
      <c r="D105" s="106"/>
      <c r="E105" s="106"/>
      <c r="F105" s="106"/>
      <c r="I105" s="375"/>
      <c r="J105" s="375"/>
    </row>
    <row r="106" spans="1:48">
      <c r="C106" s="106"/>
      <c r="D106" s="106"/>
      <c r="E106" s="106"/>
      <c r="F106" s="106"/>
      <c r="I106" s="375"/>
      <c r="J106" s="375"/>
      <c r="AC106" s="114"/>
    </row>
    <row r="107" spans="1:48">
      <c r="C107" s="106"/>
      <c r="D107" s="106"/>
      <c r="E107" s="106"/>
      <c r="F107" s="106"/>
      <c r="I107" s="375"/>
      <c r="J107" s="375"/>
    </row>
    <row r="108" spans="1:48">
      <c r="C108" s="106"/>
      <c r="D108" s="106"/>
      <c r="E108" s="106"/>
      <c r="F108" s="106"/>
      <c r="I108" s="375"/>
      <c r="J108" s="375"/>
      <c r="AC108" s="114"/>
    </row>
    <row r="109" spans="1:48" ht="18.75">
      <c r="B109" s="693" t="s">
        <v>152</v>
      </c>
      <c r="C109" s="693"/>
      <c r="D109" s="693"/>
      <c r="E109" s="693"/>
      <c r="F109" s="693"/>
      <c r="G109" s="693"/>
      <c r="H109" s="693"/>
      <c r="I109" s="375"/>
      <c r="J109" s="375"/>
      <c r="K109" s="6"/>
      <c r="L109" s="693" t="s">
        <v>153</v>
      </c>
      <c r="M109" s="693"/>
      <c r="N109" s="693"/>
      <c r="O109" s="6"/>
      <c r="P109" s="6"/>
      <c r="Q109" s="6"/>
      <c r="R109" s="111"/>
      <c r="S109" s="693" t="s">
        <v>35</v>
      </c>
      <c r="T109" s="693"/>
      <c r="U109" s="693"/>
      <c r="V109" s="693"/>
      <c r="W109" s="693"/>
      <c r="X109" s="693"/>
      <c r="Y109" s="693"/>
      <c r="Z109" s="693"/>
      <c r="AA109" s="693"/>
      <c r="AB109" s="693"/>
      <c r="AC109" s="693"/>
    </row>
    <row r="110" spans="1:48">
      <c r="C110" s="106"/>
      <c r="D110" s="106"/>
      <c r="E110" s="106"/>
      <c r="F110" s="106"/>
      <c r="I110" s="375"/>
      <c r="J110" s="375"/>
      <c r="AC110" s="114"/>
      <c r="AD110" s="217"/>
      <c r="AE110" s="217"/>
      <c r="AF110" s="217"/>
    </row>
    <row r="111" spans="1:48">
      <c r="C111" s="106"/>
      <c r="D111" s="106"/>
      <c r="E111" s="106"/>
      <c r="F111" s="106"/>
      <c r="I111" s="375"/>
      <c r="J111" s="375"/>
    </row>
    <row r="112" spans="1:48">
      <c r="C112" s="106"/>
      <c r="D112" s="106"/>
      <c r="E112" s="106"/>
      <c r="F112" s="106"/>
      <c r="I112" s="375"/>
      <c r="J112" s="375"/>
    </row>
    <row r="113" spans="3:10">
      <c r="C113" s="106"/>
      <c r="D113" s="106"/>
      <c r="E113" s="106"/>
      <c r="F113" s="106"/>
      <c r="I113" s="375"/>
      <c r="J113" s="375"/>
    </row>
    <row r="114" spans="3:10">
      <c r="C114" s="106"/>
      <c r="D114" s="106"/>
      <c r="E114" s="106"/>
      <c r="F114" s="106"/>
      <c r="I114" s="375"/>
      <c r="J114" s="375"/>
    </row>
    <row r="115" spans="3:10">
      <c r="C115" s="106"/>
      <c r="D115" s="106"/>
      <c r="E115" s="106"/>
      <c r="F115" s="106"/>
      <c r="I115" s="375"/>
      <c r="J115" s="375"/>
    </row>
    <row r="116" spans="3:10">
      <c r="C116" s="106"/>
      <c r="D116" s="106"/>
      <c r="E116" s="106"/>
      <c r="F116" s="106"/>
      <c r="I116" s="375"/>
      <c r="J116" s="375"/>
    </row>
    <row r="117" spans="3:10">
      <c r="C117" s="106"/>
      <c r="D117" s="106"/>
      <c r="E117" s="106"/>
      <c r="F117" s="106"/>
      <c r="I117" s="375"/>
      <c r="J117" s="375"/>
    </row>
    <row r="118" spans="3:10">
      <c r="C118" s="106"/>
      <c r="D118" s="106"/>
      <c r="E118" s="106"/>
      <c r="F118" s="106"/>
      <c r="I118" s="375"/>
      <c r="J118" s="375"/>
    </row>
    <row r="119" spans="3:10">
      <c r="C119" s="106"/>
      <c r="D119" s="106"/>
      <c r="E119" s="106"/>
      <c r="F119" s="106"/>
      <c r="I119" s="375"/>
      <c r="J119" s="375"/>
    </row>
    <row r="120" spans="3:10">
      <c r="C120" s="106"/>
      <c r="D120" s="106"/>
      <c r="E120" s="106"/>
      <c r="F120" s="106"/>
      <c r="I120" s="375"/>
      <c r="J120" s="375"/>
    </row>
    <row r="121" spans="3:10">
      <c r="C121" s="106"/>
      <c r="D121" s="106"/>
      <c r="E121" s="106"/>
      <c r="F121" s="106"/>
      <c r="I121" s="375"/>
      <c r="J121" s="375"/>
    </row>
    <row r="122" spans="3:10">
      <c r="C122" s="106"/>
      <c r="D122" s="106"/>
      <c r="E122" s="106"/>
      <c r="F122" s="106"/>
      <c r="I122" s="375"/>
      <c r="J122" s="375"/>
    </row>
    <row r="123" spans="3:10">
      <c r="C123" s="106"/>
      <c r="D123" s="106"/>
      <c r="E123" s="106"/>
      <c r="F123" s="106"/>
      <c r="I123" s="375"/>
      <c r="J123" s="375"/>
    </row>
    <row r="124" spans="3:10">
      <c r="C124" s="106"/>
      <c r="D124" s="106"/>
      <c r="E124" s="106"/>
      <c r="F124" s="106"/>
    </row>
    <row r="125" spans="3:10">
      <c r="C125" s="106"/>
      <c r="D125" s="106"/>
      <c r="E125" s="106"/>
      <c r="F125" s="106"/>
    </row>
    <row r="126" spans="3:10">
      <c r="C126" s="106"/>
      <c r="D126" s="106"/>
      <c r="E126" s="106"/>
      <c r="F126" s="106"/>
    </row>
    <row r="127" spans="3:10">
      <c r="C127" s="106"/>
      <c r="D127" s="106"/>
      <c r="E127" s="106"/>
      <c r="F127" s="106"/>
    </row>
    <row r="128" spans="3:10">
      <c r="C128" s="106"/>
      <c r="D128" s="106"/>
      <c r="E128" s="106"/>
      <c r="F128" s="106"/>
    </row>
    <row r="129" spans="3:6">
      <c r="C129" s="106"/>
      <c r="D129" s="106"/>
      <c r="E129" s="106"/>
      <c r="F129" s="106"/>
    </row>
    <row r="130" spans="3:6">
      <c r="C130" s="106"/>
      <c r="D130" s="106"/>
      <c r="E130" s="106"/>
      <c r="F130" s="106"/>
    </row>
    <row r="131" spans="3:6">
      <c r="C131" s="106"/>
      <c r="D131" s="106"/>
      <c r="E131" s="106"/>
      <c r="F131" s="106"/>
    </row>
    <row r="132" spans="3:6">
      <c r="C132" s="106"/>
      <c r="D132" s="106"/>
      <c r="E132" s="106"/>
      <c r="F132" s="106"/>
    </row>
    <row r="133" spans="3:6">
      <c r="C133" s="106"/>
      <c r="D133" s="106"/>
      <c r="E133" s="106"/>
      <c r="F133" s="106"/>
    </row>
    <row r="134" spans="3:6">
      <c r="C134" s="106"/>
      <c r="D134" s="106"/>
      <c r="E134" s="106"/>
      <c r="F134" s="106"/>
    </row>
    <row r="135" spans="3:6">
      <c r="C135" s="106"/>
      <c r="D135" s="106"/>
      <c r="E135" s="106"/>
      <c r="F135" s="106"/>
    </row>
    <row r="136" spans="3:6">
      <c r="C136" s="106"/>
      <c r="D136" s="106"/>
      <c r="E136" s="106"/>
      <c r="F136" s="106"/>
    </row>
    <row r="137" spans="3:6">
      <c r="C137" s="106"/>
      <c r="D137" s="106"/>
      <c r="E137" s="106"/>
      <c r="F137" s="106"/>
    </row>
    <row r="138" spans="3:6">
      <c r="C138" s="106"/>
      <c r="D138" s="106"/>
      <c r="E138" s="106"/>
      <c r="F138" s="106"/>
    </row>
    <row r="139" spans="3:6">
      <c r="C139" s="106"/>
      <c r="D139" s="106"/>
      <c r="E139" s="106"/>
      <c r="F139" s="106"/>
    </row>
    <row r="140" spans="3:6">
      <c r="C140" s="106"/>
      <c r="D140" s="106"/>
      <c r="E140" s="106"/>
      <c r="F140" s="106"/>
    </row>
    <row r="141" spans="3:6">
      <c r="C141" s="106"/>
      <c r="D141" s="106"/>
      <c r="E141" s="106"/>
      <c r="F141" s="106"/>
    </row>
    <row r="142" spans="3:6">
      <c r="C142" s="106"/>
      <c r="D142" s="106"/>
      <c r="E142" s="106"/>
      <c r="F142" s="106"/>
    </row>
    <row r="143" spans="3:6">
      <c r="C143" s="106"/>
      <c r="D143" s="106"/>
      <c r="E143" s="106"/>
      <c r="F143" s="106"/>
    </row>
    <row r="144" spans="3:6">
      <c r="C144" s="106"/>
      <c r="D144" s="106"/>
      <c r="E144" s="106"/>
      <c r="F144" s="106"/>
    </row>
    <row r="145" spans="2:45">
      <c r="C145" s="106"/>
      <c r="D145" s="106"/>
      <c r="E145" s="106"/>
      <c r="F145" s="106"/>
    </row>
    <row r="146" spans="2:45">
      <c r="C146" s="106"/>
      <c r="D146" s="106"/>
      <c r="E146" s="106"/>
      <c r="F146" s="106"/>
    </row>
    <row r="147" spans="2:45">
      <c r="C147" s="106"/>
      <c r="D147" s="106"/>
      <c r="E147" s="106"/>
      <c r="F147" s="106"/>
    </row>
    <row r="148" spans="2:45">
      <c r="C148" s="106"/>
      <c r="D148" s="106"/>
      <c r="E148" s="106"/>
      <c r="F148" s="106"/>
    </row>
    <row r="149" spans="2:45">
      <c r="C149" s="106"/>
      <c r="D149" s="106"/>
      <c r="E149" s="106"/>
      <c r="F149" s="106"/>
    </row>
    <row r="150" spans="2:45">
      <c r="C150" s="106"/>
      <c r="D150" s="106"/>
      <c r="E150" s="106"/>
      <c r="F150" s="106"/>
    </row>
    <row r="151" spans="2:45">
      <c r="C151" s="106"/>
      <c r="D151" s="106"/>
      <c r="E151" s="106"/>
      <c r="F151" s="106"/>
    </row>
    <row r="152" spans="2:45">
      <c r="C152" s="106"/>
      <c r="D152" s="106"/>
      <c r="E152" s="106"/>
      <c r="F152" s="106"/>
    </row>
    <row r="153" spans="2:45">
      <c r="C153" s="106"/>
      <c r="D153" s="106"/>
      <c r="E153" s="106"/>
      <c r="F153" s="106"/>
    </row>
    <row r="154" spans="2:45">
      <c r="C154" s="106"/>
      <c r="D154" s="106"/>
      <c r="E154" s="106"/>
      <c r="F154" s="106"/>
    </row>
    <row r="155" spans="2:45">
      <c r="C155" s="106"/>
      <c r="D155" s="106"/>
      <c r="E155" s="106"/>
      <c r="F155" s="106"/>
    </row>
    <row r="156" spans="2:45" ht="6.75" customHeight="1">
      <c r="C156" s="106"/>
      <c r="D156" s="106"/>
      <c r="E156" s="106"/>
      <c r="F156" s="106"/>
    </row>
    <row r="157" spans="2:45" s="143" customFormat="1" ht="7.5" hidden="1" customHeight="1">
      <c r="B157" s="642"/>
      <c r="G157" s="359"/>
      <c r="J157" s="359"/>
      <c r="K157" s="359"/>
      <c r="L157" s="106"/>
      <c r="N157" s="106"/>
      <c r="O157" s="106"/>
      <c r="P157" s="106"/>
      <c r="Q157" s="144"/>
      <c r="R157" s="106"/>
      <c r="S157" s="106"/>
      <c r="T157" s="359"/>
      <c r="U157" s="106"/>
      <c r="V157" s="106"/>
      <c r="W157" s="106"/>
      <c r="X157" s="106"/>
      <c r="Y157" s="106"/>
      <c r="Z157" s="106"/>
      <c r="AA157" s="106"/>
      <c r="AB157" s="106"/>
      <c r="AC157" s="106"/>
      <c r="AD157" s="106"/>
      <c r="AE157" s="106"/>
      <c r="AF157" s="106"/>
      <c r="AG157" s="106"/>
      <c r="AI157" s="106"/>
      <c r="AL157" s="145"/>
      <c r="AP157" s="145"/>
      <c r="AQ157" s="145"/>
      <c r="AR157" s="146"/>
      <c r="AS157" s="145"/>
    </row>
    <row r="158" spans="2:45" s="143" customFormat="1" ht="17.25" hidden="1" customHeight="1">
      <c r="B158" s="642"/>
      <c r="D158" s="257"/>
      <c r="G158" s="359"/>
      <c r="J158" s="359"/>
      <c r="K158" s="359"/>
      <c r="L158" s="106"/>
      <c r="N158" s="106"/>
      <c r="O158" s="106"/>
      <c r="P158" s="106"/>
      <c r="Q158" s="144"/>
      <c r="R158" s="110"/>
      <c r="S158" s="705" t="s">
        <v>154</v>
      </c>
      <c r="T158" s="705"/>
      <c r="U158" s="705"/>
      <c r="V158" s="705"/>
      <c r="W158" s="705"/>
      <c r="X158" s="705"/>
      <c r="Y158" s="705"/>
      <c r="Z158" s="705"/>
      <c r="AA158" s="705"/>
      <c r="AB158" s="705"/>
      <c r="AC158" s="705"/>
      <c r="AD158" s="705"/>
      <c r="AE158" s="110"/>
      <c r="AF158" s="110"/>
      <c r="AG158" s="110"/>
      <c r="AI158" s="106"/>
      <c r="AL158" s="145"/>
      <c r="AP158" s="145"/>
      <c r="AQ158" s="145"/>
      <c r="AR158" s="146"/>
      <c r="AS158" s="145"/>
    </row>
    <row r="159" spans="2:45" s="143" customFormat="1" ht="17.25" hidden="1" customHeight="1">
      <c r="B159" s="642"/>
      <c r="D159" s="257"/>
      <c r="G159" s="359"/>
      <c r="J159" s="359"/>
      <c r="K159" s="359"/>
      <c r="L159" s="106"/>
      <c r="N159" s="106"/>
      <c r="O159" s="106"/>
      <c r="P159" s="106"/>
      <c r="Q159" s="144"/>
      <c r="R159" s="106"/>
      <c r="S159" s="106"/>
      <c r="T159" s="359"/>
      <c r="U159" s="106"/>
      <c r="V159" s="106"/>
      <c r="W159" s="106"/>
      <c r="X159" s="106"/>
      <c r="Y159" s="106"/>
      <c r="Z159" s="106"/>
      <c r="AA159" s="106"/>
      <c r="AB159" s="106"/>
      <c r="AC159" s="106"/>
      <c r="AD159" s="106"/>
      <c r="AE159" s="106"/>
      <c r="AF159" s="106"/>
      <c r="AG159" s="106"/>
      <c r="AI159" s="106"/>
      <c r="AL159" s="145"/>
      <c r="AP159" s="145"/>
      <c r="AQ159" s="145"/>
      <c r="AR159" s="146"/>
      <c r="AS159" s="145"/>
    </row>
    <row r="160" spans="2:45" s="143" customFormat="1" ht="17.25" hidden="1" customHeight="1">
      <c r="B160" s="642"/>
      <c r="D160" s="257"/>
      <c r="G160" s="359"/>
      <c r="J160" s="359"/>
      <c r="K160" s="359"/>
      <c r="L160" s="106"/>
      <c r="N160" s="106"/>
      <c r="O160" s="106"/>
      <c r="P160" s="106"/>
      <c r="Q160" s="144"/>
      <c r="R160" s="106"/>
      <c r="S160" s="106"/>
      <c r="T160" s="359"/>
      <c r="U160" s="106"/>
      <c r="V160" s="106"/>
      <c r="W160" s="106"/>
      <c r="X160" s="106"/>
      <c r="Y160" s="106"/>
      <c r="Z160" s="106"/>
      <c r="AA160" s="106"/>
      <c r="AB160" s="106"/>
      <c r="AC160" s="106"/>
      <c r="AD160" s="106"/>
      <c r="AE160" s="106"/>
      <c r="AF160" s="106"/>
      <c r="AG160" s="106"/>
      <c r="AI160" s="106"/>
      <c r="AL160" s="145"/>
      <c r="AP160" s="145"/>
      <c r="AQ160" s="145"/>
      <c r="AR160" s="146"/>
      <c r="AS160" s="145"/>
    </row>
    <row r="161" spans="1:33" ht="17.25" customHeight="1">
      <c r="A161" s="706" t="s">
        <v>155</v>
      </c>
      <c r="B161" s="706"/>
      <c r="C161" s="706"/>
      <c r="D161" s="707">
        <v>2000000</v>
      </c>
      <c r="E161" s="707"/>
      <c r="F161" s="707"/>
      <c r="R161" s="110"/>
      <c r="S161" s="705" t="s">
        <v>154</v>
      </c>
      <c r="T161" s="705"/>
      <c r="U161" s="705"/>
      <c r="V161" s="705"/>
      <c r="W161" s="705"/>
      <c r="X161" s="705"/>
      <c r="Y161" s="705"/>
      <c r="Z161" s="705"/>
      <c r="AA161" s="705"/>
      <c r="AB161" s="705"/>
      <c r="AC161" s="705"/>
      <c r="AD161" s="705"/>
      <c r="AE161" s="110"/>
      <c r="AF161" s="110"/>
      <c r="AG161" s="110"/>
    </row>
    <row r="162" spans="1:33" ht="19.5" customHeight="1">
      <c r="A162" s="706" t="s">
        <v>156</v>
      </c>
      <c r="B162" s="706"/>
      <c r="C162" s="708"/>
      <c r="D162" s="709">
        <v>3000000</v>
      </c>
      <c r="E162" s="709"/>
      <c r="F162" s="709"/>
      <c r="S162" s="106" t="s">
        <v>157</v>
      </c>
      <c r="T162" s="107"/>
      <c r="U162" s="107"/>
      <c r="V162" s="107"/>
      <c r="W162" s="107"/>
      <c r="X162" s="107"/>
      <c r="Y162" s="107"/>
      <c r="Z162" s="107"/>
      <c r="AA162" s="107"/>
      <c r="AB162" s="107"/>
      <c r="AC162" s="107"/>
    </row>
    <row r="163" spans="1:33" ht="19.5" customHeight="1">
      <c r="A163" s="706" t="s">
        <v>158</v>
      </c>
      <c r="B163" s="706"/>
      <c r="C163" s="708"/>
      <c r="D163" s="709">
        <v>3000000</v>
      </c>
      <c r="E163" s="709"/>
      <c r="F163" s="709"/>
      <c r="R163" s="258"/>
      <c r="S163" s="258" t="s">
        <v>159</v>
      </c>
    </row>
    <row r="164" spans="1:33" ht="19.5" customHeight="1">
      <c r="A164" s="706" t="s">
        <v>160</v>
      </c>
      <c r="B164" s="706"/>
      <c r="C164" s="708"/>
      <c r="D164" s="709">
        <v>1100000</v>
      </c>
      <c r="E164" s="709"/>
      <c r="F164" s="709"/>
      <c r="R164" s="258"/>
      <c r="S164" s="258" t="s">
        <v>161</v>
      </c>
    </row>
    <row r="165" spans="1:33" ht="19.5" customHeight="1">
      <c r="A165" s="706" t="s">
        <v>162</v>
      </c>
      <c r="B165" s="706"/>
      <c r="C165" s="708"/>
      <c r="D165" s="710" t="s">
        <v>163</v>
      </c>
      <c r="E165" s="710"/>
      <c r="F165" s="710"/>
      <c r="G165" s="377"/>
      <c r="H165" s="377"/>
      <c r="I165" s="377"/>
      <c r="J165" s="377"/>
      <c r="K165" s="377"/>
      <c r="R165" s="258"/>
      <c r="S165" s="258" t="s">
        <v>164</v>
      </c>
    </row>
    <row r="166" spans="1:33" ht="19.5" customHeight="1">
      <c r="A166" s="706" t="s">
        <v>165</v>
      </c>
      <c r="B166" s="706"/>
      <c r="C166" s="708"/>
      <c r="D166" s="710"/>
      <c r="E166" s="710"/>
      <c r="F166" s="710"/>
      <c r="G166" s="377"/>
      <c r="H166" s="377"/>
      <c r="I166" s="377"/>
      <c r="J166" s="377"/>
      <c r="K166" s="377"/>
      <c r="S166" s="106" t="s">
        <v>166</v>
      </c>
    </row>
    <row r="167" spans="1:33" ht="19.5" customHeight="1">
      <c r="A167" s="706" t="s">
        <v>167</v>
      </c>
      <c r="B167" s="706"/>
      <c r="C167" s="708"/>
      <c r="D167" s="710"/>
      <c r="E167" s="710"/>
      <c r="F167" s="710"/>
      <c r="G167" s="377"/>
      <c r="H167" s="377"/>
      <c r="I167" s="377"/>
      <c r="J167" s="377"/>
      <c r="K167" s="377"/>
      <c r="S167" s="106" t="s">
        <v>168</v>
      </c>
    </row>
    <row r="168" spans="1:33" ht="19.5" customHeight="1">
      <c r="A168" s="706" t="s">
        <v>169</v>
      </c>
      <c r="B168" s="706"/>
      <c r="C168" s="708"/>
      <c r="D168" s="710"/>
      <c r="E168" s="710"/>
      <c r="F168" s="710"/>
      <c r="G168" s="377"/>
      <c r="H168" s="377"/>
      <c r="I168" s="377"/>
      <c r="J168" s="377"/>
      <c r="K168" s="377"/>
    </row>
  </sheetData>
  <autoFilter ref="A13:AV101" xr:uid="{00000000-0001-0000-0100-000000000000}"/>
  <mergeCells count="33">
    <mergeCell ref="A163:C163"/>
    <mergeCell ref="D163:F163"/>
    <mergeCell ref="A164:C164"/>
    <mergeCell ref="D164:F164"/>
    <mergeCell ref="A165:C165"/>
    <mergeCell ref="D165:F168"/>
    <mergeCell ref="A166:C166"/>
    <mergeCell ref="A167:C167"/>
    <mergeCell ref="A168:C168"/>
    <mergeCell ref="S158:AD158"/>
    <mergeCell ref="A161:C161"/>
    <mergeCell ref="D161:F161"/>
    <mergeCell ref="S161:AD161"/>
    <mergeCell ref="A162:C162"/>
    <mergeCell ref="D162:F162"/>
    <mergeCell ref="AP12:AS12"/>
    <mergeCell ref="S100:AC100"/>
    <mergeCell ref="B101:H101"/>
    <mergeCell ref="S101:AC101"/>
    <mergeCell ref="B109:H109"/>
    <mergeCell ref="L109:N109"/>
    <mergeCell ref="S109:AC109"/>
    <mergeCell ref="AM70:AO70"/>
    <mergeCell ref="G11:H11"/>
    <mergeCell ref="AL11:AN11"/>
    <mergeCell ref="D12:F12"/>
    <mergeCell ref="AL12:AN12"/>
    <mergeCell ref="G12:H12"/>
    <mergeCell ref="A5:AC5"/>
    <mergeCell ref="A6:AD6"/>
    <mergeCell ref="A10:AC10"/>
    <mergeCell ref="A2:F2"/>
    <mergeCell ref="A3:F3"/>
  </mergeCells>
  <conditionalFormatting sqref="B12">
    <cfRule type="duplicateValues" dxfId="252" priority="250"/>
    <cfRule type="duplicateValues" dxfId="251" priority="251"/>
    <cfRule type="duplicateValues" dxfId="250" priority="252"/>
    <cfRule type="duplicateValues" dxfId="249" priority="253"/>
    <cfRule type="duplicateValues" dxfId="248" priority="254"/>
    <cfRule type="duplicateValues" dxfId="247" priority="255"/>
  </conditionalFormatting>
  <conditionalFormatting sqref="B13">
    <cfRule type="duplicateValues" dxfId="246" priority="270"/>
  </conditionalFormatting>
  <conditionalFormatting sqref="B14:B49">
    <cfRule type="duplicateValues" dxfId="245" priority="1010"/>
  </conditionalFormatting>
  <conditionalFormatting sqref="B50:B57">
    <cfRule type="duplicateValues" dxfId="244" priority="248"/>
  </conditionalFormatting>
  <conditionalFormatting sqref="B53">
    <cfRule type="duplicateValues" dxfId="243" priority="247"/>
  </conditionalFormatting>
  <conditionalFormatting sqref="B54:B57">
    <cfRule type="duplicateValues" dxfId="242" priority="249"/>
  </conditionalFormatting>
  <conditionalFormatting sqref="B58">
    <cfRule type="duplicateValues" dxfId="241" priority="267"/>
    <cfRule type="duplicateValues" dxfId="240" priority="268" stopIfTrue="1"/>
  </conditionalFormatting>
  <conditionalFormatting sqref="B59:B61">
    <cfRule type="duplicateValues" dxfId="239" priority="3"/>
    <cfRule type="duplicateValues" dxfId="238" priority="4"/>
  </conditionalFormatting>
  <conditionalFormatting sqref="B70">
    <cfRule type="duplicateValues" dxfId="237" priority="966"/>
  </conditionalFormatting>
  <conditionalFormatting sqref="B71:B97 B62:B69">
    <cfRule type="duplicateValues" dxfId="236" priority="974" stopIfTrue="1"/>
  </conditionalFormatting>
  <conditionalFormatting sqref="B98">
    <cfRule type="duplicateValues" dxfId="235" priority="70" stopIfTrue="1"/>
  </conditionalFormatting>
  <conditionalFormatting sqref="B100">
    <cfRule type="duplicateValues" dxfId="234" priority="266"/>
  </conditionalFormatting>
  <conditionalFormatting sqref="B102:B155">
    <cfRule type="duplicateValues" dxfId="233" priority="245"/>
    <cfRule type="duplicateValues" dxfId="232" priority="246"/>
  </conditionalFormatting>
  <conditionalFormatting sqref="B169:B215">
    <cfRule type="duplicateValues" dxfId="231" priority="258"/>
    <cfRule type="duplicateValues" dxfId="230" priority="260"/>
  </conditionalFormatting>
  <conditionalFormatting sqref="B201:B204">
    <cfRule type="duplicateValues" dxfId="229" priority="257"/>
  </conditionalFormatting>
  <conditionalFormatting sqref="B205">
    <cfRule type="duplicateValues" dxfId="228" priority="259"/>
  </conditionalFormatting>
  <conditionalFormatting sqref="B206">
    <cfRule type="duplicateValues" dxfId="227" priority="256"/>
  </conditionalFormatting>
  <conditionalFormatting sqref="B207">
    <cfRule type="duplicateValues" dxfId="226" priority="262"/>
  </conditionalFormatting>
  <conditionalFormatting sqref="B208">
    <cfRule type="duplicateValues" dxfId="225" priority="263"/>
  </conditionalFormatting>
  <conditionalFormatting sqref="B209">
    <cfRule type="duplicateValues" dxfId="224" priority="264"/>
  </conditionalFormatting>
  <conditionalFormatting sqref="B210:B211">
    <cfRule type="duplicateValues" dxfId="223" priority="265"/>
  </conditionalFormatting>
  <conditionalFormatting sqref="B216:B1048576">
    <cfRule type="duplicateValues" dxfId="222" priority="261"/>
  </conditionalFormatting>
  <conditionalFormatting sqref="V70:V97">
    <cfRule type="expression" dxfId="221" priority="119">
      <formula>CELL("row")=ROW()</formula>
    </cfRule>
    <cfRule type="expression" priority="120">
      <formula>CELL("row")=ROW()</formula>
    </cfRule>
    <cfRule type="expression" dxfId="220" priority="121">
      <formula>CELL("row")=ROW()</formula>
    </cfRule>
    <cfRule type="expression" dxfId="219" priority="122">
      <formula>CELL("row")=ROW()</formula>
    </cfRule>
    <cfRule type="expression" dxfId="218" priority="123">
      <formula>CELL("row")=ROW()</formula>
    </cfRule>
    <cfRule type="expression" dxfId="217" priority="125">
      <formula>CELL("row")=ROW()</formula>
    </cfRule>
  </conditionalFormatting>
  <conditionalFormatting sqref="AB71:AC97 I99:I123">
    <cfRule type="expression" dxfId="216" priority="113">
      <formula>CELL("row")=ROW()</formula>
    </cfRule>
    <cfRule type="expression" priority="114">
      <formula>CELL("row")=ROW()</formula>
    </cfRule>
    <cfRule type="expression" dxfId="215" priority="115">
      <formula>CELL("row")=ROW()</formula>
    </cfRule>
    <cfRule type="expression" dxfId="214" priority="116">
      <formula>CELL("row")=ROW()</formula>
    </cfRule>
    <cfRule type="expression" dxfId="213" priority="117">
      <formula>CELL("row")=ROW()</formula>
    </cfRule>
  </conditionalFormatting>
  <conditionalFormatting sqref="AC70">
    <cfRule type="expression" dxfId="212" priority="28">
      <formula>CELL("row")=ROW()</formula>
    </cfRule>
    <cfRule type="expression" priority="29">
      <formula>CELL("row")=ROW()</formula>
    </cfRule>
    <cfRule type="expression" dxfId="211" priority="30">
      <formula>CELL("row")=ROW()</formula>
    </cfRule>
    <cfRule type="expression" dxfId="210" priority="31">
      <formula>CELL("row")=ROW()</formula>
    </cfRule>
    <cfRule type="expression" dxfId="209" priority="32">
      <formula>CELL("row")=ROW()</formula>
    </cfRule>
  </conditionalFormatting>
  <conditionalFormatting sqref="AU13">
    <cfRule type="duplicateValues" dxfId="208" priority="23"/>
  </conditionalFormatting>
  <conditionalFormatting sqref="AU14:AU49">
    <cfRule type="duplicateValues" dxfId="207" priority="1015"/>
  </conditionalFormatting>
  <conditionalFormatting sqref="AU50:AU57">
    <cfRule type="duplicateValues" dxfId="206" priority="19"/>
  </conditionalFormatting>
  <conditionalFormatting sqref="AU53">
    <cfRule type="duplicateValues" dxfId="205" priority="18"/>
  </conditionalFormatting>
  <conditionalFormatting sqref="AU54:AU57">
    <cfRule type="duplicateValues" dxfId="204" priority="20"/>
  </conditionalFormatting>
  <conditionalFormatting sqref="AU58">
    <cfRule type="duplicateValues" dxfId="203" priority="21"/>
    <cfRule type="duplicateValues" dxfId="202" priority="22" stopIfTrue="1"/>
  </conditionalFormatting>
  <conditionalFormatting sqref="AU59:AU61">
    <cfRule type="duplicateValues" dxfId="201" priority="1"/>
    <cfRule type="duplicateValues" dxfId="200" priority="2"/>
  </conditionalFormatting>
  <conditionalFormatting sqref="AU62:AU97">
    <cfRule type="duplicateValues" dxfId="199" priority="1009" stopIfTrue="1"/>
  </conditionalFormatting>
  <conditionalFormatting sqref="AU98">
    <cfRule type="duplicateValues" dxfId="198" priority="9" stopIfTrue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K103"/>
  <sheetViews>
    <sheetView workbookViewId="0">
      <selection activeCell="C34" sqref="C34"/>
    </sheetView>
  </sheetViews>
  <sheetFormatPr defaultColWidth="9.140625" defaultRowHeight="15"/>
  <cols>
    <col min="1" max="1" width="6" style="119" customWidth="1"/>
    <col min="2" max="2" width="25.85546875" style="120" customWidth="1"/>
    <col min="3" max="3" width="16.7109375" style="119" customWidth="1"/>
    <col min="4" max="4" width="10.140625" style="119" customWidth="1"/>
    <col min="5" max="5" width="11.42578125" style="119" customWidth="1"/>
    <col min="6" max="7" width="10" style="119" customWidth="1"/>
    <col min="8" max="8" width="14.42578125" style="119" customWidth="1"/>
    <col min="9" max="9" width="20.85546875" style="119" customWidth="1"/>
    <col min="10" max="10" width="9.140625" style="119"/>
    <col min="11" max="11" width="15.140625" style="119" customWidth="1"/>
    <col min="12" max="16384" width="9.140625" style="119"/>
  </cols>
  <sheetData>
    <row r="2" spans="1:10" ht="18.75">
      <c r="B2" s="711" t="s">
        <v>888</v>
      </c>
      <c r="C2" s="711"/>
      <c r="D2" s="711"/>
      <c r="E2" s="711"/>
      <c r="F2" s="711"/>
      <c r="G2" s="711"/>
      <c r="H2" s="711"/>
      <c r="I2" s="711"/>
      <c r="J2" s="711"/>
    </row>
    <row r="3" spans="1:10" ht="18.75">
      <c r="B3" s="121"/>
      <c r="C3" s="121"/>
      <c r="D3" s="121"/>
      <c r="E3" s="121"/>
      <c r="F3" s="121"/>
      <c r="G3" s="121"/>
      <c r="H3" s="121"/>
      <c r="I3" s="121"/>
      <c r="J3" s="121"/>
    </row>
    <row r="4" spans="1:10">
      <c r="B4" s="715" t="s">
        <v>7</v>
      </c>
      <c r="C4" s="715" t="s">
        <v>190</v>
      </c>
      <c r="D4" s="122" t="s">
        <v>191</v>
      </c>
      <c r="E4" s="122"/>
      <c r="F4" s="712" t="s">
        <v>191</v>
      </c>
      <c r="G4" s="713"/>
      <c r="H4" s="714"/>
      <c r="I4" s="715" t="s">
        <v>19</v>
      </c>
      <c r="J4" s="125"/>
    </row>
    <row r="5" spans="1:10">
      <c r="B5" s="716"/>
      <c r="C5" s="716"/>
      <c r="D5" s="123" t="s">
        <v>275</v>
      </c>
      <c r="E5" s="123"/>
      <c r="F5" s="124">
        <v>130</v>
      </c>
      <c r="G5" s="124">
        <v>131</v>
      </c>
      <c r="H5" s="124" t="s">
        <v>192</v>
      </c>
      <c r="I5" s="716"/>
      <c r="J5" s="125"/>
    </row>
    <row r="6" spans="1:10" ht="15.75">
      <c r="A6" s="119">
        <v>1</v>
      </c>
      <c r="B6" s="650" t="s">
        <v>220</v>
      </c>
      <c r="C6" s="125"/>
      <c r="D6" s="125"/>
      <c r="E6" s="125"/>
      <c r="F6" s="125"/>
      <c r="G6" s="125"/>
      <c r="H6" s="125">
        <f>500000*(F6+G6)</f>
        <v>0</v>
      </c>
      <c r="I6" s="125">
        <f t="shared" ref="I6:I67" si="0">C6+D6+E6+H6</f>
        <v>0</v>
      </c>
      <c r="J6" s="125"/>
    </row>
    <row r="7" spans="1:10" ht="15.75">
      <c r="A7" s="119">
        <v>2</v>
      </c>
      <c r="B7" s="126" t="s">
        <v>27</v>
      </c>
      <c r="C7" s="127"/>
      <c r="D7" s="127"/>
      <c r="E7" s="127"/>
      <c r="F7" s="125">
        <v>5</v>
      </c>
      <c r="G7" s="125">
        <v>4</v>
      </c>
      <c r="H7" s="125">
        <f t="shared" ref="H7:H67" si="1">500000*(F7+G7)</f>
        <v>4500000</v>
      </c>
      <c r="I7" s="125">
        <f t="shared" si="0"/>
        <v>4500000</v>
      </c>
      <c r="J7" s="125"/>
    </row>
    <row r="8" spans="1:10" ht="15.75">
      <c r="A8" s="119">
        <v>3</v>
      </c>
      <c r="B8" s="638" t="s">
        <v>28</v>
      </c>
      <c r="C8" s="125"/>
      <c r="D8" s="125"/>
      <c r="E8" s="125"/>
      <c r="F8" s="125"/>
      <c r="G8" s="125"/>
      <c r="H8" s="125">
        <f t="shared" si="1"/>
        <v>0</v>
      </c>
      <c r="I8" s="125">
        <f t="shared" si="0"/>
        <v>0</v>
      </c>
      <c r="J8" s="125"/>
    </row>
    <row r="9" spans="1:10" ht="15.75">
      <c r="B9" s="128" t="s">
        <v>29</v>
      </c>
      <c r="C9" s="125"/>
      <c r="D9" s="125"/>
      <c r="E9" s="125"/>
      <c r="F9" s="125"/>
      <c r="G9" s="125"/>
      <c r="H9" s="125">
        <f t="shared" si="1"/>
        <v>0</v>
      </c>
      <c r="I9" s="125">
        <f t="shared" si="0"/>
        <v>0</v>
      </c>
      <c r="J9" s="125"/>
    </row>
    <row r="10" spans="1:10" ht="15.75">
      <c r="A10" s="119">
        <v>4</v>
      </c>
      <c r="B10" s="129" t="s">
        <v>31</v>
      </c>
      <c r="C10" s="125"/>
      <c r="D10" s="125"/>
      <c r="E10" s="125"/>
      <c r="F10" s="125"/>
      <c r="G10" s="125"/>
      <c r="H10" s="125">
        <f t="shared" si="1"/>
        <v>0</v>
      </c>
      <c r="I10" s="125">
        <f t="shared" si="0"/>
        <v>0</v>
      </c>
      <c r="J10" s="125"/>
    </row>
    <row r="11" spans="1:10" ht="15.75">
      <c r="A11" s="119">
        <v>5</v>
      </c>
      <c r="B11" s="129" t="s">
        <v>32</v>
      </c>
      <c r="C11" s="125"/>
      <c r="D11" s="125"/>
      <c r="E11" s="125"/>
      <c r="F11" s="125"/>
      <c r="G11" s="125"/>
      <c r="H11" s="125">
        <f t="shared" si="1"/>
        <v>0</v>
      </c>
      <c r="I11" s="125">
        <f t="shared" si="0"/>
        <v>0</v>
      </c>
      <c r="J11" s="125"/>
    </row>
    <row r="12" spans="1:10" ht="15.75">
      <c r="A12" s="119">
        <v>6</v>
      </c>
      <c r="B12" s="638" t="s">
        <v>281</v>
      </c>
      <c r="C12" s="125"/>
      <c r="D12" s="125"/>
      <c r="E12" s="125"/>
      <c r="F12" s="125"/>
      <c r="G12" s="125"/>
      <c r="H12" s="125">
        <f t="shared" si="1"/>
        <v>0</v>
      </c>
      <c r="I12" s="125">
        <f t="shared" si="0"/>
        <v>0</v>
      </c>
      <c r="J12" s="125"/>
    </row>
    <row r="13" spans="1:10" ht="15.75">
      <c r="A13" s="119">
        <v>7</v>
      </c>
      <c r="B13" s="638" t="s">
        <v>283</v>
      </c>
      <c r="C13" s="125"/>
      <c r="D13" s="125"/>
      <c r="E13" s="125"/>
      <c r="F13" s="125"/>
      <c r="G13" s="125">
        <v>1</v>
      </c>
      <c r="H13" s="125">
        <f t="shared" si="1"/>
        <v>500000</v>
      </c>
      <c r="I13" s="125">
        <f t="shared" si="0"/>
        <v>500000</v>
      </c>
      <c r="J13" s="125"/>
    </row>
    <row r="14" spans="1:10" ht="15.75">
      <c r="A14" s="119">
        <v>8</v>
      </c>
      <c r="B14" s="109" t="s">
        <v>35</v>
      </c>
      <c r="C14" s="622"/>
      <c r="D14" s="622"/>
      <c r="E14" s="622"/>
      <c r="F14" s="622"/>
      <c r="G14" s="622"/>
      <c r="H14" s="622"/>
      <c r="I14" s="125">
        <f t="shared" si="0"/>
        <v>0</v>
      </c>
      <c r="J14" s="622"/>
    </row>
    <row r="15" spans="1:10" ht="15.75">
      <c r="A15" s="119">
        <v>9</v>
      </c>
      <c r="B15" s="638" t="s">
        <v>153</v>
      </c>
      <c r="C15" s="125"/>
      <c r="D15" s="125"/>
      <c r="E15" s="125"/>
      <c r="F15" s="125"/>
      <c r="G15" s="125"/>
      <c r="H15" s="125">
        <f t="shared" si="1"/>
        <v>0</v>
      </c>
      <c r="I15" s="125">
        <f t="shared" si="0"/>
        <v>0</v>
      </c>
      <c r="J15" s="125"/>
    </row>
    <row r="16" spans="1:10" ht="15.75">
      <c r="A16" s="119">
        <v>10</v>
      </c>
      <c r="B16" s="638" t="s">
        <v>282</v>
      </c>
      <c r="C16" s="125"/>
      <c r="D16" s="125">
        <v>5500000</v>
      </c>
      <c r="E16" s="125"/>
      <c r="F16" s="125"/>
      <c r="G16" s="125"/>
      <c r="H16" s="125">
        <f t="shared" si="1"/>
        <v>0</v>
      </c>
      <c r="I16" s="125">
        <f t="shared" si="0"/>
        <v>5500000</v>
      </c>
      <c r="J16" s="125"/>
    </row>
    <row r="17" spans="1:11" ht="15.75">
      <c r="A17" s="119">
        <v>11</v>
      </c>
      <c r="B17" s="638" t="s">
        <v>284</v>
      </c>
      <c r="C17" s="125"/>
      <c r="D17" s="125"/>
      <c r="E17" s="125"/>
      <c r="F17" s="125"/>
      <c r="G17" s="125">
        <v>2</v>
      </c>
      <c r="H17" s="125">
        <f t="shared" si="1"/>
        <v>1000000</v>
      </c>
      <c r="I17" s="125">
        <f t="shared" si="0"/>
        <v>1000000</v>
      </c>
      <c r="J17" s="125"/>
    </row>
    <row r="18" spans="1:11" ht="15.75">
      <c r="A18" s="119">
        <v>12</v>
      </c>
      <c r="B18" s="638" t="s">
        <v>39</v>
      </c>
      <c r="C18" s="125"/>
      <c r="D18" s="125"/>
      <c r="E18" s="125"/>
      <c r="F18" s="125"/>
      <c r="G18" s="125"/>
      <c r="H18" s="125">
        <f t="shared" si="1"/>
        <v>0</v>
      </c>
      <c r="I18" s="125">
        <f t="shared" si="0"/>
        <v>0</v>
      </c>
      <c r="J18" s="125"/>
    </row>
    <row r="19" spans="1:11" ht="15.75">
      <c r="A19" s="119">
        <v>13</v>
      </c>
      <c r="B19" s="638" t="s">
        <v>40</v>
      </c>
      <c r="C19" s="125"/>
      <c r="D19" s="125"/>
      <c r="E19" s="125"/>
      <c r="F19" s="125"/>
      <c r="G19" s="125"/>
      <c r="H19" s="125">
        <f t="shared" si="1"/>
        <v>0</v>
      </c>
      <c r="I19" s="125">
        <f t="shared" si="0"/>
        <v>0</v>
      </c>
      <c r="J19" s="125"/>
    </row>
    <row r="20" spans="1:11" ht="15.75">
      <c r="B20" s="128" t="s">
        <v>179</v>
      </c>
      <c r="C20" s="125"/>
      <c r="D20" s="125"/>
      <c r="E20" s="125"/>
      <c r="F20" s="125"/>
      <c r="G20" s="125"/>
      <c r="H20" s="125">
        <f t="shared" si="1"/>
        <v>0</v>
      </c>
      <c r="I20" s="125">
        <f t="shared" si="0"/>
        <v>0</v>
      </c>
      <c r="J20" s="125"/>
    </row>
    <row r="21" spans="1:11" ht="15.75">
      <c r="A21" s="119">
        <v>1</v>
      </c>
      <c r="B21" s="130" t="s">
        <v>41</v>
      </c>
      <c r="C21" s="125"/>
      <c r="D21" s="125"/>
      <c r="E21" s="125"/>
      <c r="F21" s="125">
        <v>2</v>
      </c>
      <c r="G21" s="125">
        <v>1</v>
      </c>
      <c r="H21" s="125">
        <f>500000*(F21+G21)</f>
        <v>1500000</v>
      </c>
      <c r="I21" s="125">
        <f>C21+D21+E21+H21</f>
        <v>1500000</v>
      </c>
      <c r="J21" s="125"/>
      <c r="K21" s="119" t="str">
        <f>VLOOKUP(B21,L!$B$14:$B$97,1,0)</f>
        <v>Vũ Giang Nam</v>
      </c>
    </row>
    <row r="22" spans="1:11" ht="16.5">
      <c r="A22" s="119">
        <v>2</v>
      </c>
      <c r="B22" s="59" t="s">
        <v>45</v>
      </c>
      <c r="C22" s="125"/>
      <c r="D22" s="125"/>
      <c r="E22" s="125"/>
      <c r="F22" s="125"/>
      <c r="G22" s="125"/>
      <c r="H22" s="125">
        <f t="shared" si="1"/>
        <v>0</v>
      </c>
      <c r="I22" s="125">
        <f t="shared" si="0"/>
        <v>0</v>
      </c>
      <c r="J22" s="125"/>
      <c r="K22" s="119" t="str">
        <f>VLOOKUP(B22,L!$B$14:$B$97,1,0)</f>
        <v>Dương Tuấn Anh</v>
      </c>
    </row>
    <row r="23" spans="1:11" ht="16.5">
      <c r="A23" s="119">
        <v>3</v>
      </c>
      <c r="B23" s="59" t="s">
        <v>47</v>
      </c>
      <c r="C23" s="125"/>
      <c r="D23" s="125"/>
      <c r="E23" s="125"/>
      <c r="F23" s="125"/>
      <c r="G23" s="125"/>
      <c r="H23" s="125">
        <f t="shared" si="1"/>
        <v>0</v>
      </c>
      <c r="I23" s="125">
        <f t="shared" si="0"/>
        <v>0</v>
      </c>
      <c r="J23" s="125"/>
      <c r="K23" s="119" t="str">
        <f>VLOOKUP(B23,L!$B$14:$B$97,1,0)</f>
        <v>Phạm Vũ Đức Bảo</v>
      </c>
    </row>
    <row r="24" spans="1:11" ht="16.5">
      <c r="A24" s="119">
        <v>4</v>
      </c>
      <c r="B24" s="131" t="s">
        <v>49</v>
      </c>
      <c r="C24" s="125"/>
      <c r="D24" s="125"/>
      <c r="E24" s="125"/>
      <c r="F24" s="125"/>
      <c r="G24" s="125"/>
      <c r="H24" s="125">
        <f t="shared" si="1"/>
        <v>0</v>
      </c>
      <c r="I24" s="125">
        <f t="shared" si="0"/>
        <v>0</v>
      </c>
      <c r="J24" s="125"/>
      <c r="K24" s="119" t="str">
        <f>VLOOKUP(B24,L!$B$14:$B$97,1,0)</f>
        <v>Cao Đình Bắc</v>
      </c>
    </row>
    <row r="25" spans="1:11" ht="16.5">
      <c r="A25" s="119">
        <v>5</v>
      </c>
      <c r="B25" s="59" t="s">
        <v>51</v>
      </c>
      <c r="C25" s="125"/>
      <c r="D25" s="125"/>
      <c r="E25" s="125"/>
      <c r="F25" s="125"/>
      <c r="G25" s="125"/>
      <c r="H25" s="125">
        <f t="shared" si="1"/>
        <v>0</v>
      </c>
      <c r="I25" s="125">
        <f t="shared" si="0"/>
        <v>0</v>
      </c>
      <c r="J25" s="125"/>
      <c r="K25" s="119" t="str">
        <f>VLOOKUP(B25,L!$B$14:$B$97,1,0)</f>
        <v>Lê Trung Cường</v>
      </c>
    </row>
    <row r="26" spans="1:11" ht="16.5">
      <c r="A26" s="119">
        <v>6</v>
      </c>
      <c r="B26" s="59" t="s">
        <v>52</v>
      </c>
      <c r="C26" s="125"/>
      <c r="D26" s="125"/>
      <c r="E26" s="125"/>
      <c r="F26" s="125"/>
      <c r="G26" s="125"/>
      <c r="H26" s="125">
        <f t="shared" si="1"/>
        <v>0</v>
      </c>
      <c r="I26" s="125">
        <f t="shared" si="0"/>
        <v>0</v>
      </c>
      <c r="J26" s="125"/>
      <c r="K26" s="119" t="str">
        <f>VLOOKUP(B26,L!$B$14:$B$97,1,0)</f>
        <v>Vũ Đức Diện</v>
      </c>
    </row>
    <row r="27" spans="1:11" ht="16.5">
      <c r="A27" s="119">
        <v>7</v>
      </c>
      <c r="B27" s="59" t="s">
        <v>53</v>
      </c>
      <c r="C27" s="125"/>
      <c r="D27" s="125"/>
      <c r="E27" s="125"/>
      <c r="F27" s="125"/>
      <c r="G27" s="125"/>
      <c r="H27" s="125">
        <f t="shared" si="1"/>
        <v>0</v>
      </c>
      <c r="I27" s="125">
        <f t="shared" si="0"/>
        <v>0</v>
      </c>
      <c r="J27" s="125"/>
      <c r="K27" s="119" t="str">
        <f>VLOOKUP(B27,L!$B$14:$B$97,1,0)</f>
        <v>Nguyễn Cao Dũng</v>
      </c>
    </row>
    <row r="28" spans="1:11" ht="16.5">
      <c r="A28" s="119">
        <v>8</v>
      </c>
      <c r="B28" s="59" t="s">
        <v>54</v>
      </c>
      <c r="C28" s="125"/>
      <c r="D28" s="125"/>
      <c r="E28" s="125"/>
      <c r="F28" s="125"/>
      <c r="G28" s="125"/>
      <c r="H28" s="125">
        <f t="shared" si="1"/>
        <v>0</v>
      </c>
      <c r="I28" s="125">
        <f t="shared" si="0"/>
        <v>0</v>
      </c>
      <c r="J28" s="125"/>
      <c r="K28" s="119" t="str">
        <f>VLOOKUP(B28,L!$B$14:$B$97,1,0)</f>
        <v>Nguyễn Hữu Dương</v>
      </c>
    </row>
    <row r="29" spans="1:11" ht="16.5">
      <c r="A29" s="119">
        <v>9</v>
      </c>
      <c r="B29" s="59" t="s">
        <v>55</v>
      </c>
      <c r="C29" s="125"/>
      <c r="D29" s="125"/>
      <c r="E29" s="125"/>
      <c r="F29" s="125"/>
      <c r="G29" s="125"/>
      <c r="H29" s="125">
        <f t="shared" si="1"/>
        <v>0</v>
      </c>
      <c r="I29" s="125">
        <f t="shared" si="0"/>
        <v>0</v>
      </c>
      <c r="J29" s="125"/>
      <c r="K29" s="119" t="str">
        <f>VLOOKUP(B29,L!$B$14:$B$97,1,0)</f>
        <v>Trần Trung Đạo</v>
      </c>
    </row>
    <row r="30" spans="1:11" ht="15.75">
      <c r="A30" s="119">
        <v>10</v>
      </c>
      <c r="B30" s="64" t="s">
        <v>57</v>
      </c>
      <c r="C30" s="125"/>
      <c r="D30" s="125"/>
      <c r="E30" s="125"/>
      <c r="F30" s="125"/>
      <c r="G30" s="125"/>
      <c r="H30" s="125">
        <f t="shared" si="1"/>
        <v>0</v>
      </c>
      <c r="I30" s="125">
        <f t="shared" si="0"/>
        <v>0</v>
      </c>
      <c r="J30" s="125"/>
      <c r="K30" s="119" t="str">
        <f>VLOOKUP(B30,L!$B$14:$B$97,1,0)</f>
        <v>Nguyễn Phương Đông</v>
      </c>
    </row>
    <row r="31" spans="1:11" ht="16.5">
      <c r="A31" s="119">
        <v>11</v>
      </c>
      <c r="B31" s="59" t="s">
        <v>58</v>
      </c>
      <c r="C31" s="125"/>
      <c r="D31" s="125"/>
      <c r="E31" s="125"/>
      <c r="F31" s="125"/>
      <c r="G31" s="125"/>
      <c r="H31" s="125">
        <f t="shared" si="1"/>
        <v>0</v>
      </c>
      <c r="I31" s="125">
        <f t="shared" si="0"/>
        <v>0</v>
      </c>
      <c r="J31" s="125"/>
      <c r="K31" s="119" t="str">
        <f>VLOOKUP(B31,L!$B$14:$B$97,1,0)</f>
        <v>Nguyễn Vĩnh Hạ</v>
      </c>
    </row>
    <row r="32" spans="1:11" ht="16.5">
      <c r="A32" s="119">
        <v>12</v>
      </c>
      <c r="B32" s="131" t="s">
        <v>60</v>
      </c>
      <c r="C32" s="125"/>
      <c r="D32" s="125"/>
      <c r="E32" s="125"/>
      <c r="F32" s="125"/>
      <c r="G32" s="125"/>
      <c r="H32" s="125">
        <f t="shared" si="1"/>
        <v>0</v>
      </c>
      <c r="I32" s="125">
        <f t="shared" si="0"/>
        <v>0</v>
      </c>
      <c r="J32" s="125"/>
      <c r="K32" s="119" t="str">
        <f>VLOOKUP(B32,L!$B$14:$B$97,1,0)</f>
        <v>Tống Nam Hải</v>
      </c>
    </row>
    <row r="33" spans="1:11" ht="16.5">
      <c r="A33" s="119">
        <v>13</v>
      </c>
      <c r="B33" s="131" t="s">
        <v>61</v>
      </c>
      <c r="C33" s="125"/>
      <c r="D33" s="125"/>
      <c r="E33" s="125"/>
      <c r="F33" s="125"/>
      <c r="G33" s="125"/>
      <c r="H33" s="125">
        <f t="shared" si="1"/>
        <v>0</v>
      </c>
      <c r="I33" s="125">
        <f t="shared" si="0"/>
        <v>0</v>
      </c>
      <c r="J33" s="125"/>
      <c r="K33" s="119" t="str">
        <f>VLOOKUP(B33,L!$B$14:$B$97,1,0)</f>
        <v>Trần Đức Hải</v>
      </c>
    </row>
    <row r="34" spans="1:11" ht="16.5">
      <c r="A34" s="119">
        <v>14</v>
      </c>
      <c r="B34" s="131" t="s">
        <v>63</v>
      </c>
      <c r="C34" s="125"/>
      <c r="D34" s="125"/>
      <c r="E34" s="125"/>
      <c r="F34" s="125">
        <v>2</v>
      </c>
      <c r="G34" s="125">
        <v>3</v>
      </c>
      <c r="H34" s="125">
        <f t="shared" si="1"/>
        <v>2500000</v>
      </c>
      <c r="I34" s="125">
        <f t="shared" si="0"/>
        <v>2500000</v>
      </c>
      <c r="J34" s="125"/>
      <c r="K34" s="119" t="str">
        <f>VLOOKUP(B34,L!$B$14:$B$97,1,0)</f>
        <v>Lê Hữu Hạnh</v>
      </c>
    </row>
    <row r="35" spans="1:11" ht="16.5">
      <c r="A35" s="119">
        <v>15</v>
      </c>
      <c r="B35" s="59" t="s">
        <v>65</v>
      </c>
      <c r="C35" s="125"/>
      <c r="D35" s="125"/>
      <c r="E35" s="125"/>
      <c r="F35" s="125"/>
      <c r="G35" s="125"/>
      <c r="H35" s="125">
        <f t="shared" si="1"/>
        <v>0</v>
      </c>
      <c r="I35" s="125">
        <f t="shared" si="0"/>
        <v>0</v>
      </c>
      <c r="J35" s="125"/>
      <c r="K35" s="119" t="str">
        <f>VLOOKUP(B35,L!$B$14:$B$97,1,0)</f>
        <v>Nguyễn Vĩnh Hậu</v>
      </c>
    </row>
    <row r="36" spans="1:11" ht="16.5">
      <c r="A36" s="119">
        <v>16</v>
      </c>
      <c r="B36" s="670" t="s">
        <v>66</v>
      </c>
      <c r="C36" s="125"/>
      <c r="D36" s="125"/>
      <c r="E36" s="125"/>
      <c r="F36" s="125"/>
      <c r="G36" s="125"/>
      <c r="H36" s="125">
        <f t="shared" si="1"/>
        <v>0</v>
      </c>
      <c r="I36" s="125">
        <f t="shared" si="0"/>
        <v>0</v>
      </c>
      <c r="J36" s="125"/>
      <c r="K36" s="119" t="str">
        <f>VLOOKUP(B36,L!$B$14:$B$97,1,0)</f>
        <v>Đỗ Danh Hiển</v>
      </c>
    </row>
    <row r="37" spans="1:11" ht="16.5">
      <c r="A37" s="119">
        <v>17</v>
      </c>
      <c r="B37" s="59" t="s">
        <v>67</v>
      </c>
      <c r="C37" s="125"/>
      <c r="D37" s="125"/>
      <c r="E37" s="125"/>
      <c r="F37" s="125"/>
      <c r="G37" s="125"/>
      <c r="H37" s="125">
        <f t="shared" si="1"/>
        <v>0</v>
      </c>
      <c r="I37" s="125">
        <f t="shared" si="0"/>
        <v>0</v>
      </c>
      <c r="J37" s="125"/>
      <c r="K37" s="119" t="str">
        <f>VLOOKUP(B37,L!$B$14:$B$97,1,0)</f>
        <v>Nguyễn Vĩnh Hiệp</v>
      </c>
    </row>
    <row r="38" spans="1:11" ht="16.5">
      <c r="A38" s="119">
        <v>18</v>
      </c>
      <c r="B38" s="59" t="s">
        <v>68</v>
      </c>
      <c r="C38" s="125"/>
      <c r="D38" s="125"/>
      <c r="E38" s="125"/>
      <c r="F38" s="125"/>
      <c r="G38" s="125"/>
      <c r="H38" s="125">
        <f t="shared" si="1"/>
        <v>0</v>
      </c>
      <c r="I38" s="125">
        <f t="shared" si="0"/>
        <v>0</v>
      </c>
      <c r="J38" s="125"/>
      <c r="K38" s="119" t="str">
        <f>VLOOKUP(B38,L!$B$14:$B$97,1,0)</f>
        <v>Nguyễn Hoàng Hiếu</v>
      </c>
    </row>
    <row r="39" spans="1:11" ht="16.5">
      <c r="A39" s="119">
        <v>19</v>
      </c>
      <c r="B39" s="59" t="s">
        <v>70</v>
      </c>
      <c r="C39" s="125"/>
      <c r="D39" s="125"/>
      <c r="E39" s="125"/>
      <c r="F39" s="125"/>
      <c r="G39" s="125"/>
      <c r="H39" s="125">
        <f t="shared" si="1"/>
        <v>0</v>
      </c>
      <c r="I39" s="125">
        <f t="shared" si="0"/>
        <v>0</v>
      </c>
      <c r="J39" s="125"/>
      <c r="K39" s="119" t="str">
        <f>VLOOKUP(B39,L!$B$14:$B$97,1,0)</f>
        <v>Lưu Văn Huy</v>
      </c>
    </row>
    <row r="40" spans="1:11" ht="16.5">
      <c r="A40" s="119">
        <v>20</v>
      </c>
      <c r="B40" s="59" t="s">
        <v>72</v>
      </c>
      <c r="C40" s="125"/>
      <c r="D40" s="125"/>
      <c r="E40" s="125"/>
      <c r="F40" s="125"/>
      <c r="G40" s="125"/>
      <c r="H40" s="125">
        <f t="shared" si="1"/>
        <v>0</v>
      </c>
      <c r="I40" s="125">
        <f t="shared" si="0"/>
        <v>0</v>
      </c>
      <c r="J40" s="125"/>
      <c r="K40" s="119" t="str">
        <f>VLOOKUP(B40,L!$B$14:$B$97,1,0)</f>
        <v>Đặng Quốc Khánh</v>
      </c>
    </row>
    <row r="41" spans="1:11" ht="16.5">
      <c r="A41" s="119">
        <v>21</v>
      </c>
      <c r="B41" s="59" t="s">
        <v>73</v>
      </c>
      <c r="C41" s="125"/>
      <c r="D41" s="125"/>
      <c r="E41" s="125"/>
      <c r="F41" s="125"/>
      <c r="G41" s="125"/>
      <c r="H41" s="125">
        <f t="shared" si="1"/>
        <v>0</v>
      </c>
      <c r="I41" s="125">
        <f t="shared" si="0"/>
        <v>0</v>
      </c>
      <c r="J41" s="125"/>
      <c r="K41" s="119" t="str">
        <f>VLOOKUP(B41,L!$B$14:$B$97,1,0)</f>
        <v>Phạm Đăng Khoa</v>
      </c>
    </row>
    <row r="42" spans="1:11" ht="16.5">
      <c r="A42" s="119">
        <v>22</v>
      </c>
      <c r="B42" s="59" t="s">
        <v>74</v>
      </c>
      <c r="C42" s="125"/>
      <c r="D42" s="125"/>
      <c r="E42" s="125"/>
      <c r="F42" s="125"/>
      <c r="G42" s="125"/>
      <c r="H42" s="125">
        <f t="shared" si="1"/>
        <v>0</v>
      </c>
      <c r="I42" s="125">
        <f t="shared" si="0"/>
        <v>0</v>
      </c>
      <c r="J42" s="125"/>
      <c r="K42" s="119" t="str">
        <f>VLOOKUP(B42,L!$B$14:$B$97,1,0)</f>
        <v>Nguyễn Tiến Khôi</v>
      </c>
    </row>
    <row r="43" spans="1:11" ht="16.5">
      <c r="A43" s="119">
        <v>23</v>
      </c>
      <c r="B43" s="59" t="s">
        <v>76</v>
      </c>
      <c r="C43" s="125"/>
      <c r="D43" s="125"/>
      <c r="E43" s="125"/>
      <c r="F43" s="125"/>
      <c r="G43" s="125"/>
      <c r="H43" s="125">
        <f t="shared" si="1"/>
        <v>0</v>
      </c>
      <c r="I43" s="125">
        <f t="shared" si="0"/>
        <v>0</v>
      </c>
      <c r="J43" s="125"/>
      <c r="K43" s="119" t="str">
        <f>VLOOKUP(B43,L!$B$14:$B$97,1,0)</f>
        <v>Lưu Phúc Kính</v>
      </c>
    </row>
    <row r="44" spans="1:11" ht="16.5">
      <c r="A44" s="119">
        <v>24</v>
      </c>
      <c r="B44" s="59" t="s">
        <v>78</v>
      </c>
      <c r="C44" s="125"/>
      <c r="D44" s="125"/>
      <c r="E44" s="125"/>
      <c r="F44" s="125"/>
      <c r="G44" s="125"/>
      <c r="H44" s="125">
        <f t="shared" si="1"/>
        <v>0</v>
      </c>
      <c r="I44" s="125">
        <f t="shared" si="0"/>
        <v>0</v>
      </c>
      <c r="J44" s="125"/>
      <c r="K44" s="119" t="str">
        <f>VLOOKUP(B44,L!$B$14:$B$97,1,0)</f>
        <v>Đặng Trường Kỳ</v>
      </c>
    </row>
    <row r="45" spans="1:11" ht="16.5">
      <c r="A45" s="119">
        <v>25</v>
      </c>
      <c r="B45" s="59" t="s">
        <v>80</v>
      </c>
      <c r="C45" s="125"/>
      <c r="D45" s="125"/>
      <c r="E45" s="125"/>
      <c r="F45" s="125"/>
      <c r="G45" s="125"/>
      <c r="H45" s="125">
        <f t="shared" si="1"/>
        <v>0</v>
      </c>
      <c r="I45" s="125">
        <f t="shared" si="0"/>
        <v>0</v>
      </c>
      <c r="J45" s="125"/>
      <c r="K45" s="119" t="str">
        <f>VLOOKUP(B45,L!$B$14:$B$97,1,0)</f>
        <v>Lê Văn Lộc</v>
      </c>
    </row>
    <row r="46" spans="1:11" ht="16.5">
      <c r="A46" s="119">
        <v>26</v>
      </c>
      <c r="B46" s="132" t="s">
        <v>82</v>
      </c>
      <c r="C46" s="125"/>
      <c r="D46" s="125"/>
      <c r="E46" s="125"/>
      <c r="F46" s="125"/>
      <c r="G46" s="125"/>
      <c r="H46" s="125">
        <f t="shared" si="1"/>
        <v>0</v>
      </c>
      <c r="I46" s="125">
        <f t="shared" si="0"/>
        <v>0</v>
      </c>
      <c r="J46" s="125"/>
      <c r="K46" s="119" t="str">
        <f>VLOOKUP(B46,L!$B$14:$B$97,1,0)</f>
        <v>Nguyễn Thanh Nam</v>
      </c>
    </row>
    <row r="47" spans="1:11" ht="16.5">
      <c r="A47" s="119">
        <v>27</v>
      </c>
      <c r="B47" s="132" t="s">
        <v>84</v>
      </c>
      <c r="C47" s="125"/>
      <c r="D47" s="125"/>
      <c r="E47" s="125"/>
      <c r="F47" s="125"/>
      <c r="G47" s="125"/>
      <c r="H47" s="125">
        <f t="shared" si="1"/>
        <v>0</v>
      </c>
      <c r="I47" s="125">
        <f t="shared" si="0"/>
        <v>0</v>
      </c>
      <c r="J47" s="125"/>
      <c r="K47" s="119" t="str">
        <f>VLOOKUP(B47,L!$B$14:$B$97,1,0)</f>
        <v>Nguyễn Văn Ngoan</v>
      </c>
    </row>
    <row r="48" spans="1:11" ht="16.5">
      <c r="A48" s="119">
        <v>28</v>
      </c>
      <c r="B48" s="133" t="s">
        <v>86</v>
      </c>
      <c r="C48" s="125"/>
      <c r="D48" s="125"/>
      <c r="E48" s="125"/>
      <c r="F48" s="125"/>
      <c r="G48" s="125"/>
      <c r="H48" s="125">
        <f t="shared" si="1"/>
        <v>0</v>
      </c>
      <c r="I48" s="125">
        <f t="shared" si="0"/>
        <v>0</v>
      </c>
      <c r="J48" s="125"/>
      <c r="K48" s="119" t="str">
        <f>VLOOKUP(B48,L!$B$14:$B$97,1,0)</f>
        <v>Huỳnh Văn Nguyên</v>
      </c>
    </row>
    <row r="49" spans="1:11" ht="16.5">
      <c r="A49" s="119">
        <v>29</v>
      </c>
      <c r="B49" s="132" t="s">
        <v>87</v>
      </c>
      <c r="C49" s="125"/>
      <c r="D49" s="125"/>
      <c r="E49" s="125"/>
      <c r="F49" s="125"/>
      <c r="G49" s="125"/>
      <c r="H49" s="125">
        <f t="shared" si="1"/>
        <v>0</v>
      </c>
      <c r="I49" s="125">
        <f t="shared" si="0"/>
        <v>0</v>
      </c>
      <c r="J49" s="125"/>
      <c r="K49" s="119" t="str">
        <f>VLOOKUP(B49,L!$B$14:$B$97,1,0)</f>
        <v>Lê Ngọc Nhân</v>
      </c>
    </row>
    <row r="50" spans="1:11" ht="15.75">
      <c r="A50" s="119">
        <v>30</v>
      </c>
      <c r="B50" s="134" t="s">
        <v>88</v>
      </c>
      <c r="C50" s="125"/>
      <c r="D50" s="125"/>
      <c r="E50" s="125"/>
      <c r="F50" s="125"/>
      <c r="G50" s="125"/>
      <c r="H50" s="125">
        <f t="shared" si="1"/>
        <v>0</v>
      </c>
      <c r="I50" s="125">
        <f t="shared" si="0"/>
        <v>0</v>
      </c>
      <c r="J50" s="125"/>
      <c r="K50" s="119" t="str">
        <f>VLOOKUP(B50,L!$B$14:$B$97,1,0)</f>
        <v>Nguyễn Hữu Phúc</v>
      </c>
    </row>
    <row r="51" spans="1:11" ht="16.5">
      <c r="A51" s="119">
        <v>31</v>
      </c>
      <c r="B51" s="59" t="s">
        <v>89</v>
      </c>
      <c r="C51" s="125"/>
      <c r="D51" s="125"/>
      <c r="E51" s="125"/>
      <c r="F51" s="125"/>
      <c r="G51" s="125"/>
      <c r="H51" s="125">
        <f t="shared" si="1"/>
        <v>0</v>
      </c>
      <c r="I51" s="125">
        <f t="shared" si="0"/>
        <v>0</v>
      </c>
      <c r="J51" s="125"/>
      <c r="K51" s="119" t="str">
        <f>VLOOKUP(B51,L!$B$14:$B$97,1,0)</f>
        <v>Nguyễn Ngũ Phúc</v>
      </c>
    </row>
    <row r="52" spans="1:11" ht="16.5">
      <c r="A52" s="119">
        <v>32</v>
      </c>
      <c r="B52" s="59" t="s">
        <v>90</v>
      </c>
      <c r="C52" s="125"/>
      <c r="D52" s="125"/>
      <c r="E52" s="125"/>
      <c r="F52" s="125"/>
      <c r="G52" s="125"/>
      <c r="H52" s="125">
        <f t="shared" si="1"/>
        <v>0</v>
      </c>
      <c r="I52" s="125">
        <f t="shared" si="0"/>
        <v>0</v>
      </c>
      <c r="J52" s="125"/>
      <c r="K52" s="119" t="str">
        <f>VLOOKUP(B52,L!$B$14:$B$97,1,0)</f>
        <v>Dương Quang Quyết</v>
      </c>
    </row>
    <row r="53" spans="1:11" ht="16.5">
      <c r="A53" s="119">
        <v>33</v>
      </c>
      <c r="B53" s="59" t="s">
        <v>92</v>
      </c>
      <c r="C53" s="125"/>
      <c r="D53" s="125"/>
      <c r="E53" s="125"/>
      <c r="F53" s="125"/>
      <c r="G53" s="125"/>
      <c r="H53" s="125">
        <f t="shared" si="1"/>
        <v>0</v>
      </c>
      <c r="I53" s="125">
        <f t="shared" si="0"/>
        <v>0</v>
      </c>
      <c r="J53" s="125"/>
      <c r="K53" s="119" t="str">
        <f>VLOOKUP(B53,L!$B$14:$B$97,1,0)</f>
        <v>Nguyễn Duy Sang</v>
      </c>
    </row>
    <row r="54" spans="1:11" ht="16.5">
      <c r="A54" s="119">
        <v>34</v>
      </c>
      <c r="B54" s="59" t="s">
        <v>94</v>
      </c>
      <c r="C54" s="125"/>
      <c r="D54" s="125"/>
      <c r="E54" s="125"/>
      <c r="F54" s="125"/>
      <c r="G54" s="125"/>
      <c r="H54" s="125">
        <f t="shared" si="1"/>
        <v>0</v>
      </c>
      <c r="I54" s="125">
        <f t="shared" si="0"/>
        <v>0</v>
      </c>
      <c r="J54" s="125"/>
      <c r="K54" s="119" t="str">
        <f>VLOOKUP(B54,L!$B$14:$B$97,1,0)</f>
        <v>Đỗ Trung Thành</v>
      </c>
    </row>
    <row r="55" spans="1:11" ht="16.5">
      <c r="A55" s="119">
        <v>35</v>
      </c>
      <c r="B55" s="59" t="s">
        <v>95</v>
      </c>
      <c r="C55" s="125"/>
      <c r="D55" s="125"/>
      <c r="E55" s="125"/>
      <c r="F55" s="125"/>
      <c r="G55" s="125"/>
      <c r="H55" s="125">
        <f t="shared" si="1"/>
        <v>0</v>
      </c>
      <c r="I55" s="125">
        <f t="shared" si="0"/>
        <v>0</v>
      </c>
      <c r="J55" s="125"/>
      <c r="K55" s="119" t="str">
        <f>VLOOKUP(B55,L!$B$14:$B$97,1,0)</f>
        <v>Nguyễn Công Thành</v>
      </c>
    </row>
    <row r="56" spans="1:11" ht="16.5">
      <c r="A56" s="119">
        <v>36</v>
      </c>
      <c r="B56" s="59" t="s">
        <v>96</v>
      </c>
      <c r="C56" s="125">
        <v>4112000</v>
      </c>
      <c r="D56" s="125"/>
      <c r="E56" s="125"/>
      <c r="F56" s="125"/>
      <c r="G56" s="125"/>
      <c r="H56" s="125">
        <f t="shared" si="1"/>
        <v>0</v>
      </c>
      <c r="I56" s="125">
        <f t="shared" si="0"/>
        <v>4112000</v>
      </c>
      <c r="J56" s="125"/>
      <c r="K56" s="119" t="str">
        <f>VLOOKUP(B56,L!$B$14:$B$97,1,0)</f>
        <v>Nguyễn Trung Thành</v>
      </c>
    </row>
    <row r="57" spans="1:11" ht="16.5">
      <c r="A57" s="119">
        <v>37</v>
      </c>
      <c r="B57" s="59" t="s">
        <v>97</v>
      </c>
      <c r="C57" s="125"/>
      <c r="D57" s="125"/>
      <c r="E57" s="125"/>
      <c r="F57" s="125"/>
      <c r="G57" s="125"/>
      <c r="H57" s="125">
        <f t="shared" si="1"/>
        <v>0</v>
      </c>
      <c r="I57" s="125">
        <f t="shared" si="0"/>
        <v>0</v>
      </c>
      <c r="J57" s="125"/>
      <c r="K57" s="119" t="str">
        <f>VLOOKUP(B57,L!$B$14:$B$97,1,0)</f>
        <v>Nguyễn Quốc Thạnh</v>
      </c>
    </row>
    <row r="58" spans="1:11" ht="16.5">
      <c r="A58" s="119">
        <v>38</v>
      </c>
      <c r="B58" s="59" t="s">
        <v>98</v>
      </c>
      <c r="C58" s="125"/>
      <c r="D58" s="125"/>
      <c r="E58" s="125"/>
      <c r="F58" s="125"/>
      <c r="G58" s="125"/>
      <c r="H58" s="125">
        <f t="shared" si="1"/>
        <v>0</v>
      </c>
      <c r="I58" s="125">
        <f t="shared" si="0"/>
        <v>0</v>
      </c>
      <c r="J58" s="125"/>
      <c r="K58" s="119" t="str">
        <f>VLOOKUP(B58,L!$B$14:$B$97,1,0)</f>
        <v>Vũ Văn Thạo</v>
      </c>
    </row>
    <row r="59" spans="1:11" ht="16.5">
      <c r="A59" s="119">
        <v>39</v>
      </c>
      <c r="B59" s="59" t="s">
        <v>99</v>
      </c>
      <c r="C59" s="125"/>
      <c r="D59" s="125"/>
      <c r="E59" s="125"/>
      <c r="F59" s="125"/>
      <c r="G59" s="125"/>
      <c r="H59" s="125">
        <f t="shared" si="1"/>
        <v>0</v>
      </c>
      <c r="I59" s="125">
        <f t="shared" si="0"/>
        <v>0</v>
      </c>
      <c r="J59" s="125"/>
      <c r="K59" s="119" t="str">
        <f>VLOOKUP(B59,L!$B$14:$B$97,1,0)</f>
        <v>Nguyễn Văn Thật</v>
      </c>
    </row>
    <row r="60" spans="1:11" ht="16.5">
      <c r="A60" s="119">
        <v>40</v>
      </c>
      <c r="B60" s="59" t="s">
        <v>101</v>
      </c>
      <c r="C60" s="125"/>
      <c r="D60" s="125"/>
      <c r="E60" s="125"/>
      <c r="F60" s="125"/>
      <c r="G60" s="125"/>
      <c r="H60" s="125">
        <f t="shared" si="1"/>
        <v>0</v>
      </c>
      <c r="I60" s="125">
        <f t="shared" si="0"/>
        <v>0</v>
      </c>
      <c r="J60" s="125"/>
      <c r="K60" s="119" t="str">
        <f>VLOOKUP(B60,L!$B$14:$B$97,1,0)</f>
        <v>Huỳnh Văn Thêu</v>
      </c>
    </row>
    <row r="61" spans="1:11" ht="16.5">
      <c r="A61" s="119">
        <v>41</v>
      </c>
      <c r="B61" s="59" t="s">
        <v>103</v>
      </c>
      <c r="C61" s="125">
        <v>12448246</v>
      </c>
      <c r="D61" s="125"/>
      <c r="E61" s="125"/>
      <c r="F61" s="125"/>
      <c r="G61" s="125"/>
      <c r="H61" s="125">
        <f t="shared" si="1"/>
        <v>0</v>
      </c>
      <c r="I61" s="125">
        <f t="shared" si="0"/>
        <v>12448246</v>
      </c>
      <c r="J61" s="125"/>
      <c r="K61" s="119" t="str">
        <f>VLOOKUP(B61,L!$B$14:$B$97,1,0)</f>
        <v>Võ Duy Thiện</v>
      </c>
    </row>
    <row r="62" spans="1:11" ht="16.5">
      <c r="A62" s="119">
        <v>42</v>
      </c>
      <c r="B62" s="59" t="s">
        <v>104</v>
      </c>
      <c r="C62" s="125"/>
      <c r="D62" s="125"/>
      <c r="E62" s="125"/>
      <c r="F62" s="125"/>
      <c r="G62" s="125"/>
      <c r="H62" s="125">
        <f t="shared" si="1"/>
        <v>0</v>
      </c>
      <c r="I62" s="125">
        <f t="shared" si="0"/>
        <v>0</v>
      </c>
      <c r="J62" s="125"/>
      <c r="K62" s="119" t="str">
        <f>VLOOKUP(B62,L!$B$14:$B$97,1,0)</f>
        <v>Nguyễn Đình Trọng</v>
      </c>
    </row>
    <row r="63" spans="1:11" ht="16.5">
      <c r="A63" s="119">
        <v>43</v>
      </c>
      <c r="B63" s="59" t="s">
        <v>105</v>
      </c>
      <c r="C63" s="125"/>
      <c r="D63" s="125"/>
      <c r="E63" s="125"/>
      <c r="F63" s="125"/>
      <c r="G63" s="125"/>
      <c r="H63" s="125">
        <f t="shared" si="1"/>
        <v>0</v>
      </c>
      <c r="I63" s="125">
        <f t="shared" si="0"/>
        <v>0</v>
      </c>
      <c r="J63" s="125"/>
      <c r="K63" s="119" t="str">
        <f>VLOOKUP(B63,L!$B$14:$B$97,1,0)</f>
        <v>Ngô Quang Trơn</v>
      </c>
    </row>
    <row r="64" spans="1:11" ht="16.5">
      <c r="A64" s="119">
        <v>44</v>
      </c>
      <c r="B64" s="59" t="s">
        <v>107</v>
      </c>
      <c r="C64" s="125"/>
      <c r="D64" s="125"/>
      <c r="E64" s="125"/>
      <c r="F64" s="125"/>
      <c r="G64" s="125"/>
      <c r="H64" s="125">
        <f t="shared" si="1"/>
        <v>0</v>
      </c>
      <c r="I64" s="125">
        <f t="shared" si="0"/>
        <v>0</v>
      </c>
      <c r="J64" s="125"/>
      <c r="K64" s="119" t="str">
        <f>VLOOKUP(B64,L!$B$14:$B$97,1,0)</f>
        <v>Trương Chí Trung</v>
      </c>
    </row>
    <row r="65" spans="1:11" ht="16.5">
      <c r="A65" s="119">
        <v>45</v>
      </c>
      <c r="B65" s="59" t="s">
        <v>108</v>
      </c>
      <c r="C65" s="125"/>
      <c r="D65" s="125"/>
      <c r="E65" s="125"/>
      <c r="F65" s="125"/>
      <c r="G65" s="125"/>
      <c r="H65" s="125">
        <f t="shared" si="1"/>
        <v>0</v>
      </c>
      <c r="I65" s="125">
        <f t="shared" si="0"/>
        <v>0</v>
      </c>
      <c r="J65" s="125"/>
      <c r="K65" s="119" t="str">
        <f>VLOOKUP(B65,L!$B$14:$B$97,1,0)</f>
        <v>Lê Minh Tú</v>
      </c>
    </row>
    <row r="66" spans="1:11" ht="16.5">
      <c r="A66" s="119">
        <v>46</v>
      </c>
      <c r="B66" s="59" t="s">
        <v>109</v>
      </c>
      <c r="C66" s="125"/>
      <c r="D66" s="125"/>
      <c r="E66" s="125"/>
      <c r="F66" s="125"/>
      <c r="G66" s="125"/>
      <c r="H66" s="125">
        <f t="shared" si="1"/>
        <v>0</v>
      </c>
      <c r="I66" s="125">
        <f t="shared" si="0"/>
        <v>0</v>
      </c>
      <c r="J66" s="125"/>
      <c r="K66" s="119" t="str">
        <f>VLOOKUP(B66,L!$B$14:$B$97,1,0)</f>
        <v>Bùi Anh Tuấn</v>
      </c>
    </row>
    <row r="67" spans="1:11" ht="15.75">
      <c r="A67" s="119">
        <v>47</v>
      </c>
      <c r="B67" s="64" t="s">
        <v>110</v>
      </c>
      <c r="C67" s="125"/>
      <c r="D67" s="125"/>
      <c r="E67" s="125"/>
      <c r="F67" s="125"/>
      <c r="G67" s="125"/>
      <c r="H67" s="125">
        <f t="shared" si="1"/>
        <v>0</v>
      </c>
      <c r="I67" s="125">
        <f t="shared" si="0"/>
        <v>0</v>
      </c>
      <c r="J67" s="125"/>
      <c r="K67" s="119" t="str">
        <f>VLOOKUP(B67,L!$B$14:$B$97,1,0)</f>
        <v>Trần Nguyễn Xuân Vũ</v>
      </c>
    </row>
    <row r="68" spans="1:11" ht="15.75">
      <c r="A68" s="119">
        <v>48</v>
      </c>
      <c r="B68" s="66" t="s">
        <v>111</v>
      </c>
      <c r="C68" s="125"/>
      <c r="D68" s="125"/>
      <c r="E68" s="125"/>
      <c r="F68" s="125"/>
      <c r="G68" s="125"/>
      <c r="H68" s="125">
        <f t="shared" ref="H68:H103" si="2">500000*(F68+G68)</f>
        <v>0</v>
      </c>
      <c r="I68" s="125">
        <f t="shared" ref="I68:I103" si="3">C68+D68+E68+H68</f>
        <v>0</v>
      </c>
      <c r="J68" s="125"/>
      <c r="K68" s="119" t="str">
        <f>VLOOKUP(B68,L!$B$14:$B$97,1,0)</f>
        <v>Nguyễn Thanh Bình</v>
      </c>
    </row>
    <row r="69" spans="1:11" ht="15.75">
      <c r="A69" s="119">
        <v>49</v>
      </c>
      <c r="B69" s="66" t="s">
        <v>112</v>
      </c>
      <c r="C69" s="125"/>
      <c r="D69" s="125"/>
      <c r="E69" s="125"/>
      <c r="F69" s="125">
        <v>7</v>
      </c>
      <c r="G69" s="125">
        <v>4</v>
      </c>
      <c r="H69" s="125">
        <f t="shared" si="2"/>
        <v>5500000</v>
      </c>
      <c r="I69" s="125">
        <f t="shared" si="3"/>
        <v>5500000</v>
      </c>
      <c r="J69" s="125"/>
      <c r="K69" s="119" t="str">
        <f>VLOOKUP(B69,L!$B$14:$B$97,1,0)</f>
        <v>Hoàng Danh Dũng</v>
      </c>
    </row>
    <row r="70" spans="1:11" ht="15.75">
      <c r="A70" s="119">
        <v>50</v>
      </c>
      <c r="B70" s="66" t="s">
        <v>114</v>
      </c>
      <c r="C70" s="125"/>
      <c r="D70" s="125"/>
      <c r="E70" s="125"/>
      <c r="F70" s="125"/>
      <c r="G70" s="125"/>
      <c r="H70" s="125">
        <f t="shared" si="2"/>
        <v>0</v>
      </c>
      <c r="I70" s="125">
        <f t="shared" si="3"/>
        <v>0</v>
      </c>
      <c r="J70" s="125"/>
      <c r="K70" s="119" t="str">
        <f>VLOOKUP(B70,L!$B$14:$B$97,1,0)</f>
        <v>Đoàn Quang Đình</v>
      </c>
    </row>
    <row r="71" spans="1:11" ht="15.75">
      <c r="A71" s="119">
        <v>51</v>
      </c>
      <c r="B71" s="66" t="s">
        <v>115</v>
      </c>
      <c r="C71" s="125"/>
      <c r="D71" s="125"/>
      <c r="E71" s="125"/>
      <c r="F71" s="125"/>
      <c r="G71" s="125"/>
      <c r="H71" s="125">
        <f t="shared" si="2"/>
        <v>0</v>
      </c>
      <c r="I71" s="125">
        <f t="shared" si="3"/>
        <v>0</v>
      </c>
      <c r="J71" s="125"/>
      <c r="K71" s="119" t="str">
        <f>VLOOKUP(B71,L!$B$14:$B$97,1,0)</f>
        <v>Nguyễn Văn Huy</v>
      </c>
    </row>
    <row r="72" spans="1:11" ht="15.75">
      <c r="A72" s="119">
        <v>52</v>
      </c>
      <c r="B72" s="66" t="s">
        <v>116</v>
      </c>
      <c r="C72" s="125"/>
      <c r="D72" s="125"/>
      <c r="E72" s="125"/>
      <c r="F72" s="125">
        <v>19</v>
      </c>
      <c r="G72" s="125">
        <v>8</v>
      </c>
      <c r="H72" s="125">
        <f t="shared" si="2"/>
        <v>13500000</v>
      </c>
      <c r="I72" s="125">
        <f t="shared" si="3"/>
        <v>13500000</v>
      </c>
      <c r="J72" s="125"/>
      <c r="K72" s="119" t="str">
        <f>VLOOKUP(B72,L!$B$14:$B$97,1,0)</f>
        <v>Phạm Sỹ Nguyên</v>
      </c>
    </row>
    <row r="73" spans="1:11" ht="15.75">
      <c r="A73" s="119">
        <v>53</v>
      </c>
      <c r="B73" s="66" t="s">
        <v>117</v>
      </c>
      <c r="C73" s="125"/>
      <c r="D73" s="125"/>
      <c r="E73" s="125"/>
      <c r="F73" s="125"/>
      <c r="G73" s="125"/>
      <c r="H73" s="125">
        <f t="shared" si="2"/>
        <v>0</v>
      </c>
      <c r="I73" s="125">
        <f t="shared" si="3"/>
        <v>0</v>
      </c>
      <c r="J73" s="125"/>
      <c r="K73" s="119" t="str">
        <f>VLOOKUP(B73,L!$B$14:$B$97,1,0)</f>
        <v>Lê Văn Thành</v>
      </c>
    </row>
    <row r="74" spans="1:11" ht="15.75">
      <c r="A74" s="119">
        <v>54</v>
      </c>
      <c r="B74" s="66" t="s">
        <v>118</v>
      </c>
      <c r="C74" s="125"/>
      <c r="D74" s="125"/>
      <c r="E74" s="125"/>
      <c r="F74" s="125"/>
      <c r="G74" s="125"/>
      <c r="H74" s="125">
        <f t="shared" si="2"/>
        <v>0</v>
      </c>
      <c r="I74" s="125">
        <f t="shared" si="3"/>
        <v>0</v>
      </c>
      <c r="J74" s="125"/>
      <c r="K74" s="119" t="str">
        <f>VLOOKUP(B74,L!$B$14:$B$97,1,0)</f>
        <v>Vũ Văn Thành</v>
      </c>
    </row>
    <row r="75" spans="1:11" ht="15.75">
      <c r="A75" s="119">
        <v>55</v>
      </c>
      <c r="B75" s="66" t="s">
        <v>119</v>
      </c>
      <c r="C75" s="125"/>
      <c r="D75" s="125"/>
      <c r="E75" s="125"/>
      <c r="F75" s="125"/>
      <c r="G75" s="125"/>
      <c r="H75" s="125">
        <f t="shared" si="2"/>
        <v>0</v>
      </c>
      <c r="I75" s="125">
        <f t="shared" si="3"/>
        <v>0</v>
      </c>
      <c r="J75" s="125"/>
      <c r="K75" s="119" t="str">
        <f>VLOOKUP(B75,L!$B$14:$B$97,1,0)</f>
        <v>Vũ Văn Thỏa</v>
      </c>
    </row>
    <row r="76" spans="1:11" ht="18.75">
      <c r="A76" s="119">
        <v>56</v>
      </c>
      <c r="B76" s="135" t="s">
        <v>120</v>
      </c>
      <c r="C76" s="125"/>
      <c r="D76" s="125"/>
      <c r="E76" s="125"/>
      <c r="F76" s="125"/>
      <c r="G76" s="125"/>
      <c r="H76" s="125">
        <f t="shared" si="2"/>
        <v>0</v>
      </c>
      <c r="I76" s="125">
        <f t="shared" si="3"/>
        <v>0</v>
      </c>
      <c r="J76" s="125"/>
      <c r="K76" s="119" t="str">
        <f>VLOOKUP(B76,L!$B$14:$B$97,1,0)</f>
        <v>Nguyễn Ngọc Vọng</v>
      </c>
    </row>
    <row r="77" spans="1:11" ht="15.75">
      <c r="A77" s="119">
        <v>57</v>
      </c>
      <c r="B77" s="136" t="s">
        <v>122</v>
      </c>
      <c r="C77" s="125"/>
      <c r="D77" s="125"/>
      <c r="E77" s="125"/>
      <c r="F77" s="125"/>
      <c r="G77" s="125"/>
      <c r="H77" s="125">
        <f t="shared" si="2"/>
        <v>0</v>
      </c>
      <c r="I77" s="125">
        <f t="shared" si="3"/>
        <v>0</v>
      </c>
      <c r="J77" s="125"/>
      <c r="K77" s="119" t="str">
        <f>VLOOKUP(B77,L!$B$14:$B$97,1,0)</f>
        <v>Dương Hoàng An</v>
      </c>
    </row>
    <row r="78" spans="1:11" ht="15.75">
      <c r="A78" s="119">
        <v>58</v>
      </c>
      <c r="B78" s="137" t="s">
        <v>123</v>
      </c>
      <c r="C78" s="125"/>
      <c r="D78" s="125"/>
      <c r="E78" s="125"/>
      <c r="F78" s="125"/>
      <c r="G78" s="125"/>
      <c r="H78" s="125">
        <f t="shared" si="2"/>
        <v>0</v>
      </c>
      <c r="I78" s="125">
        <f t="shared" si="3"/>
        <v>0</v>
      </c>
      <c r="J78" s="125"/>
      <c r="K78" s="119" t="str">
        <f>VLOOKUP(B78,L!$B$14:$B$97,1,0)</f>
        <v>Bùi Văn Bay</v>
      </c>
    </row>
    <row r="79" spans="1:11" ht="18.75">
      <c r="A79" s="119">
        <v>59</v>
      </c>
      <c r="B79" s="40" t="s">
        <v>124</v>
      </c>
      <c r="C79" s="125"/>
      <c r="D79" s="125"/>
      <c r="E79" s="125"/>
      <c r="F79" s="125"/>
      <c r="G79" s="125"/>
      <c r="H79" s="125">
        <f t="shared" si="2"/>
        <v>0</v>
      </c>
      <c r="I79" s="125">
        <f t="shared" si="3"/>
        <v>0</v>
      </c>
      <c r="J79" s="125"/>
      <c r="K79" s="119" t="str">
        <f>VLOOKUP(B79,L!$B$14:$B$97,1,0)</f>
        <v>Hoàng Quang Cường</v>
      </c>
    </row>
    <row r="80" spans="1:11" ht="18.75">
      <c r="A80" s="119">
        <v>60</v>
      </c>
      <c r="B80" s="40" t="s">
        <v>125</v>
      </c>
      <c r="C80" s="125"/>
      <c r="D80" s="125"/>
      <c r="E80" s="125"/>
      <c r="F80" s="125"/>
      <c r="G80" s="125"/>
      <c r="H80" s="125">
        <f t="shared" si="2"/>
        <v>0</v>
      </c>
      <c r="I80" s="125">
        <f t="shared" si="3"/>
        <v>0</v>
      </c>
      <c r="J80" s="125"/>
      <c r="K80" s="119" t="str">
        <f>VLOOKUP(B80,L!$B$14:$B$97,1,0)</f>
        <v>Vũ Văn Duân</v>
      </c>
    </row>
    <row r="81" spans="1:11" ht="18.75">
      <c r="A81" s="119">
        <v>61</v>
      </c>
      <c r="B81" s="40" t="s">
        <v>126</v>
      </c>
      <c r="C81" s="125"/>
      <c r="D81" s="125"/>
      <c r="E81" s="125"/>
      <c r="F81" s="125"/>
      <c r="G81" s="125"/>
      <c r="H81" s="125">
        <f t="shared" si="2"/>
        <v>0</v>
      </c>
      <c r="I81" s="125">
        <f t="shared" si="3"/>
        <v>0</v>
      </c>
      <c r="J81" s="125"/>
      <c r="K81" s="119" t="str">
        <f>VLOOKUP(B81,L!$B$14:$B$97,1,0)</f>
        <v>Bùi Minh Đức</v>
      </c>
    </row>
    <row r="82" spans="1:11" ht="18.75">
      <c r="A82" s="119">
        <v>62</v>
      </c>
      <c r="B82" s="40" t="s">
        <v>127</v>
      </c>
      <c r="C82" s="125"/>
      <c r="D82" s="125"/>
      <c r="E82" s="125"/>
      <c r="F82" s="125"/>
      <c r="G82" s="125"/>
      <c r="H82" s="125">
        <f t="shared" si="2"/>
        <v>0</v>
      </c>
      <c r="I82" s="125">
        <f t="shared" si="3"/>
        <v>0</v>
      </c>
      <c r="J82" s="125"/>
      <c r="K82" s="119" t="str">
        <f>VLOOKUP(B82,L!$B$14:$B$97,1,0)</f>
        <v>Nguyễn Đức Duy</v>
      </c>
    </row>
    <row r="83" spans="1:11" ht="18.75">
      <c r="A83" s="119">
        <v>63</v>
      </c>
      <c r="B83" s="40" t="s">
        <v>128</v>
      </c>
      <c r="C83" s="125"/>
      <c r="D83" s="125"/>
      <c r="E83" s="125"/>
      <c r="F83" s="125"/>
      <c r="G83" s="125"/>
      <c r="H83" s="125">
        <f t="shared" si="2"/>
        <v>0</v>
      </c>
      <c r="I83" s="125">
        <f t="shared" si="3"/>
        <v>0</v>
      </c>
      <c r="J83" s="125"/>
      <c r="K83" s="119" t="str">
        <f>VLOOKUP(B83,L!$B$14:$B$97,1,0)</f>
        <v>Nông Văn Đường</v>
      </c>
    </row>
    <row r="84" spans="1:11" ht="18.75">
      <c r="A84" s="119">
        <v>64</v>
      </c>
      <c r="B84" s="40" t="s">
        <v>129</v>
      </c>
      <c r="C84" s="125"/>
      <c r="D84" s="125"/>
      <c r="E84" s="125"/>
      <c r="F84" s="125"/>
      <c r="G84" s="125"/>
      <c r="H84" s="125">
        <f t="shared" si="2"/>
        <v>0</v>
      </c>
      <c r="I84" s="125">
        <f t="shared" si="3"/>
        <v>0</v>
      </c>
      <c r="J84" s="125"/>
      <c r="K84" s="119" t="str">
        <f>VLOOKUP(B84,L!$B$14:$B$97,1,0)</f>
        <v>Nguyễn Văn Hiếu</v>
      </c>
    </row>
    <row r="85" spans="1:11" ht="18.75">
      <c r="A85" s="119">
        <v>65</v>
      </c>
      <c r="B85" s="40" t="s">
        <v>130</v>
      </c>
      <c r="C85" s="125"/>
      <c r="D85" s="125"/>
      <c r="E85" s="125"/>
      <c r="F85" s="125"/>
      <c r="G85" s="125"/>
      <c r="H85" s="125">
        <f t="shared" si="2"/>
        <v>0</v>
      </c>
      <c r="I85" s="125">
        <f t="shared" si="3"/>
        <v>0</v>
      </c>
      <c r="J85" s="125"/>
      <c r="K85" s="119" t="str">
        <f>VLOOKUP(B85,L!$B$14:$B$97,1,0)</f>
        <v>Trần Minh Hiếu</v>
      </c>
    </row>
    <row r="86" spans="1:11" ht="18.75">
      <c r="A86" s="119">
        <v>66</v>
      </c>
      <c r="B86" s="40" t="s">
        <v>131</v>
      </c>
      <c r="C86" s="125"/>
      <c r="D86" s="125"/>
      <c r="E86" s="125"/>
      <c r="F86" s="125"/>
      <c r="G86" s="125"/>
      <c r="H86" s="125">
        <f t="shared" si="2"/>
        <v>0</v>
      </c>
      <c r="I86" s="125">
        <f t="shared" si="3"/>
        <v>0</v>
      </c>
      <c r="J86" s="125"/>
      <c r="K86" s="119" t="str">
        <f>VLOOKUP(B86,L!$B$14:$B$97,1,0)</f>
        <v>Nguyễn Đình Khẩn</v>
      </c>
    </row>
    <row r="87" spans="1:11" ht="18.75">
      <c r="A87" s="119">
        <v>67</v>
      </c>
      <c r="B87" s="40" t="s">
        <v>132</v>
      </c>
      <c r="C87" s="125"/>
      <c r="D87" s="125"/>
      <c r="E87" s="125"/>
      <c r="F87" s="125"/>
      <c r="G87" s="125"/>
      <c r="H87" s="125">
        <f t="shared" si="2"/>
        <v>0</v>
      </c>
      <c r="I87" s="125">
        <f t="shared" si="3"/>
        <v>0</v>
      </c>
      <c r="J87" s="125"/>
      <c r="K87" s="119" t="str">
        <f>VLOOKUP(B87,L!$B$14:$B$97,1,0)</f>
        <v>Nguyễn Đức Linh</v>
      </c>
    </row>
    <row r="88" spans="1:11" ht="18.75">
      <c r="A88" s="119">
        <v>68</v>
      </c>
      <c r="B88" s="40" t="s">
        <v>133</v>
      </c>
      <c r="C88" s="125"/>
      <c r="D88" s="125"/>
      <c r="E88" s="125"/>
      <c r="F88" s="125"/>
      <c r="G88" s="125"/>
      <c r="H88" s="125">
        <f t="shared" si="2"/>
        <v>0</v>
      </c>
      <c r="I88" s="125">
        <f t="shared" si="3"/>
        <v>0</v>
      </c>
      <c r="J88" s="125"/>
      <c r="K88" s="119" t="str">
        <f>VLOOKUP(B88,L!$B$14:$B$97,1,0)</f>
        <v>Lê Tất Mạnh</v>
      </c>
    </row>
    <row r="89" spans="1:11" ht="18.75">
      <c r="A89" s="119">
        <v>69</v>
      </c>
      <c r="B89" s="40" t="s">
        <v>81</v>
      </c>
      <c r="C89" s="125"/>
      <c r="D89" s="125"/>
      <c r="E89" s="125"/>
      <c r="F89" s="125"/>
      <c r="G89" s="125"/>
      <c r="H89" s="125">
        <f t="shared" si="2"/>
        <v>0</v>
      </c>
      <c r="I89" s="125">
        <f t="shared" si="3"/>
        <v>0</v>
      </c>
      <c r="J89" s="125"/>
      <c r="K89" s="119" t="str">
        <f>VLOOKUP(B89,L!$B$14:$B$97,1,0)</f>
        <v>Đặng Hoàng Minh</v>
      </c>
    </row>
    <row r="90" spans="1:11" ht="18.75">
      <c r="A90" s="119">
        <v>70</v>
      </c>
      <c r="B90" s="40" t="s">
        <v>134</v>
      </c>
      <c r="C90" s="125"/>
      <c r="D90" s="125"/>
      <c r="E90" s="125"/>
      <c r="F90" s="125"/>
      <c r="G90" s="125"/>
      <c r="H90" s="125">
        <f t="shared" si="2"/>
        <v>0</v>
      </c>
      <c r="I90" s="125">
        <f t="shared" si="3"/>
        <v>0</v>
      </c>
      <c r="J90" s="125"/>
      <c r="K90" s="119" t="str">
        <f>VLOOKUP(B90,L!$B$14:$B$97,1,0)</f>
        <v>Võ Duy Minh</v>
      </c>
    </row>
    <row r="91" spans="1:11" ht="18.75">
      <c r="A91" s="119">
        <v>71</v>
      </c>
      <c r="B91" s="40" t="s">
        <v>135</v>
      </c>
      <c r="C91" s="125"/>
      <c r="D91" s="125"/>
      <c r="E91" s="125"/>
      <c r="F91" s="125"/>
      <c r="G91" s="125"/>
      <c r="H91" s="125">
        <f t="shared" si="2"/>
        <v>0</v>
      </c>
      <c r="I91" s="125">
        <f t="shared" si="3"/>
        <v>0</v>
      </c>
      <c r="J91" s="125"/>
      <c r="K91" s="119" t="str">
        <f>VLOOKUP(B91,L!$B$14:$B$97,1,0)</f>
        <v>Lê Hoài Nam</v>
      </c>
    </row>
    <row r="92" spans="1:11" ht="18.75">
      <c r="A92" s="119">
        <v>72</v>
      </c>
      <c r="B92" s="40" t="s">
        <v>136</v>
      </c>
      <c r="C92" s="125"/>
      <c r="D92" s="125"/>
      <c r="E92" s="125"/>
      <c r="F92" s="125"/>
      <c r="G92" s="125"/>
      <c r="H92" s="125">
        <f t="shared" si="2"/>
        <v>0</v>
      </c>
      <c r="I92" s="125">
        <f t="shared" si="3"/>
        <v>0</v>
      </c>
      <c r="J92" s="125"/>
      <c r="K92" s="119" t="str">
        <f>VLOOKUP(B92,L!$B$14:$B$97,1,0)</f>
        <v>Đỗ Chí Nghĩa</v>
      </c>
    </row>
    <row r="93" spans="1:11" ht="18.75">
      <c r="A93" s="119">
        <v>73</v>
      </c>
      <c r="B93" s="40" t="s">
        <v>137</v>
      </c>
      <c r="C93" s="125"/>
      <c r="D93" s="125"/>
      <c r="E93" s="125"/>
      <c r="F93" s="125"/>
      <c r="G93" s="125"/>
      <c r="H93" s="125">
        <f t="shared" si="2"/>
        <v>0</v>
      </c>
      <c r="I93" s="125">
        <f t="shared" si="3"/>
        <v>0</v>
      </c>
      <c r="J93" s="125"/>
      <c r="K93" s="119" t="str">
        <f>VLOOKUP(B93,L!$B$14:$B$97,1,0)</f>
        <v>Nghiêm Hải Ngọc</v>
      </c>
    </row>
    <row r="94" spans="1:11" ht="18.75">
      <c r="A94" s="119">
        <v>74</v>
      </c>
      <c r="B94" s="40" t="s">
        <v>138</v>
      </c>
      <c r="C94" s="125"/>
      <c r="D94" s="125"/>
      <c r="E94" s="125"/>
      <c r="F94" s="125"/>
      <c r="G94" s="125"/>
      <c r="H94" s="125">
        <f t="shared" si="2"/>
        <v>0</v>
      </c>
      <c r="I94" s="125">
        <f t="shared" si="3"/>
        <v>0</v>
      </c>
      <c r="J94" s="125"/>
      <c r="K94" s="119" t="str">
        <f>VLOOKUP(B94,L!$B$14:$B$97,1,0)</f>
        <v>Đặng Đình Nhân</v>
      </c>
    </row>
    <row r="95" spans="1:11" ht="18.75">
      <c r="A95" s="119">
        <v>75</v>
      </c>
      <c r="B95" s="40" t="s">
        <v>139</v>
      </c>
      <c r="C95" s="125"/>
      <c r="D95" s="125"/>
      <c r="E95" s="125"/>
      <c r="F95" s="125"/>
      <c r="G95" s="125"/>
      <c r="H95" s="125">
        <f t="shared" si="2"/>
        <v>0</v>
      </c>
      <c r="I95" s="125">
        <f t="shared" si="3"/>
        <v>0</v>
      </c>
      <c r="J95" s="125"/>
      <c r="K95" s="119" t="str">
        <f>VLOOKUP(B95,L!$B$14:$B$97,1,0)</f>
        <v>Nguyễn Đông Nhựt</v>
      </c>
    </row>
    <row r="96" spans="1:11" ht="18.75">
      <c r="A96" s="119">
        <v>76</v>
      </c>
      <c r="B96" s="40" t="s">
        <v>140</v>
      </c>
      <c r="C96" s="125"/>
      <c r="D96" s="125"/>
      <c r="E96" s="125"/>
      <c r="F96" s="125"/>
      <c r="G96" s="125"/>
      <c r="H96" s="125">
        <f t="shared" si="2"/>
        <v>0</v>
      </c>
      <c r="I96" s="125">
        <f t="shared" si="3"/>
        <v>0</v>
      </c>
      <c r="J96" s="125"/>
      <c r="K96" s="119" t="str">
        <f>VLOOKUP(B96,L!$B$14:$B$97,1,0)</f>
        <v>Huỳnh Quốc Phong</v>
      </c>
    </row>
    <row r="97" spans="1:11" ht="18.75">
      <c r="A97" s="119">
        <v>77</v>
      </c>
      <c r="B97" s="40" t="s">
        <v>141</v>
      </c>
      <c r="C97" s="125"/>
      <c r="D97" s="125"/>
      <c r="E97" s="125"/>
      <c r="F97" s="125"/>
      <c r="G97" s="125"/>
      <c r="H97" s="125">
        <f t="shared" si="2"/>
        <v>0</v>
      </c>
      <c r="I97" s="125">
        <f t="shared" si="3"/>
        <v>0</v>
      </c>
      <c r="J97" s="125"/>
      <c r="K97" s="119" t="str">
        <f>VLOOKUP(B97,L!$B$14:$B$97,1,0)</f>
        <v>Trần Phạm Ân Phước</v>
      </c>
    </row>
    <row r="98" spans="1:11" ht="18.75">
      <c r="A98" s="119">
        <v>78</v>
      </c>
      <c r="B98" s="40" t="s">
        <v>142</v>
      </c>
      <c r="C98" s="125"/>
      <c r="D98" s="125"/>
      <c r="E98" s="125"/>
      <c r="F98" s="125"/>
      <c r="G98" s="125"/>
      <c r="H98" s="125">
        <f t="shared" si="2"/>
        <v>0</v>
      </c>
      <c r="I98" s="125">
        <f t="shared" si="3"/>
        <v>0</v>
      </c>
      <c r="J98" s="125"/>
      <c r="K98" s="119" t="str">
        <f>VLOOKUP(B98,L!$B$14:$B$97,1,0)</f>
        <v>Trần Ánh Sáng</v>
      </c>
    </row>
    <row r="99" spans="1:11" ht="18.75">
      <c r="A99" s="119">
        <v>79</v>
      </c>
      <c r="B99" s="40" t="s">
        <v>143</v>
      </c>
      <c r="C99" s="125"/>
      <c r="D99" s="125"/>
      <c r="E99" s="125"/>
      <c r="F99" s="125"/>
      <c r="G99" s="125"/>
      <c r="H99" s="125">
        <f t="shared" si="2"/>
        <v>0</v>
      </c>
      <c r="I99" s="125">
        <f t="shared" si="3"/>
        <v>0</v>
      </c>
      <c r="J99" s="125"/>
      <c r="K99" s="119" t="str">
        <f>VLOOKUP(B99,L!$B$14:$B$97,1,0)</f>
        <v>Nguyễn Trường Sơn</v>
      </c>
    </row>
    <row r="100" spans="1:11" ht="18.75">
      <c r="A100" s="119">
        <v>80</v>
      </c>
      <c r="B100" s="40" t="s">
        <v>144</v>
      </c>
      <c r="C100" s="125"/>
      <c r="D100" s="125"/>
      <c r="E100" s="125"/>
      <c r="F100" s="125"/>
      <c r="G100" s="125"/>
      <c r="H100" s="125">
        <f t="shared" si="2"/>
        <v>0</v>
      </c>
      <c r="I100" s="125">
        <f t="shared" si="3"/>
        <v>0</v>
      </c>
      <c r="J100" s="125"/>
      <c r="K100" s="119" t="str">
        <f>VLOOKUP(B100,L!$B$14:$B$97,1,0)</f>
        <v>Nguyễn Minh Tiến</v>
      </c>
    </row>
    <row r="101" spans="1:11" ht="18.75">
      <c r="A101" s="119">
        <v>81</v>
      </c>
      <c r="B101" s="40" t="s">
        <v>145</v>
      </c>
      <c r="C101" s="125"/>
      <c r="D101" s="125"/>
      <c r="E101" s="125"/>
      <c r="F101" s="125"/>
      <c r="G101" s="125"/>
      <c r="H101" s="125">
        <f t="shared" si="2"/>
        <v>0</v>
      </c>
      <c r="I101" s="125">
        <f t="shared" si="3"/>
        <v>0</v>
      </c>
      <c r="J101" s="125"/>
      <c r="K101" s="119" t="str">
        <f>VLOOKUP(B101,L!$B$14:$B$97,1,0)</f>
        <v>Hứa Nguyễn Quốc Thái</v>
      </c>
    </row>
    <row r="102" spans="1:11" ht="18.75">
      <c r="A102" s="119">
        <v>82</v>
      </c>
      <c r="B102" s="40" t="s">
        <v>146</v>
      </c>
      <c r="C102" s="125"/>
      <c r="D102" s="125"/>
      <c r="E102" s="125"/>
      <c r="F102" s="125"/>
      <c r="G102" s="125"/>
      <c r="H102" s="125">
        <f t="shared" si="2"/>
        <v>0</v>
      </c>
      <c r="I102" s="125">
        <f t="shared" si="3"/>
        <v>0</v>
      </c>
      <c r="J102" s="125"/>
      <c r="K102" s="119" t="str">
        <f>VLOOKUP(B102,L!$B$14:$B$97,1,0)</f>
        <v>Lê Trung Thành</v>
      </c>
    </row>
    <row r="103" spans="1:11" ht="18.75">
      <c r="A103" s="119">
        <v>83</v>
      </c>
      <c r="B103" s="40" t="s">
        <v>147</v>
      </c>
      <c r="C103" s="125"/>
      <c r="D103" s="125"/>
      <c r="E103" s="125"/>
      <c r="F103" s="125"/>
      <c r="G103" s="125"/>
      <c r="H103" s="125">
        <f t="shared" si="2"/>
        <v>0</v>
      </c>
      <c r="I103" s="125">
        <f t="shared" si="3"/>
        <v>0</v>
      </c>
      <c r="J103" s="125"/>
      <c r="K103" s="119" t="str">
        <f>VLOOKUP(B103,L!$B$14:$B$97,1,0)</f>
        <v>Lê Công Viên</v>
      </c>
    </row>
  </sheetData>
  <autoFilter ref="A5:J103" xr:uid="{00000000-0009-0000-0000-000004000000}"/>
  <mergeCells count="5">
    <mergeCell ref="B2:J2"/>
    <mergeCell ref="F4:H4"/>
    <mergeCell ref="B4:B5"/>
    <mergeCell ref="C4:C5"/>
    <mergeCell ref="I4:I5"/>
  </mergeCells>
  <conditionalFormatting sqref="B7">
    <cfRule type="duplicateValues" dxfId="197" priority="56"/>
    <cfRule type="duplicateValues" dxfId="196" priority="61"/>
  </conditionalFormatting>
  <conditionalFormatting sqref="B9">
    <cfRule type="duplicateValues" dxfId="195" priority="41"/>
  </conditionalFormatting>
  <conditionalFormatting sqref="B10">
    <cfRule type="duplicateValues" dxfId="194" priority="23"/>
  </conditionalFormatting>
  <conditionalFormatting sqref="B10:B11">
    <cfRule type="duplicateValues" dxfId="193" priority="24"/>
  </conditionalFormatting>
  <conditionalFormatting sqref="B11">
    <cfRule type="duplicateValues" dxfId="192" priority="21"/>
  </conditionalFormatting>
  <conditionalFormatting sqref="B20">
    <cfRule type="duplicateValues" dxfId="191" priority="26"/>
  </conditionalFormatting>
  <conditionalFormatting sqref="B21">
    <cfRule type="expression" dxfId="190" priority="42">
      <formula>CELL("row")=ROW()</formula>
    </cfRule>
    <cfRule type="expression" priority="43">
      <formula>CELL("row")=ROW()</formula>
    </cfRule>
    <cfRule type="expression" dxfId="189" priority="44">
      <formula>CELL("row")=ROW()</formula>
    </cfRule>
    <cfRule type="expression" dxfId="188" priority="45">
      <formula>CELL("row")=ROW()</formula>
    </cfRule>
    <cfRule type="expression" dxfId="187" priority="46">
      <formula>CELL("row")=ROW()</formula>
    </cfRule>
    <cfRule type="duplicateValues" dxfId="186" priority="57"/>
    <cfRule type="duplicateValues" dxfId="185" priority="58" stopIfTrue="1"/>
  </conditionalFormatting>
  <conditionalFormatting sqref="B46">
    <cfRule type="duplicateValues" dxfId="184" priority="7"/>
  </conditionalFormatting>
  <conditionalFormatting sqref="B47">
    <cfRule type="duplicateValues" dxfId="183" priority="6"/>
  </conditionalFormatting>
  <conditionalFormatting sqref="B48">
    <cfRule type="duplicateValues" dxfId="182" priority="5"/>
  </conditionalFormatting>
  <conditionalFormatting sqref="B49">
    <cfRule type="duplicateValues" dxfId="181" priority="3"/>
  </conditionalFormatting>
  <conditionalFormatting sqref="B50">
    <cfRule type="duplicateValues" dxfId="180" priority="10" stopIfTrue="1"/>
  </conditionalFormatting>
  <conditionalFormatting sqref="B60:B67">
    <cfRule type="duplicateValues" dxfId="179" priority="28"/>
  </conditionalFormatting>
  <conditionalFormatting sqref="B63">
    <cfRule type="duplicateValues" dxfId="178" priority="27"/>
  </conditionalFormatting>
  <conditionalFormatting sqref="B64:B67">
    <cfRule type="duplicateValues" dxfId="177" priority="29"/>
  </conditionalFormatting>
  <conditionalFormatting sqref="B68:B69">
    <cfRule type="duplicateValues" dxfId="176" priority="37"/>
    <cfRule type="duplicateValues" dxfId="175" priority="38" stopIfTrue="1"/>
  </conditionalFormatting>
  <conditionalFormatting sqref="B68:B76">
    <cfRule type="expression" dxfId="174" priority="30">
      <formula>CELL("row")=ROW()</formula>
    </cfRule>
    <cfRule type="expression" priority="31">
      <formula>CELL("row")=ROW()</formula>
    </cfRule>
    <cfRule type="expression" dxfId="173" priority="32">
      <formula>CELL("row")=ROW()</formula>
    </cfRule>
    <cfRule type="expression" dxfId="172" priority="33">
      <formula>CELL("row")=ROW()</formula>
    </cfRule>
    <cfRule type="expression" dxfId="171" priority="34">
      <formula>CELL("row")=ROW()</formula>
    </cfRule>
  </conditionalFormatting>
  <conditionalFormatting sqref="B70:B76">
    <cfRule type="duplicateValues" dxfId="170" priority="36"/>
    <cfRule type="duplicateValues" dxfId="169" priority="40" stopIfTrue="1"/>
  </conditionalFormatting>
  <conditionalFormatting sqref="B77">
    <cfRule type="duplicateValues" dxfId="168" priority="2" stopIfTrue="1"/>
  </conditionalFormatting>
  <conditionalFormatting sqref="B78">
    <cfRule type="duplicateValues" dxfId="167" priority="1" stopIfTrue="1"/>
  </conditionalFormatting>
  <conditionalFormatting sqref="B79:B103">
    <cfRule type="expression" dxfId="166" priority="1016">
      <formula>CELL("row")=ROW()</formula>
    </cfRule>
    <cfRule type="expression" priority="1017">
      <formula>CELL("row")=ROW()</formula>
    </cfRule>
    <cfRule type="expression" dxfId="165" priority="1018">
      <formula>CELL("row")=ROW()</formula>
    </cfRule>
    <cfRule type="expression" dxfId="164" priority="1019">
      <formula>CELL("row")=ROW()</formula>
    </cfRule>
    <cfRule type="expression" dxfId="163" priority="1020">
      <formula>CELL("row")=ROW()</formula>
    </cfRule>
    <cfRule type="duplicateValues" dxfId="162" priority="1021"/>
    <cfRule type="duplicateValues" dxfId="161" priority="1022" stopIfTrue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6D9AA-C43C-4CE8-979D-B2705B14981B}">
  <dimension ref="A1:IU25"/>
  <sheetViews>
    <sheetView zoomScaleNormal="100" workbookViewId="0">
      <selection activeCell="G9" sqref="G9:H9"/>
    </sheetView>
  </sheetViews>
  <sheetFormatPr defaultColWidth="8.140625" defaultRowHeight="12.75"/>
  <cols>
    <col min="1" max="1" width="5.28515625" style="609" customWidth="1"/>
    <col min="2" max="2" width="16.28515625" style="609" customWidth="1"/>
    <col min="3" max="3" width="12" style="609" customWidth="1"/>
    <col min="4" max="4" width="9.28515625" style="609" customWidth="1"/>
    <col min="5" max="5" width="7.42578125" style="609" customWidth="1"/>
    <col min="6" max="6" width="12.140625" style="609" customWidth="1"/>
    <col min="7" max="7" width="12.42578125" style="609" bestFit="1" customWidth="1"/>
    <col min="8" max="8" width="12.5703125" style="609" customWidth="1"/>
    <col min="9" max="9" width="14.140625" style="609" customWidth="1"/>
    <col min="10" max="10" width="2.140625" style="609" customWidth="1"/>
    <col min="11" max="11" width="10" style="609" customWidth="1"/>
    <col min="12" max="12" width="8.140625" style="609"/>
    <col min="13" max="13" width="17.28515625" style="609" bestFit="1" customWidth="1"/>
    <col min="14" max="256" width="8.140625" style="609"/>
    <col min="257" max="257" width="5.28515625" style="609" customWidth="1"/>
    <col min="258" max="258" width="16.28515625" style="609" customWidth="1"/>
    <col min="259" max="259" width="12" style="609" customWidth="1"/>
    <col min="260" max="260" width="9.28515625" style="609" customWidth="1"/>
    <col min="261" max="261" width="7.42578125" style="609" customWidth="1"/>
    <col min="262" max="262" width="12.140625" style="609" customWidth="1"/>
    <col min="263" max="263" width="12.42578125" style="609" bestFit="1" customWidth="1"/>
    <col min="264" max="264" width="12.5703125" style="609" customWidth="1"/>
    <col min="265" max="265" width="14.140625" style="609" customWidth="1"/>
    <col min="266" max="266" width="2.140625" style="609" customWidth="1"/>
    <col min="267" max="267" width="10" style="609" customWidth="1"/>
    <col min="268" max="268" width="8.140625" style="609"/>
    <col min="269" max="269" width="17.28515625" style="609" bestFit="1" customWidth="1"/>
    <col min="270" max="512" width="8.140625" style="609"/>
    <col min="513" max="513" width="5.28515625" style="609" customWidth="1"/>
    <col min="514" max="514" width="16.28515625" style="609" customWidth="1"/>
    <col min="515" max="515" width="12" style="609" customWidth="1"/>
    <col min="516" max="516" width="9.28515625" style="609" customWidth="1"/>
    <col min="517" max="517" width="7.42578125" style="609" customWidth="1"/>
    <col min="518" max="518" width="12.140625" style="609" customWidth="1"/>
    <col min="519" max="519" width="12.42578125" style="609" bestFit="1" customWidth="1"/>
    <col min="520" max="520" width="12.5703125" style="609" customWidth="1"/>
    <col min="521" max="521" width="14.140625" style="609" customWidth="1"/>
    <col min="522" max="522" width="2.140625" style="609" customWidth="1"/>
    <col min="523" max="523" width="10" style="609" customWidth="1"/>
    <col min="524" max="524" width="8.140625" style="609"/>
    <col min="525" max="525" width="17.28515625" style="609" bestFit="1" customWidth="1"/>
    <col min="526" max="768" width="8.140625" style="609"/>
    <col min="769" max="769" width="5.28515625" style="609" customWidth="1"/>
    <col min="770" max="770" width="16.28515625" style="609" customWidth="1"/>
    <col min="771" max="771" width="12" style="609" customWidth="1"/>
    <col min="772" max="772" width="9.28515625" style="609" customWidth="1"/>
    <col min="773" max="773" width="7.42578125" style="609" customWidth="1"/>
    <col min="774" max="774" width="12.140625" style="609" customWidth="1"/>
    <col min="775" max="775" width="12.42578125" style="609" bestFit="1" customWidth="1"/>
    <col min="776" max="776" width="12.5703125" style="609" customWidth="1"/>
    <col min="777" max="777" width="14.140625" style="609" customWidth="1"/>
    <col min="778" max="778" width="2.140625" style="609" customWidth="1"/>
    <col min="779" max="779" width="10" style="609" customWidth="1"/>
    <col min="780" max="780" width="8.140625" style="609"/>
    <col min="781" max="781" width="17.28515625" style="609" bestFit="1" customWidth="1"/>
    <col min="782" max="1024" width="8.140625" style="609"/>
    <col min="1025" max="1025" width="5.28515625" style="609" customWidth="1"/>
    <col min="1026" max="1026" width="16.28515625" style="609" customWidth="1"/>
    <col min="1027" max="1027" width="12" style="609" customWidth="1"/>
    <col min="1028" max="1028" width="9.28515625" style="609" customWidth="1"/>
    <col min="1029" max="1029" width="7.42578125" style="609" customWidth="1"/>
    <col min="1030" max="1030" width="12.140625" style="609" customWidth="1"/>
    <col min="1031" max="1031" width="12.42578125" style="609" bestFit="1" customWidth="1"/>
    <col min="1032" max="1032" width="12.5703125" style="609" customWidth="1"/>
    <col min="1033" max="1033" width="14.140625" style="609" customWidth="1"/>
    <col min="1034" max="1034" width="2.140625" style="609" customWidth="1"/>
    <col min="1035" max="1035" width="10" style="609" customWidth="1"/>
    <col min="1036" max="1036" width="8.140625" style="609"/>
    <col min="1037" max="1037" width="17.28515625" style="609" bestFit="1" customWidth="1"/>
    <col min="1038" max="1280" width="8.140625" style="609"/>
    <col min="1281" max="1281" width="5.28515625" style="609" customWidth="1"/>
    <col min="1282" max="1282" width="16.28515625" style="609" customWidth="1"/>
    <col min="1283" max="1283" width="12" style="609" customWidth="1"/>
    <col min="1284" max="1284" width="9.28515625" style="609" customWidth="1"/>
    <col min="1285" max="1285" width="7.42578125" style="609" customWidth="1"/>
    <col min="1286" max="1286" width="12.140625" style="609" customWidth="1"/>
    <col min="1287" max="1287" width="12.42578125" style="609" bestFit="1" customWidth="1"/>
    <col min="1288" max="1288" width="12.5703125" style="609" customWidth="1"/>
    <col min="1289" max="1289" width="14.140625" style="609" customWidth="1"/>
    <col min="1290" max="1290" width="2.140625" style="609" customWidth="1"/>
    <col min="1291" max="1291" width="10" style="609" customWidth="1"/>
    <col min="1292" max="1292" width="8.140625" style="609"/>
    <col min="1293" max="1293" width="17.28515625" style="609" bestFit="1" customWidth="1"/>
    <col min="1294" max="1536" width="8.140625" style="609"/>
    <col min="1537" max="1537" width="5.28515625" style="609" customWidth="1"/>
    <col min="1538" max="1538" width="16.28515625" style="609" customWidth="1"/>
    <col min="1539" max="1539" width="12" style="609" customWidth="1"/>
    <col min="1540" max="1540" width="9.28515625" style="609" customWidth="1"/>
    <col min="1541" max="1541" width="7.42578125" style="609" customWidth="1"/>
    <col min="1542" max="1542" width="12.140625" style="609" customWidth="1"/>
    <col min="1543" max="1543" width="12.42578125" style="609" bestFit="1" customWidth="1"/>
    <col min="1544" max="1544" width="12.5703125" style="609" customWidth="1"/>
    <col min="1545" max="1545" width="14.140625" style="609" customWidth="1"/>
    <col min="1546" max="1546" width="2.140625" style="609" customWidth="1"/>
    <col min="1547" max="1547" width="10" style="609" customWidth="1"/>
    <col min="1548" max="1548" width="8.140625" style="609"/>
    <col min="1549" max="1549" width="17.28515625" style="609" bestFit="1" customWidth="1"/>
    <col min="1550" max="1792" width="8.140625" style="609"/>
    <col min="1793" max="1793" width="5.28515625" style="609" customWidth="1"/>
    <col min="1794" max="1794" width="16.28515625" style="609" customWidth="1"/>
    <col min="1795" max="1795" width="12" style="609" customWidth="1"/>
    <col min="1796" max="1796" width="9.28515625" style="609" customWidth="1"/>
    <col min="1797" max="1797" width="7.42578125" style="609" customWidth="1"/>
    <col min="1798" max="1798" width="12.140625" style="609" customWidth="1"/>
    <col min="1799" max="1799" width="12.42578125" style="609" bestFit="1" customWidth="1"/>
    <col min="1800" max="1800" width="12.5703125" style="609" customWidth="1"/>
    <col min="1801" max="1801" width="14.140625" style="609" customWidth="1"/>
    <col min="1802" max="1802" width="2.140625" style="609" customWidth="1"/>
    <col min="1803" max="1803" width="10" style="609" customWidth="1"/>
    <col min="1804" max="1804" width="8.140625" style="609"/>
    <col min="1805" max="1805" width="17.28515625" style="609" bestFit="1" customWidth="1"/>
    <col min="1806" max="2048" width="8.140625" style="609"/>
    <col min="2049" max="2049" width="5.28515625" style="609" customWidth="1"/>
    <col min="2050" max="2050" width="16.28515625" style="609" customWidth="1"/>
    <col min="2051" max="2051" width="12" style="609" customWidth="1"/>
    <col min="2052" max="2052" width="9.28515625" style="609" customWidth="1"/>
    <col min="2053" max="2053" width="7.42578125" style="609" customWidth="1"/>
    <col min="2054" max="2054" width="12.140625" style="609" customWidth="1"/>
    <col min="2055" max="2055" width="12.42578125" style="609" bestFit="1" customWidth="1"/>
    <col min="2056" max="2056" width="12.5703125" style="609" customWidth="1"/>
    <col min="2057" max="2057" width="14.140625" style="609" customWidth="1"/>
    <col min="2058" max="2058" width="2.140625" style="609" customWidth="1"/>
    <col min="2059" max="2059" width="10" style="609" customWidth="1"/>
    <col min="2060" max="2060" width="8.140625" style="609"/>
    <col min="2061" max="2061" width="17.28515625" style="609" bestFit="1" customWidth="1"/>
    <col min="2062" max="2304" width="8.140625" style="609"/>
    <col min="2305" max="2305" width="5.28515625" style="609" customWidth="1"/>
    <col min="2306" max="2306" width="16.28515625" style="609" customWidth="1"/>
    <col min="2307" max="2307" width="12" style="609" customWidth="1"/>
    <col min="2308" max="2308" width="9.28515625" style="609" customWidth="1"/>
    <col min="2309" max="2309" width="7.42578125" style="609" customWidth="1"/>
    <col min="2310" max="2310" width="12.140625" style="609" customWidth="1"/>
    <col min="2311" max="2311" width="12.42578125" style="609" bestFit="1" customWidth="1"/>
    <col min="2312" max="2312" width="12.5703125" style="609" customWidth="1"/>
    <col min="2313" max="2313" width="14.140625" style="609" customWidth="1"/>
    <col min="2314" max="2314" width="2.140625" style="609" customWidth="1"/>
    <col min="2315" max="2315" width="10" style="609" customWidth="1"/>
    <col min="2316" max="2316" width="8.140625" style="609"/>
    <col min="2317" max="2317" width="17.28515625" style="609" bestFit="1" customWidth="1"/>
    <col min="2318" max="2560" width="8.140625" style="609"/>
    <col min="2561" max="2561" width="5.28515625" style="609" customWidth="1"/>
    <col min="2562" max="2562" width="16.28515625" style="609" customWidth="1"/>
    <col min="2563" max="2563" width="12" style="609" customWidth="1"/>
    <col min="2564" max="2564" width="9.28515625" style="609" customWidth="1"/>
    <col min="2565" max="2565" width="7.42578125" style="609" customWidth="1"/>
    <col min="2566" max="2566" width="12.140625" style="609" customWidth="1"/>
    <col min="2567" max="2567" width="12.42578125" style="609" bestFit="1" customWidth="1"/>
    <col min="2568" max="2568" width="12.5703125" style="609" customWidth="1"/>
    <col min="2569" max="2569" width="14.140625" style="609" customWidth="1"/>
    <col min="2570" max="2570" width="2.140625" style="609" customWidth="1"/>
    <col min="2571" max="2571" width="10" style="609" customWidth="1"/>
    <col min="2572" max="2572" width="8.140625" style="609"/>
    <col min="2573" max="2573" width="17.28515625" style="609" bestFit="1" customWidth="1"/>
    <col min="2574" max="2816" width="8.140625" style="609"/>
    <col min="2817" max="2817" width="5.28515625" style="609" customWidth="1"/>
    <col min="2818" max="2818" width="16.28515625" style="609" customWidth="1"/>
    <col min="2819" max="2819" width="12" style="609" customWidth="1"/>
    <col min="2820" max="2820" width="9.28515625" style="609" customWidth="1"/>
    <col min="2821" max="2821" width="7.42578125" style="609" customWidth="1"/>
    <col min="2822" max="2822" width="12.140625" style="609" customWidth="1"/>
    <col min="2823" max="2823" width="12.42578125" style="609" bestFit="1" customWidth="1"/>
    <col min="2824" max="2824" width="12.5703125" style="609" customWidth="1"/>
    <col min="2825" max="2825" width="14.140625" style="609" customWidth="1"/>
    <col min="2826" max="2826" width="2.140625" style="609" customWidth="1"/>
    <col min="2827" max="2827" width="10" style="609" customWidth="1"/>
    <col min="2828" max="2828" width="8.140625" style="609"/>
    <col min="2829" max="2829" width="17.28515625" style="609" bestFit="1" customWidth="1"/>
    <col min="2830" max="3072" width="8.140625" style="609"/>
    <col min="3073" max="3073" width="5.28515625" style="609" customWidth="1"/>
    <col min="3074" max="3074" width="16.28515625" style="609" customWidth="1"/>
    <col min="3075" max="3075" width="12" style="609" customWidth="1"/>
    <col min="3076" max="3076" width="9.28515625" style="609" customWidth="1"/>
    <col min="3077" max="3077" width="7.42578125" style="609" customWidth="1"/>
    <col min="3078" max="3078" width="12.140625" style="609" customWidth="1"/>
    <col min="3079" max="3079" width="12.42578125" style="609" bestFit="1" customWidth="1"/>
    <col min="3080" max="3080" width="12.5703125" style="609" customWidth="1"/>
    <col min="3081" max="3081" width="14.140625" style="609" customWidth="1"/>
    <col min="3082" max="3082" width="2.140625" style="609" customWidth="1"/>
    <col min="3083" max="3083" width="10" style="609" customWidth="1"/>
    <col min="3084" max="3084" width="8.140625" style="609"/>
    <col min="3085" max="3085" width="17.28515625" style="609" bestFit="1" customWidth="1"/>
    <col min="3086" max="3328" width="8.140625" style="609"/>
    <col min="3329" max="3329" width="5.28515625" style="609" customWidth="1"/>
    <col min="3330" max="3330" width="16.28515625" style="609" customWidth="1"/>
    <col min="3331" max="3331" width="12" style="609" customWidth="1"/>
    <col min="3332" max="3332" width="9.28515625" style="609" customWidth="1"/>
    <col min="3333" max="3333" width="7.42578125" style="609" customWidth="1"/>
    <col min="3334" max="3334" width="12.140625" style="609" customWidth="1"/>
    <col min="3335" max="3335" width="12.42578125" style="609" bestFit="1" customWidth="1"/>
    <col min="3336" max="3336" width="12.5703125" style="609" customWidth="1"/>
    <col min="3337" max="3337" width="14.140625" style="609" customWidth="1"/>
    <col min="3338" max="3338" width="2.140625" style="609" customWidth="1"/>
    <col min="3339" max="3339" width="10" style="609" customWidth="1"/>
    <col min="3340" max="3340" width="8.140625" style="609"/>
    <col min="3341" max="3341" width="17.28515625" style="609" bestFit="1" customWidth="1"/>
    <col min="3342" max="3584" width="8.140625" style="609"/>
    <col min="3585" max="3585" width="5.28515625" style="609" customWidth="1"/>
    <col min="3586" max="3586" width="16.28515625" style="609" customWidth="1"/>
    <col min="3587" max="3587" width="12" style="609" customWidth="1"/>
    <col min="3588" max="3588" width="9.28515625" style="609" customWidth="1"/>
    <col min="3589" max="3589" width="7.42578125" style="609" customWidth="1"/>
    <col min="3590" max="3590" width="12.140625" style="609" customWidth="1"/>
    <col min="3591" max="3591" width="12.42578125" style="609" bestFit="1" customWidth="1"/>
    <col min="3592" max="3592" width="12.5703125" style="609" customWidth="1"/>
    <col min="3593" max="3593" width="14.140625" style="609" customWidth="1"/>
    <col min="3594" max="3594" width="2.140625" style="609" customWidth="1"/>
    <col min="3595" max="3595" width="10" style="609" customWidth="1"/>
    <col min="3596" max="3596" width="8.140625" style="609"/>
    <col min="3597" max="3597" width="17.28515625" style="609" bestFit="1" customWidth="1"/>
    <col min="3598" max="3840" width="8.140625" style="609"/>
    <col min="3841" max="3841" width="5.28515625" style="609" customWidth="1"/>
    <col min="3842" max="3842" width="16.28515625" style="609" customWidth="1"/>
    <col min="3843" max="3843" width="12" style="609" customWidth="1"/>
    <col min="3844" max="3844" width="9.28515625" style="609" customWidth="1"/>
    <col min="3845" max="3845" width="7.42578125" style="609" customWidth="1"/>
    <col min="3846" max="3846" width="12.140625" style="609" customWidth="1"/>
    <col min="3847" max="3847" width="12.42578125" style="609" bestFit="1" customWidth="1"/>
    <col min="3848" max="3848" width="12.5703125" style="609" customWidth="1"/>
    <col min="3849" max="3849" width="14.140625" style="609" customWidth="1"/>
    <col min="3850" max="3850" width="2.140625" style="609" customWidth="1"/>
    <col min="3851" max="3851" width="10" style="609" customWidth="1"/>
    <col min="3852" max="3852" width="8.140625" style="609"/>
    <col min="3853" max="3853" width="17.28515625" style="609" bestFit="1" customWidth="1"/>
    <col min="3854" max="4096" width="8.140625" style="609"/>
    <col min="4097" max="4097" width="5.28515625" style="609" customWidth="1"/>
    <col min="4098" max="4098" width="16.28515625" style="609" customWidth="1"/>
    <col min="4099" max="4099" width="12" style="609" customWidth="1"/>
    <col min="4100" max="4100" width="9.28515625" style="609" customWidth="1"/>
    <col min="4101" max="4101" width="7.42578125" style="609" customWidth="1"/>
    <col min="4102" max="4102" width="12.140625" style="609" customWidth="1"/>
    <col min="4103" max="4103" width="12.42578125" style="609" bestFit="1" customWidth="1"/>
    <col min="4104" max="4104" width="12.5703125" style="609" customWidth="1"/>
    <col min="4105" max="4105" width="14.140625" style="609" customWidth="1"/>
    <col min="4106" max="4106" width="2.140625" style="609" customWidth="1"/>
    <col min="4107" max="4107" width="10" style="609" customWidth="1"/>
    <col min="4108" max="4108" width="8.140625" style="609"/>
    <col min="4109" max="4109" width="17.28515625" style="609" bestFit="1" customWidth="1"/>
    <col min="4110" max="4352" width="8.140625" style="609"/>
    <col min="4353" max="4353" width="5.28515625" style="609" customWidth="1"/>
    <col min="4354" max="4354" width="16.28515625" style="609" customWidth="1"/>
    <col min="4355" max="4355" width="12" style="609" customWidth="1"/>
    <col min="4356" max="4356" width="9.28515625" style="609" customWidth="1"/>
    <col min="4357" max="4357" width="7.42578125" style="609" customWidth="1"/>
    <col min="4358" max="4358" width="12.140625" style="609" customWidth="1"/>
    <col min="4359" max="4359" width="12.42578125" style="609" bestFit="1" customWidth="1"/>
    <col min="4360" max="4360" width="12.5703125" style="609" customWidth="1"/>
    <col min="4361" max="4361" width="14.140625" style="609" customWidth="1"/>
    <col min="4362" max="4362" width="2.140625" style="609" customWidth="1"/>
    <col min="4363" max="4363" width="10" style="609" customWidth="1"/>
    <col min="4364" max="4364" width="8.140625" style="609"/>
    <col min="4365" max="4365" width="17.28515625" style="609" bestFit="1" customWidth="1"/>
    <col min="4366" max="4608" width="8.140625" style="609"/>
    <col min="4609" max="4609" width="5.28515625" style="609" customWidth="1"/>
    <col min="4610" max="4610" width="16.28515625" style="609" customWidth="1"/>
    <col min="4611" max="4611" width="12" style="609" customWidth="1"/>
    <col min="4612" max="4612" width="9.28515625" style="609" customWidth="1"/>
    <col min="4613" max="4613" width="7.42578125" style="609" customWidth="1"/>
    <col min="4614" max="4614" width="12.140625" style="609" customWidth="1"/>
    <col min="4615" max="4615" width="12.42578125" style="609" bestFit="1" customWidth="1"/>
    <col min="4616" max="4616" width="12.5703125" style="609" customWidth="1"/>
    <col min="4617" max="4617" width="14.140625" style="609" customWidth="1"/>
    <col min="4618" max="4618" width="2.140625" style="609" customWidth="1"/>
    <col min="4619" max="4619" width="10" style="609" customWidth="1"/>
    <col min="4620" max="4620" width="8.140625" style="609"/>
    <col min="4621" max="4621" width="17.28515625" style="609" bestFit="1" customWidth="1"/>
    <col min="4622" max="4864" width="8.140625" style="609"/>
    <col min="4865" max="4865" width="5.28515625" style="609" customWidth="1"/>
    <col min="4866" max="4866" width="16.28515625" style="609" customWidth="1"/>
    <col min="4867" max="4867" width="12" style="609" customWidth="1"/>
    <col min="4868" max="4868" width="9.28515625" style="609" customWidth="1"/>
    <col min="4869" max="4869" width="7.42578125" style="609" customWidth="1"/>
    <col min="4870" max="4870" width="12.140625" style="609" customWidth="1"/>
    <col min="4871" max="4871" width="12.42578125" style="609" bestFit="1" customWidth="1"/>
    <col min="4872" max="4872" width="12.5703125" style="609" customWidth="1"/>
    <col min="4873" max="4873" width="14.140625" style="609" customWidth="1"/>
    <col min="4874" max="4874" width="2.140625" style="609" customWidth="1"/>
    <col min="4875" max="4875" width="10" style="609" customWidth="1"/>
    <col min="4876" max="4876" width="8.140625" style="609"/>
    <col min="4877" max="4877" width="17.28515625" style="609" bestFit="1" customWidth="1"/>
    <col min="4878" max="5120" width="8.140625" style="609"/>
    <col min="5121" max="5121" width="5.28515625" style="609" customWidth="1"/>
    <col min="5122" max="5122" width="16.28515625" style="609" customWidth="1"/>
    <col min="5123" max="5123" width="12" style="609" customWidth="1"/>
    <col min="5124" max="5124" width="9.28515625" style="609" customWidth="1"/>
    <col min="5125" max="5125" width="7.42578125" style="609" customWidth="1"/>
    <col min="5126" max="5126" width="12.140625" style="609" customWidth="1"/>
    <col min="5127" max="5127" width="12.42578125" style="609" bestFit="1" customWidth="1"/>
    <col min="5128" max="5128" width="12.5703125" style="609" customWidth="1"/>
    <col min="5129" max="5129" width="14.140625" style="609" customWidth="1"/>
    <col min="5130" max="5130" width="2.140625" style="609" customWidth="1"/>
    <col min="5131" max="5131" width="10" style="609" customWidth="1"/>
    <col min="5132" max="5132" width="8.140625" style="609"/>
    <col min="5133" max="5133" width="17.28515625" style="609" bestFit="1" customWidth="1"/>
    <col min="5134" max="5376" width="8.140625" style="609"/>
    <col min="5377" max="5377" width="5.28515625" style="609" customWidth="1"/>
    <col min="5378" max="5378" width="16.28515625" style="609" customWidth="1"/>
    <col min="5379" max="5379" width="12" style="609" customWidth="1"/>
    <col min="5380" max="5380" width="9.28515625" style="609" customWidth="1"/>
    <col min="5381" max="5381" width="7.42578125" style="609" customWidth="1"/>
    <col min="5382" max="5382" width="12.140625" style="609" customWidth="1"/>
    <col min="5383" max="5383" width="12.42578125" style="609" bestFit="1" customWidth="1"/>
    <col min="5384" max="5384" width="12.5703125" style="609" customWidth="1"/>
    <col min="5385" max="5385" width="14.140625" style="609" customWidth="1"/>
    <col min="5386" max="5386" width="2.140625" style="609" customWidth="1"/>
    <col min="5387" max="5387" width="10" style="609" customWidth="1"/>
    <col min="5388" max="5388" width="8.140625" style="609"/>
    <col min="5389" max="5389" width="17.28515625" style="609" bestFit="1" customWidth="1"/>
    <col min="5390" max="5632" width="8.140625" style="609"/>
    <col min="5633" max="5633" width="5.28515625" style="609" customWidth="1"/>
    <col min="5634" max="5634" width="16.28515625" style="609" customWidth="1"/>
    <col min="5635" max="5635" width="12" style="609" customWidth="1"/>
    <col min="5636" max="5636" width="9.28515625" style="609" customWidth="1"/>
    <col min="5637" max="5637" width="7.42578125" style="609" customWidth="1"/>
    <col min="5638" max="5638" width="12.140625" style="609" customWidth="1"/>
    <col min="5639" max="5639" width="12.42578125" style="609" bestFit="1" customWidth="1"/>
    <col min="5640" max="5640" width="12.5703125" style="609" customWidth="1"/>
    <col min="5641" max="5641" width="14.140625" style="609" customWidth="1"/>
    <col min="5642" max="5642" width="2.140625" style="609" customWidth="1"/>
    <col min="5643" max="5643" width="10" style="609" customWidth="1"/>
    <col min="5644" max="5644" width="8.140625" style="609"/>
    <col min="5645" max="5645" width="17.28515625" style="609" bestFit="1" customWidth="1"/>
    <col min="5646" max="5888" width="8.140625" style="609"/>
    <col min="5889" max="5889" width="5.28515625" style="609" customWidth="1"/>
    <col min="5890" max="5890" width="16.28515625" style="609" customWidth="1"/>
    <col min="5891" max="5891" width="12" style="609" customWidth="1"/>
    <col min="5892" max="5892" width="9.28515625" style="609" customWidth="1"/>
    <col min="5893" max="5893" width="7.42578125" style="609" customWidth="1"/>
    <col min="5894" max="5894" width="12.140625" style="609" customWidth="1"/>
    <col min="5895" max="5895" width="12.42578125" style="609" bestFit="1" customWidth="1"/>
    <col min="5896" max="5896" width="12.5703125" style="609" customWidth="1"/>
    <col min="5897" max="5897" width="14.140625" style="609" customWidth="1"/>
    <col min="5898" max="5898" width="2.140625" style="609" customWidth="1"/>
    <col min="5899" max="5899" width="10" style="609" customWidth="1"/>
    <col min="5900" max="5900" width="8.140625" style="609"/>
    <col min="5901" max="5901" width="17.28515625" style="609" bestFit="1" customWidth="1"/>
    <col min="5902" max="6144" width="8.140625" style="609"/>
    <col min="6145" max="6145" width="5.28515625" style="609" customWidth="1"/>
    <col min="6146" max="6146" width="16.28515625" style="609" customWidth="1"/>
    <col min="6147" max="6147" width="12" style="609" customWidth="1"/>
    <col min="6148" max="6148" width="9.28515625" style="609" customWidth="1"/>
    <col min="6149" max="6149" width="7.42578125" style="609" customWidth="1"/>
    <col min="6150" max="6150" width="12.140625" style="609" customWidth="1"/>
    <col min="6151" max="6151" width="12.42578125" style="609" bestFit="1" customWidth="1"/>
    <col min="6152" max="6152" width="12.5703125" style="609" customWidth="1"/>
    <col min="6153" max="6153" width="14.140625" style="609" customWidth="1"/>
    <col min="6154" max="6154" width="2.140625" style="609" customWidth="1"/>
    <col min="6155" max="6155" width="10" style="609" customWidth="1"/>
    <col min="6156" max="6156" width="8.140625" style="609"/>
    <col min="6157" max="6157" width="17.28515625" style="609" bestFit="1" customWidth="1"/>
    <col min="6158" max="6400" width="8.140625" style="609"/>
    <col min="6401" max="6401" width="5.28515625" style="609" customWidth="1"/>
    <col min="6402" max="6402" width="16.28515625" style="609" customWidth="1"/>
    <col min="6403" max="6403" width="12" style="609" customWidth="1"/>
    <col min="6404" max="6404" width="9.28515625" style="609" customWidth="1"/>
    <col min="6405" max="6405" width="7.42578125" style="609" customWidth="1"/>
    <col min="6406" max="6406" width="12.140625" style="609" customWidth="1"/>
    <col min="6407" max="6407" width="12.42578125" style="609" bestFit="1" customWidth="1"/>
    <col min="6408" max="6408" width="12.5703125" style="609" customWidth="1"/>
    <col min="6409" max="6409" width="14.140625" style="609" customWidth="1"/>
    <col min="6410" max="6410" width="2.140625" style="609" customWidth="1"/>
    <col min="6411" max="6411" width="10" style="609" customWidth="1"/>
    <col min="6412" max="6412" width="8.140625" style="609"/>
    <col min="6413" max="6413" width="17.28515625" style="609" bestFit="1" customWidth="1"/>
    <col min="6414" max="6656" width="8.140625" style="609"/>
    <col min="6657" max="6657" width="5.28515625" style="609" customWidth="1"/>
    <col min="6658" max="6658" width="16.28515625" style="609" customWidth="1"/>
    <col min="6659" max="6659" width="12" style="609" customWidth="1"/>
    <col min="6660" max="6660" width="9.28515625" style="609" customWidth="1"/>
    <col min="6661" max="6661" width="7.42578125" style="609" customWidth="1"/>
    <col min="6662" max="6662" width="12.140625" style="609" customWidth="1"/>
    <col min="6663" max="6663" width="12.42578125" style="609" bestFit="1" customWidth="1"/>
    <col min="6664" max="6664" width="12.5703125" style="609" customWidth="1"/>
    <col min="6665" max="6665" width="14.140625" style="609" customWidth="1"/>
    <col min="6666" max="6666" width="2.140625" style="609" customWidth="1"/>
    <col min="6667" max="6667" width="10" style="609" customWidth="1"/>
    <col min="6668" max="6668" width="8.140625" style="609"/>
    <col min="6669" max="6669" width="17.28515625" style="609" bestFit="1" customWidth="1"/>
    <col min="6670" max="6912" width="8.140625" style="609"/>
    <col min="6913" max="6913" width="5.28515625" style="609" customWidth="1"/>
    <col min="6914" max="6914" width="16.28515625" style="609" customWidth="1"/>
    <col min="6915" max="6915" width="12" style="609" customWidth="1"/>
    <col min="6916" max="6916" width="9.28515625" style="609" customWidth="1"/>
    <col min="6917" max="6917" width="7.42578125" style="609" customWidth="1"/>
    <col min="6918" max="6918" width="12.140625" style="609" customWidth="1"/>
    <col min="6919" max="6919" width="12.42578125" style="609" bestFit="1" customWidth="1"/>
    <col min="6920" max="6920" width="12.5703125" style="609" customWidth="1"/>
    <col min="6921" max="6921" width="14.140625" style="609" customWidth="1"/>
    <col min="6922" max="6922" width="2.140625" style="609" customWidth="1"/>
    <col min="6923" max="6923" width="10" style="609" customWidth="1"/>
    <col min="6924" max="6924" width="8.140625" style="609"/>
    <col min="6925" max="6925" width="17.28515625" style="609" bestFit="1" customWidth="1"/>
    <col min="6926" max="7168" width="8.140625" style="609"/>
    <col min="7169" max="7169" width="5.28515625" style="609" customWidth="1"/>
    <col min="7170" max="7170" width="16.28515625" style="609" customWidth="1"/>
    <col min="7171" max="7171" width="12" style="609" customWidth="1"/>
    <col min="7172" max="7172" width="9.28515625" style="609" customWidth="1"/>
    <col min="7173" max="7173" width="7.42578125" style="609" customWidth="1"/>
    <col min="7174" max="7174" width="12.140625" style="609" customWidth="1"/>
    <col min="7175" max="7175" width="12.42578125" style="609" bestFit="1" customWidth="1"/>
    <col min="7176" max="7176" width="12.5703125" style="609" customWidth="1"/>
    <col min="7177" max="7177" width="14.140625" style="609" customWidth="1"/>
    <col min="7178" max="7178" width="2.140625" style="609" customWidth="1"/>
    <col min="7179" max="7179" width="10" style="609" customWidth="1"/>
    <col min="7180" max="7180" width="8.140625" style="609"/>
    <col min="7181" max="7181" width="17.28515625" style="609" bestFit="1" customWidth="1"/>
    <col min="7182" max="7424" width="8.140625" style="609"/>
    <col min="7425" max="7425" width="5.28515625" style="609" customWidth="1"/>
    <col min="7426" max="7426" width="16.28515625" style="609" customWidth="1"/>
    <col min="7427" max="7427" width="12" style="609" customWidth="1"/>
    <col min="7428" max="7428" width="9.28515625" style="609" customWidth="1"/>
    <col min="7429" max="7429" width="7.42578125" style="609" customWidth="1"/>
    <col min="7430" max="7430" width="12.140625" style="609" customWidth="1"/>
    <col min="7431" max="7431" width="12.42578125" style="609" bestFit="1" customWidth="1"/>
    <col min="7432" max="7432" width="12.5703125" style="609" customWidth="1"/>
    <col min="7433" max="7433" width="14.140625" style="609" customWidth="1"/>
    <col min="7434" max="7434" width="2.140625" style="609" customWidth="1"/>
    <col min="7435" max="7435" width="10" style="609" customWidth="1"/>
    <col min="7436" max="7436" width="8.140625" style="609"/>
    <col min="7437" max="7437" width="17.28515625" style="609" bestFit="1" customWidth="1"/>
    <col min="7438" max="7680" width="8.140625" style="609"/>
    <col min="7681" max="7681" width="5.28515625" style="609" customWidth="1"/>
    <col min="7682" max="7682" width="16.28515625" style="609" customWidth="1"/>
    <col min="7683" max="7683" width="12" style="609" customWidth="1"/>
    <col min="7684" max="7684" width="9.28515625" style="609" customWidth="1"/>
    <col min="7685" max="7685" width="7.42578125" style="609" customWidth="1"/>
    <col min="7686" max="7686" width="12.140625" style="609" customWidth="1"/>
    <col min="7687" max="7687" width="12.42578125" style="609" bestFit="1" customWidth="1"/>
    <col min="7688" max="7688" width="12.5703125" style="609" customWidth="1"/>
    <col min="7689" max="7689" width="14.140625" style="609" customWidth="1"/>
    <col min="7690" max="7690" width="2.140625" style="609" customWidth="1"/>
    <col min="7691" max="7691" width="10" style="609" customWidth="1"/>
    <col min="7692" max="7692" width="8.140625" style="609"/>
    <col min="7693" max="7693" width="17.28515625" style="609" bestFit="1" customWidth="1"/>
    <col min="7694" max="7936" width="8.140625" style="609"/>
    <col min="7937" max="7937" width="5.28515625" style="609" customWidth="1"/>
    <col min="7938" max="7938" width="16.28515625" style="609" customWidth="1"/>
    <col min="7939" max="7939" width="12" style="609" customWidth="1"/>
    <col min="7940" max="7940" width="9.28515625" style="609" customWidth="1"/>
    <col min="7941" max="7941" width="7.42578125" style="609" customWidth="1"/>
    <col min="7942" max="7942" width="12.140625" style="609" customWidth="1"/>
    <col min="7943" max="7943" width="12.42578125" style="609" bestFit="1" customWidth="1"/>
    <col min="7944" max="7944" width="12.5703125" style="609" customWidth="1"/>
    <col min="7945" max="7945" width="14.140625" style="609" customWidth="1"/>
    <col min="7946" max="7946" width="2.140625" style="609" customWidth="1"/>
    <col min="7947" max="7947" width="10" style="609" customWidth="1"/>
    <col min="7948" max="7948" width="8.140625" style="609"/>
    <col min="7949" max="7949" width="17.28515625" style="609" bestFit="1" customWidth="1"/>
    <col min="7950" max="8192" width="8.140625" style="609"/>
    <col min="8193" max="8193" width="5.28515625" style="609" customWidth="1"/>
    <col min="8194" max="8194" width="16.28515625" style="609" customWidth="1"/>
    <col min="8195" max="8195" width="12" style="609" customWidth="1"/>
    <col min="8196" max="8196" width="9.28515625" style="609" customWidth="1"/>
    <col min="8197" max="8197" width="7.42578125" style="609" customWidth="1"/>
    <col min="8198" max="8198" width="12.140625" style="609" customWidth="1"/>
    <col min="8199" max="8199" width="12.42578125" style="609" bestFit="1" customWidth="1"/>
    <col min="8200" max="8200" width="12.5703125" style="609" customWidth="1"/>
    <col min="8201" max="8201" width="14.140625" style="609" customWidth="1"/>
    <col min="8202" max="8202" width="2.140625" style="609" customWidth="1"/>
    <col min="8203" max="8203" width="10" style="609" customWidth="1"/>
    <col min="8204" max="8204" width="8.140625" style="609"/>
    <col min="8205" max="8205" width="17.28515625" style="609" bestFit="1" customWidth="1"/>
    <col min="8206" max="8448" width="8.140625" style="609"/>
    <col min="8449" max="8449" width="5.28515625" style="609" customWidth="1"/>
    <col min="8450" max="8450" width="16.28515625" style="609" customWidth="1"/>
    <col min="8451" max="8451" width="12" style="609" customWidth="1"/>
    <col min="8452" max="8452" width="9.28515625" style="609" customWidth="1"/>
    <col min="8453" max="8453" width="7.42578125" style="609" customWidth="1"/>
    <col min="8454" max="8454" width="12.140625" style="609" customWidth="1"/>
    <col min="8455" max="8455" width="12.42578125" style="609" bestFit="1" customWidth="1"/>
    <col min="8456" max="8456" width="12.5703125" style="609" customWidth="1"/>
    <col min="8457" max="8457" width="14.140625" style="609" customWidth="1"/>
    <col min="8458" max="8458" width="2.140625" style="609" customWidth="1"/>
    <col min="8459" max="8459" width="10" style="609" customWidth="1"/>
    <col min="8460" max="8460" width="8.140625" style="609"/>
    <col min="8461" max="8461" width="17.28515625" style="609" bestFit="1" customWidth="1"/>
    <col min="8462" max="8704" width="8.140625" style="609"/>
    <col min="8705" max="8705" width="5.28515625" style="609" customWidth="1"/>
    <col min="8706" max="8706" width="16.28515625" style="609" customWidth="1"/>
    <col min="8707" max="8707" width="12" style="609" customWidth="1"/>
    <col min="8708" max="8708" width="9.28515625" style="609" customWidth="1"/>
    <col min="8709" max="8709" width="7.42578125" style="609" customWidth="1"/>
    <col min="8710" max="8710" width="12.140625" style="609" customWidth="1"/>
    <col min="8711" max="8711" width="12.42578125" style="609" bestFit="1" customWidth="1"/>
    <col min="8712" max="8712" width="12.5703125" style="609" customWidth="1"/>
    <col min="8713" max="8713" width="14.140625" style="609" customWidth="1"/>
    <col min="8714" max="8714" width="2.140625" style="609" customWidth="1"/>
    <col min="8715" max="8715" width="10" style="609" customWidth="1"/>
    <col min="8716" max="8716" width="8.140625" style="609"/>
    <col min="8717" max="8717" width="17.28515625" style="609" bestFit="1" customWidth="1"/>
    <col min="8718" max="8960" width="8.140625" style="609"/>
    <col min="8961" max="8961" width="5.28515625" style="609" customWidth="1"/>
    <col min="8962" max="8962" width="16.28515625" style="609" customWidth="1"/>
    <col min="8963" max="8963" width="12" style="609" customWidth="1"/>
    <col min="8964" max="8964" width="9.28515625" style="609" customWidth="1"/>
    <col min="8965" max="8965" width="7.42578125" style="609" customWidth="1"/>
    <col min="8966" max="8966" width="12.140625" style="609" customWidth="1"/>
    <col min="8967" max="8967" width="12.42578125" style="609" bestFit="1" customWidth="1"/>
    <col min="8968" max="8968" width="12.5703125" style="609" customWidth="1"/>
    <col min="8969" max="8969" width="14.140625" style="609" customWidth="1"/>
    <col min="8970" max="8970" width="2.140625" style="609" customWidth="1"/>
    <col min="8971" max="8971" width="10" style="609" customWidth="1"/>
    <col min="8972" max="8972" width="8.140625" style="609"/>
    <col min="8973" max="8973" width="17.28515625" style="609" bestFit="1" customWidth="1"/>
    <col min="8974" max="9216" width="8.140625" style="609"/>
    <col min="9217" max="9217" width="5.28515625" style="609" customWidth="1"/>
    <col min="9218" max="9218" width="16.28515625" style="609" customWidth="1"/>
    <col min="9219" max="9219" width="12" style="609" customWidth="1"/>
    <col min="9220" max="9220" width="9.28515625" style="609" customWidth="1"/>
    <col min="9221" max="9221" width="7.42578125" style="609" customWidth="1"/>
    <col min="9222" max="9222" width="12.140625" style="609" customWidth="1"/>
    <col min="9223" max="9223" width="12.42578125" style="609" bestFit="1" customWidth="1"/>
    <col min="9224" max="9224" width="12.5703125" style="609" customWidth="1"/>
    <col min="9225" max="9225" width="14.140625" style="609" customWidth="1"/>
    <col min="9226" max="9226" width="2.140625" style="609" customWidth="1"/>
    <col min="9227" max="9227" width="10" style="609" customWidth="1"/>
    <col min="9228" max="9228" width="8.140625" style="609"/>
    <col min="9229" max="9229" width="17.28515625" style="609" bestFit="1" customWidth="1"/>
    <col min="9230" max="9472" width="8.140625" style="609"/>
    <col min="9473" max="9473" width="5.28515625" style="609" customWidth="1"/>
    <col min="9474" max="9474" width="16.28515625" style="609" customWidth="1"/>
    <col min="9475" max="9475" width="12" style="609" customWidth="1"/>
    <col min="9476" max="9476" width="9.28515625" style="609" customWidth="1"/>
    <col min="9477" max="9477" width="7.42578125" style="609" customWidth="1"/>
    <col min="9478" max="9478" width="12.140625" style="609" customWidth="1"/>
    <col min="9479" max="9479" width="12.42578125" style="609" bestFit="1" customWidth="1"/>
    <col min="9480" max="9480" width="12.5703125" style="609" customWidth="1"/>
    <col min="9481" max="9481" width="14.140625" style="609" customWidth="1"/>
    <col min="9482" max="9482" width="2.140625" style="609" customWidth="1"/>
    <col min="9483" max="9483" width="10" style="609" customWidth="1"/>
    <col min="9484" max="9484" width="8.140625" style="609"/>
    <col min="9485" max="9485" width="17.28515625" style="609" bestFit="1" customWidth="1"/>
    <col min="9486" max="9728" width="8.140625" style="609"/>
    <col min="9729" max="9729" width="5.28515625" style="609" customWidth="1"/>
    <col min="9730" max="9730" width="16.28515625" style="609" customWidth="1"/>
    <col min="9731" max="9731" width="12" style="609" customWidth="1"/>
    <col min="9732" max="9732" width="9.28515625" style="609" customWidth="1"/>
    <col min="9733" max="9733" width="7.42578125" style="609" customWidth="1"/>
    <col min="9734" max="9734" width="12.140625" style="609" customWidth="1"/>
    <col min="9735" max="9735" width="12.42578125" style="609" bestFit="1" customWidth="1"/>
    <col min="9736" max="9736" width="12.5703125" style="609" customWidth="1"/>
    <col min="9737" max="9737" width="14.140625" style="609" customWidth="1"/>
    <col min="9738" max="9738" width="2.140625" style="609" customWidth="1"/>
    <col min="9739" max="9739" width="10" style="609" customWidth="1"/>
    <col min="9740" max="9740" width="8.140625" style="609"/>
    <col min="9741" max="9741" width="17.28515625" style="609" bestFit="1" customWidth="1"/>
    <col min="9742" max="9984" width="8.140625" style="609"/>
    <col min="9985" max="9985" width="5.28515625" style="609" customWidth="1"/>
    <col min="9986" max="9986" width="16.28515625" style="609" customWidth="1"/>
    <col min="9987" max="9987" width="12" style="609" customWidth="1"/>
    <col min="9988" max="9988" width="9.28515625" style="609" customWidth="1"/>
    <col min="9989" max="9989" width="7.42578125" style="609" customWidth="1"/>
    <col min="9990" max="9990" width="12.140625" style="609" customWidth="1"/>
    <col min="9991" max="9991" width="12.42578125" style="609" bestFit="1" customWidth="1"/>
    <col min="9992" max="9992" width="12.5703125" style="609" customWidth="1"/>
    <col min="9993" max="9993" width="14.140625" style="609" customWidth="1"/>
    <col min="9994" max="9994" width="2.140625" style="609" customWidth="1"/>
    <col min="9995" max="9995" width="10" style="609" customWidth="1"/>
    <col min="9996" max="9996" width="8.140625" style="609"/>
    <col min="9997" max="9997" width="17.28515625" style="609" bestFit="1" customWidth="1"/>
    <col min="9998" max="10240" width="8.140625" style="609"/>
    <col min="10241" max="10241" width="5.28515625" style="609" customWidth="1"/>
    <col min="10242" max="10242" width="16.28515625" style="609" customWidth="1"/>
    <col min="10243" max="10243" width="12" style="609" customWidth="1"/>
    <col min="10244" max="10244" width="9.28515625" style="609" customWidth="1"/>
    <col min="10245" max="10245" width="7.42578125" style="609" customWidth="1"/>
    <col min="10246" max="10246" width="12.140625" style="609" customWidth="1"/>
    <col min="10247" max="10247" width="12.42578125" style="609" bestFit="1" customWidth="1"/>
    <col min="10248" max="10248" width="12.5703125" style="609" customWidth="1"/>
    <col min="10249" max="10249" width="14.140625" style="609" customWidth="1"/>
    <col min="10250" max="10250" width="2.140625" style="609" customWidth="1"/>
    <col min="10251" max="10251" width="10" style="609" customWidth="1"/>
    <col min="10252" max="10252" width="8.140625" style="609"/>
    <col min="10253" max="10253" width="17.28515625" style="609" bestFit="1" customWidth="1"/>
    <col min="10254" max="10496" width="8.140625" style="609"/>
    <col min="10497" max="10497" width="5.28515625" style="609" customWidth="1"/>
    <col min="10498" max="10498" width="16.28515625" style="609" customWidth="1"/>
    <col min="10499" max="10499" width="12" style="609" customWidth="1"/>
    <col min="10500" max="10500" width="9.28515625" style="609" customWidth="1"/>
    <col min="10501" max="10501" width="7.42578125" style="609" customWidth="1"/>
    <col min="10502" max="10502" width="12.140625" style="609" customWidth="1"/>
    <col min="10503" max="10503" width="12.42578125" style="609" bestFit="1" customWidth="1"/>
    <col min="10504" max="10504" width="12.5703125" style="609" customWidth="1"/>
    <col min="10505" max="10505" width="14.140625" style="609" customWidth="1"/>
    <col min="10506" max="10506" width="2.140625" style="609" customWidth="1"/>
    <col min="10507" max="10507" width="10" style="609" customWidth="1"/>
    <col min="10508" max="10508" width="8.140625" style="609"/>
    <col min="10509" max="10509" width="17.28515625" style="609" bestFit="1" customWidth="1"/>
    <col min="10510" max="10752" width="8.140625" style="609"/>
    <col min="10753" max="10753" width="5.28515625" style="609" customWidth="1"/>
    <col min="10754" max="10754" width="16.28515625" style="609" customWidth="1"/>
    <col min="10755" max="10755" width="12" style="609" customWidth="1"/>
    <col min="10756" max="10756" width="9.28515625" style="609" customWidth="1"/>
    <col min="10757" max="10757" width="7.42578125" style="609" customWidth="1"/>
    <col min="10758" max="10758" width="12.140625" style="609" customWidth="1"/>
    <col min="10759" max="10759" width="12.42578125" style="609" bestFit="1" customWidth="1"/>
    <col min="10760" max="10760" width="12.5703125" style="609" customWidth="1"/>
    <col min="10761" max="10761" width="14.140625" style="609" customWidth="1"/>
    <col min="10762" max="10762" width="2.140625" style="609" customWidth="1"/>
    <col min="10763" max="10763" width="10" style="609" customWidth="1"/>
    <col min="10764" max="10764" width="8.140625" style="609"/>
    <col min="10765" max="10765" width="17.28515625" style="609" bestFit="1" customWidth="1"/>
    <col min="10766" max="11008" width="8.140625" style="609"/>
    <col min="11009" max="11009" width="5.28515625" style="609" customWidth="1"/>
    <col min="11010" max="11010" width="16.28515625" style="609" customWidth="1"/>
    <col min="11011" max="11011" width="12" style="609" customWidth="1"/>
    <col min="11012" max="11012" width="9.28515625" style="609" customWidth="1"/>
    <col min="11013" max="11013" width="7.42578125" style="609" customWidth="1"/>
    <col min="11014" max="11014" width="12.140625" style="609" customWidth="1"/>
    <col min="11015" max="11015" width="12.42578125" style="609" bestFit="1" customWidth="1"/>
    <col min="11016" max="11016" width="12.5703125" style="609" customWidth="1"/>
    <col min="11017" max="11017" width="14.140625" style="609" customWidth="1"/>
    <col min="11018" max="11018" width="2.140625" style="609" customWidth="1"/>
    <col min="11019" max="11019" width="10" style="609" customWidth="1"/>
    <col min="11020" max="11020" width="8.140625" style="609"/>
    <col min="11021" max="11021" width="17.28515625" style="609" bestFit="1" customWidth="1"/>
    <col min="11022" max="11264" width="8.140625" style="609"/>
    <col min="11265" max="11265" width="5.28515625" style="609" customWidth="1"/>
    <col min="11266" max="11266" width="16.28515625" style="609" customWidth="1"/>
    <col min="11267" max="11267" width="12" style="609" customWidth="1"/>
    <col min="11268" max="11268" width="9.28515625" style="609" customWidth="1"/>
    <col min="11269" max="11269" width="7.42578125" style="609" customWidth="1"/>
    <col min="11270" max="11270" width="12.140625" style="609" customWidth="1"/>
    <col min="11271" max="11271" width="12.42578125" style="609" bestFit="1" customWidth="1"/>
    <col min="11272" max="11272" width="12.5703125" style="609" customWidth="1"/>
    <col min="11273" max="11273" width="14.140625" style="609" customWidth="1"/>
    <col min="11274" max="11274" width="2.140625" style="609" customWidth="1"/>
    <col min="11275" max="11275" width="10" style="609" customWidth="1"/>
    <col min="11276" max="11276" width="8.140625" style="609"/>
    <col min="11277" max="11277" width="17.28515625" style="609" bestFit="1" customWidth="1"/>
    <col min="11278" max="11520" width="8.140625" style="609"/>
    <col min="11521" max="11521" width="5.28515625" style="609" customWidth="1"/>
    <col min="11522" max="11522" width="16.28515625" style="609" customWidth="1"/>
    <col min="11523" max="11523" width="12" style="609" customWidth="1"/>
    <col min="11524" max="11524" width="9.28515625" style="609" customWidth="1"/>
    <col min="11525" max="11525" width="7.42578125" style="609" customWidth="1"/>
    <col min="11526" max="11526" width="12.140625" style="609" customWidth="1"/>
    <col min="11527" max="11527" width="12.42578125" style="609" bestFit="1" customWidth="1"/>
    <col min="11528" max="11528" width="12.5703125" style="609" customWidth="1"/>
    <col min="11529" max="11529" width="14.140625" style="609" customWidth="1"/>
    <col min="11530" max="11530" width="2.140625" style="609" customWidth="1"/>
    <col min="11531" max="11531" width="10" style="609" customWidth="1"/>
    <col min="11532" max="11532" width="8.140625" style="609"/>
    <col min="11533" max="11533" width="17.28515625" style="609" bestFit="1" customWidth="1"/>
    <col min="11534" max="11776" width="8.140625" style="609"/>
    <col min="11777" max="11777" width="5.28515625" style="609" customWidth="1"/>
    <col min="11778" max="11778" width="16.28515625" style="609" customWidth="1"/>
    <col min="11779" max="11779" width="12" style="609" customWidth="1"/>
    <col min="11780" max="11780" width="9.28515625" style="609" customWidth="1"/>
    <col min="11781" max="11781" width="7.42578125" style="609" customWidth="1"/>
    <col min="11782" max="11782" width="12.140625" style="609" customWidth="1"/>
    <col min="11783" max="11783" width="12.42578125" style="609" bestFit="1" customWidth="1"/>
    <col min="11784" max="11784" width="12.5703125" style="609" customWidth="1"/>
    <col min="11785" max="11785" width="14.140625" style="609" customWidth="1"/>
    <col min="11786" max="11786" width="2.140625" style="609" customWidth="1"/>
    <col min="11787" max="11787" width="10" style="609" customWidth="1"/>
    <col min="11788" max="11788" width="8.140625" style="609"/>
    <col min="11789" max="11789" width="17.28515625" style="609" bestFit="1" customWidth="1"/>
    <col min="11790" max="12032" width="8.140625" style="609"/>
    <col min="12033" max="12033" width="5.28515625" style="609" customWidth="1"/>
    <col min="12034" max="12034" width="16.28515625" style="609" customWidth="1"/>
    <col min="12035" max="12035" width="12" style="609" customWidth="1"/>
    <col min="12036" max="12036" width="9.28515625" style="609" customWidth="1"/>
    <col min="12037" max="12037" width="7.42578125" style="609" customWidth="1"/>
    <col min="12038" max="12038" width="12.140625" style="609" customWidth="1"/>
    <col min="12039" max="12039" width="12.42578125" style="609" bestFit="1" customWidth="1"/>
    <col min="12040" max="12040" width="12.5703125" style="609" customWidth="1"/>
    <col min="12041" max="12041" width="14.140625" style="609" customWidth="1"/>
    <col min="12042" max="12042" width="2.140625" style="609" customWidth="1"/>
    <col min="12043" max="12043" width="10" style="609" customWidth="1"/>
    <col min="12044" max="12044" width="8.140625" style="609"/>
    <col min="12045" max="12045" width="17.28515625" style="609" bestFit="1" customWidth="1"/>
    <col min="12046" max="12288" width="8.140625" style="609"/>
    <col min="12289" max="12289" width="5.28515625" style="609" customWidth="1"/>
    <col min="12290" max="12290" width="16.28515625" style="609" customWidth="1"/>
    <col min="12291" max="12291" width="12" style="609" customWidth="1"/>
    <col min="12292" max="12292" width="9.28515625" style="609" customWidth="1"/>
    <col min="12293" max="12293" width="7.42578125" style="609" customWidth="1"/>
    <col min="12294" max="12294" width="12.140625" style="609" customWidth="1"/>
    <col min="12295" max="12295" width="12.42578125" style="609" bestFit="1" customWidth="1"/>
    <col min="12296" max="12296" width="12.5703125" style="609" customWidth="1"/>
    <col min="12297" max="12297" width="14.140625" style="609" customWidth="1"/>
    <col min="12298" max="12298" width="2.140625" style="609" customWidth="1"/>
    <col min="12299" max="12299" width="10" style="609" customWidth="1"/>
    <col min="12300" max="12300" width="8.140625" style="609"/>
    <col min="12301" max="12301" width="17.28515625" style="609" bestFit="1" customWidth="1"/>
    <col min="12302" max="12544" width="8.140625" style="609"/>
    <col min="12545" max="12545" width="5.28515625" style="609" customWidth="1"/>
    <col min="12546" max="12546" width="16.28515625" style="609" customWidth="1"/>
    <col min="12547" max="12547" width="12" style="609" customWidth="1"/>
    <col min="12548" max="12548" width="9.28515625" style="609" customWidth="1"/>
    <col min="12549" max="12549" width="7.42578125" style="609" customWidth="1"/>
    <col min="12550" max="12550" width="12.140625" style="609" customWidth="1"/>
    <col min="12551" max="12551" width="12.42578125" style="609" bestFit="1" customWidth="1"/>
    <col min="12552" max="12552" width="12.5703125" style="609" customWidth="1"/>
    <col min="12553" max="12553" width="14.140625" style="609" customWidth="1"/>
    <col min="12554" max="12554" width="2.140625" style="609" customWidth="1"/>
    <col min="12555" max="12555" width="10" style="609" customWidth="1"/>
    <col min="12556" max="12556" width="8.140625" style="609"/>
    <col min="12557" max="12557" width="17.28515625" style="609" bestFit="1" customWidth="1"/>
    <col min="12558" max="12800" width="8.140625" style="609"/>
    <col min="12801" max="12801" width="5.28515625" style="609" customWidth="1"/>
    <col min="12802" max="12802" width="16.28515625" style="609" customWidth="1"/>
    <col min="12803" max="12803" width="12" style="609" customWidth="1"/>
    <col min="12804" max="12804" width="9.28515625" style="609" customWidth="1"/>
    <col min="12805" max="12805" width="7.42578125" style="609" customWidth="1"/>
    <col min="12806" max="12806" width="12.140625" style="609" customWidth="1"/>
    <col min="12807" max="12807" width="12.42578125" style="609" bestFit="1" customWidth="1"/>
    <col min="12808" max="12808" width="12.5703125" style="609" customWidth="1"/>
    <col min="12809" max="12809" width="14.140625" style="609" customWidth="1"/>
    <col min="12810" max="12810" width="2.140625" style="609" customWidth="1"/>
    <col min="12811" max="12811" width="10" style="609" customWidth="1"/>
    <col min="12812" max="12812" width="8.140625" style="609"/>
    <col min="12813" max="12813" width="17.28515625" style="609" bestFit="1" customWidth="1"/>
    <col min="12814" max="13056" width="8.140625" style="609"/>
    <col min="13057" max="13057" width="5.28515625" style="609" customWidth="1"/>
    <col min="13058" max="13058" width="16.28515625" style="609" customWidth="1"/>
    <col min="13059" max="13059" width="12" style="609" customWidth="1"/>
    <col min="13060" max="13060" width="9.28515625" style="609" customWidth="1"/>
    <col min="13061" max="13061" width="7.42578125" style="609" customWidth="1"/>
    <col min="13062" max="13062" width="12.140625" style="609" customWidth="1"/>
    <col min="13063" max="13063" width="12.42578125" style="609" bestFit="1" customWidth="1"/>
    <col min="13064" max="13064" width="12.5703125" style="609" customWidth="1"/>
    <col min="13065" max="13065" width="14.140625" style="609" customWidth="1"/>
    <col min="13066" max="13066" width="2.140625" style="609" customWidth="1"/>
    <col min="13067" max="13067" width="10" style="609" customWidth="1"/>
    <col min="13068" max="13068" width="8.140625" style="609"/>
    <col min="13069" max="13069" width="17.28515625" style="609" bestFit="1" customWidth="1"/>
    <col min="13070" max="13312" width="8.140625" style="609"/>
    <col min="13313" max="13313" width="5.28515625" style="609" customWidth="1"/>
    <col min="13314" max="13314" width="16.28515625" style="609" customWidth="1"/>
    <col min="13315" max="13315" width="12" style="609" customWidth="1"/>
    <col min="13316" max="13316" width="9.28515625" style="609" customWidth="1"/>
    <col min="13317" max="13317" width="7.42578125" style="609" customWidth="1"/>
    <col min="13318" max="13318" width="12.140625" style="609" customWidth="1"/>
    <col min="13319" max="13319" width="12.42578125" style="609" bestFit="1" customWidth="1"/>
    <col min="13320" max="13320" width="12.5703125" style="609" customWidth="1"/>
    <col min="13321" max="13321" width="14.140625" style="609" customWidth="1"/>
    <col min="13322" max="13322" width="2.140625" style="609" customWidth="1"/>
    <col min="13323" max="13323" width="10" style="609" customWidth="1"/>
    <col min="13324" max="13324" width="8.140625" style="609"/>
    <col min="13325" max="13325" width="17.28515625" style="609" bestFit="1" customWidth="1"/>
    <col min="13326" max="13568" width="8.140625" style="609"/>
    <col min="13569" max="13569" width="5.28515625" style="609" customWidth="1"/>
    <col min="13570" max="13570" width="16.28515625" style="609" customWidth="1"/>
    <col min="13571" max="13571" width="12" style="609" customWidth="1"/>
    <col min="13572" max="13572" width="9.28515625" style="609" customWidth="1"/>
    <col min="13573" max="13573" width="7.42578125" style="609" customWidth="1"/>
    <col min="13574" max="13574" width="12.140625" style="609" customWidth="1"/>
    <col min="13575" max="13575" width="12.42578125" style="609" bestFit="1" customWidth="1"/>
    <col min="13576" max="13576" width="12.5703125" style="609" customWidth="1"/>
    <col min="13577" max="13577" width="14.140625" style="609" customWidth="1"/>
    <col min="13578" max="13578" width="2.140625" style="609" customWidth="1"/>
    <col min="13579" max="13579" width="10" style="609" customWidth="1"/>
    <col min="13580" max="13580" width="8.140625" style="609"/>
    <col min="13581" max="13581" width="17.28515625" style="609" bestFit="1" customWidth="1"/>
    <col min="13582" max="13824" width="8.140625" style="609"/>
    <col min="13825" max="13825" width="5.28515625" style="609" customWidth="1"/>
    <col min="13826" max="13826" width="16.28515625" style="609" customWidth="1"/>
    <col min="13827" max="13827" width="12" style="609" customWidth="1"/>
    <col min="13828" max="13828" width="9.28515625" style="609" customWidth="1"/>
    <col min="13829" max="13829" width="7.42578125" style="609" customWidth="1"/>
    <col min="13830" max="13830" width="12.140625" style="609" customWidth="1"/>
    <col min="13831" max="13831" width="12.42578125" style="609" bestFit="1" customWidth="1"/>
    <col min="13832" max="13832" width="12.5703125" style="609" customWidth="1"/>
    <col min="13833" max="13833" width="14.140625" style="609" customWidth="1"/>
    <col min="13834" max="13834" width="2.140625" style="609" customWidth="1"/>
    <col min="13835" max="13835" width="10" style="609" customWidth="1"/>
    <col min="13836" max="13836" width="8.140625" style="609"/>
    <col min="13837" max="13837" width="17.28515625" style="609" bestFit="1" customWidth="1"/>
    <col min="13838" max="14080" width="8.140625" style="609"/>
    <col min="14081" max="14081" width="5.28515625" style="609" customWidth="1"/>
    <col min="14082" max="14082" width="16.28515625" style="609" customWidth="1"/>
    <col min="14083" max="14083" width="12" style="609" customWidth="1"/>
    <col min="14084" max="14084" width="9.28515625" style="609" customWidth="1"/>
    <col min="14085" max="14085" width="7.42578125" style="609" customWidth="1"/>
    <col min="14086" max="14086" width="12.140625" style="609" customWidth="1"/>
    <col min="14087" max="14087" width="12.42578125" style="609" bestFit="1" customWidth="1"/>
    <col min="14088" max="14088" width="12.5703125" style="609" customWidth="1"/>
    <col min="14089" max="14089" width="14.140625" style="609" customWidth="1"/>
    <col min="14090" max="14090" width="2.140625" style="609" customWidth="1"/>
    <col min="14091" max="14091" width="10" style="609" customWidth="1"/>
    <col min="14092" max="14092" width="8.140625" style="609"/>
    <col min="14093" max="14093" width="17.28515625" style="609" bestFit="1" customWidth="1"/>
    <col min="14094" max="14336" width="8.140625" style="609"/>
    <col min="14337" max="14337" width="5.28515625" style="609" customWidth="1"/>
    <col min="14338" max="14338" width="16.28515625" style="609" customWidth="1"/>
    <col min="14339" max="14339" width="12" style="609" customWidth="1"/>
    <col min="14340" max="14340" width="9.28515625" style="609" customWidth="1"/>
    <col min="14341" max="14341" width="7.42578125" style="609" customWidth="1"/>
    <col min="14342" max="14342" width="12.140625" style="609" customWidth="1"/>
    <col min="14343" max="14343" width="12.42578125" style="609" bestFit="1" customWidth="1"/>
    <col min="14344" max="14344" width="12.5703125" style="609" customWidth="1"/>
    <col min="14345" max="14345" width="14.140625" style="609" customWidth="1"/>
    <col min="14346" max="14346" width="2.140625" style="609" customWidth="1"/>
    <col min="14347" max="14347" width="10" style="609" customWidth="1"/>
    <col min="14348" max="14348" width="8.140625" style="609"/>
    <col min="14349" max="14349" width="17.28515625" style="609" bestFit="1" customWidth="1"/>
    <col min="14350" max="14592" width="8.140625" style="609"/>
    <col min="14593" max="14593" width="5.28515625" style="609" customWidth="1"/>
    <col min="14594" max="14594" width="16.28515625" style="609" customWidth="1"/>
    <col min="14595" max="14595" width="12" style="609" customWidth="1"/>
    <col min="14596" max="14596" width="9.28515625" style="609" customWidth="1"/>
    <col min="14597" max="14597" width="7.42578125" style="609" customWidth="1"/>
    <col min="14598" max="14598" width="12.140625" style="609" customWidth="1"/>
    <col min="14599" max="14599" width="12.42578125" style="609" bestFit="1" customWidth="1"/>
    <col min="14600" max="14600" width="12.5703125" style="609" customWidth="1"/>
    <col min="14601" max="14601" width="14.140625" style="609" customWidth="1"/>
    <col min="14602" max="14602" width="2.140625" style="609" customWidth="1"/>
    <col min="14603" max="14603" width="10" style="609" customWidth="1"/>
    <col min="14604" max="14604" width="8.140625" style="609"/>
    <col min="14605" max="14605" width="17.28515625" style="609" bestFit="1" customWidth="1"/>
    <col min="14606" max="14848" width="8.140625" style="609"/>
    <col min="14849" max="14849" width="5.28515625" style="609" customWidth="1"/>
    <col min="14850" max="14850" width="16.28515625" style="609" customWidth="1"/>
    <col min="14851" max="14851" width="12" style="609" customWidth="1"/>
    <col min="14852" max="14852" width="9.28515625" style="609" customWidth="1"/>
    <col min="14853" max="14853" width="7.42578125" style="609" customWidth="1"/>
    <col min="14854" max="14854" width="12.140625" style="609" customWidth="1"/>
    <col min="14855" max="14855" width="12.42578125" style="609" bestFit="1" customWidth="1"/>
    <col min="14856" max="14856" width="12.5703125" style="609" customWidth="1"/>
    <col min="14857" max="14857" width="14.140625" style="609" customWidth="1"/>
    <col min="14858" max="14858" width="2.140625" style="609" customWidth="1"/>
    <col min="14859" max="14859" width="10" style="609" customWidth="1"/>
    <col min="14860" max="14860" width="8.140625" style="609"/>
    <col min="14861" max="14861" width="17.28515625" style="609" bestFit="1" customWidth="1"/>
    <col min="14862" max="15104" width="8.140625" style="609"/>
    <col min="15105" max="15105" width="5.28515625" style="609" customWidth="1"/>
    <col min="15106" max="15106" width="16.28515625" style="609" customWidth="1"/>
    <col min="15107" max="15107" width="12" style="609" customWidth="1"/>
    <col min="15108" max="15108" width="9.28515625" style="609" customWidth="1"/>
    <col min="15109" max="15109" width="7.42578125" style="609" customWidth="1"/>
    <col min="15110" max="15110" width="12.140625" style="609" customWidth="1"/>
    <col min="15111" max="15111" width="12.42578125" style="609" bestFit="1" customWidth="1"/>
    <col min="15112" max="15112" width="12.5703125" style="609" customWidth="1"/>
    <col min="15113" max="15113" width="14.140625" style="609" customWidth="1"/>
    <col min="15114" max="15114" width="2.140625" style="609" customWidth="1"/>
    <col min="15115" max="15115" width="10" style="609" customWidth="1"/>
    <col min="15116" max="15116" width="8.140625" style="609"/>
    <col min="15117" max="15117" width="17.28515625" style="609" bestFit="1" customWidth="1"/>
    <col min="15118" max="15360" width="8.140625" style="609"/>
    <col min="15361" max="15361" width="5.28515625" style="609" customWidth="1"/>
    <col min="15362" max="15362" width="16.28515625" style="609" customWidth="1"/>
    <col min="15363" max="15363" width="12" style="609" customWidth="1"/>
    <col min="15364" max="15364" width="9.28515625" style="609" customWidth="1"/>
    <col min="15365" max="15365" width="7.42578125" style="609" customWidth="1"/>
    <col min="15366" max="15366" width="12.140625" style="609" customWidth="1"/>
    <col min="15367" max="15367" width="12.42578125" style="609" bestFit="1" customWidth="1"/>
    <col min="15368" max="15368" width="12.5703125" style="609" customWidth="1"/>
    <col min="15369" max="15369" width="14.140625" style="609" customWidth="1"/>
    <col min="15370" max="15370" width="2.140625" style="609" customWidth="1"/>
    <col min="15371" max="15371" width="10" style="609" customWidth="1"/>
    <col min="15372" max="15372" width="8.140625" style="609"/>
    <col min="15373" max="15373" width="17.28515625" style="609" bestFit="1" customWidth="1"/>
    <col min="15374" max="15616" width="8.140625" style="609"/>
    <col min="15617" max="15617" width="5.28515625" style="609" customWidth="1"/>
    <col min="15618" max="15618" width="16.28515625" style="609" customWidth="1"/>
    <col min="15619" max="15619" width="12" style="609" customWidth="1"/>
    <col min="15620" max="15620" width="9.28515625" style="609" customWidth="1"/>
    <col min="15621" max="15621" width="7.42578125" style="609" customWidth="1"/>
    <col min="15622" max="15622" width="12.140625" style="609" customWidth="1"/>
    <col min="15623" max="15623" width="12.42578125" style="609" bestFit="1" customWidth="1"/>
    <col min="15624" max="15624" width="12.5703125" style="609" customWidth="1"/>
    <col min="15625" max="15625" width="14.140625" style="609" customWidth="1"/>
    <col min="15626" max="15626" width="2.140625" style="609" customWidth="1"/>
    <col min="15627" max="15627" width="10" style="609" customWidth="1"/>
    <col min="15628" max="15628" width="8.140625" style="609"/>
    <col min="15629" max="15629" width="17.28515625" style="609" bestFit="1" customWidth="1"/>
    <col min="15630" max="15872" width="8.140625" style="609"/>
    <col min="15873" max="15873" width="5.28515625" style="609" customWidth="1"/>
    <col min="15874" max="15874" width="16.28515625" style="609" customWidth="1"/>
    <col min="15875" max="15875" width="12" style="609" customWidth="1"/>
    <col min="15876" max="15876" width="9.28515625" style="609" customWidth="1"/>
    <col min="15877" max="15877" width="7.42578125" style="609" customWidth="1"/>
    <col min="15878" max="15878" width="12.140625" style="609" customWidth="1"/>
    <col min="15879" max="15879" width="12.42578125" style="609" bestFit="1" customWidth="1"/>
    <col min="15880" max="15880" width="12.5703125" style="609" customWidth="1"/>
    <col min="15881" max="15881" width="14.140625" style="609" customWidth="1"/>
    <col min="15882" max="15882" width="2.140625" style="609" customWidth="1"/>
    <col min="15883" max="15883" width="10" style="609" customWidth="1"/>
    <col min="15884" max="15884" width="8.140625" style="609"/>
    <col min="15885" max="15885" width="17.28515625" style="609" bestFit="1" customWidth="1"/>
    <col min="15886" max="16128" width="8.140625" style="609"/>
    <col min="16129" max="16129" width="5.28515625" style="609" customWidth="1"/>
    <col min="16130" max="16130" width="16.28515625" style="609" customWidth="1"/>
    <col min="16131" max="16131" width="12" style="609" customWidth="1"/>
    <col min="16132" max="16132" width="9.28515625" style="609" customWidth="1"/>
    <col min="16133" max="16133" width="7.42578125" style="609" customWidth="1"/>
    <col min="16134" max="16134" width="12.140625" style="609" customWidth="1"/>
    <col min="16135" max="16135" width="12.42578125" style="609" bestFit="1" customWidth="1"/>
    <col min="16136" max="16136" width="12.5703125" style="609" customWidth="1"/>
    <col min="16137" max="16137" width="14.140625" style="609" customWidth="1"/>
    <col min="16138" max="16138" width="2.140625" style="609" customWidth="1"/>
    <col min="16139" max="16139" width="10" style="609" customWidth="1"/>
    <col min="16140" max="16140" width="8.140625" style="609"/>
    <col min="16141" max="16141" width="17.28515625" style="609" bestFit="1" customWidth="1"/>
    <col min="16142" max="16384" width="8.140625" style="609"/>
  </cols>
  <sheetData>
    <row r="1" spans="1:255" s="561" customFormat="1" ht="15.75">
      <c r="A1" s="719" t="s">
        <v>216</v>
      </c>
      <c r="B1" s="719"/>
      <c r="C1" s="719"/>
      <c r="D1" s="719"/>
      <c r="E1" s="719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0"/>
      <c r="BE1" s="560"/>
      <c r="BF1" s="560"/>
      <c r="BG1" s="560"/>
      <c r="BH1" s="560"/>
      <c r="BI1" s="560"/>
      <c r="BJ1" s="560"/>
      <c r="BK1" s="560"/>
      <c r="BL1" s="560"/>
      <c r="BM1" s="560"/>
      <c r="BN1" s="560"/>
      <c r="BO1" s="560"/>
      <c r="BP1" s="560"/>
      <c r="BQ1" s="560"/>
      <c r="BR1" s="560"/>
      <c r="BS1" s="560"/>
      <c r="BT1" s="560"/>
      <c r="BU1" s="560"/>
      <c r="BV1" s="560"/>
      <c r="BW1" s="560"/>
      <c r="BX1" s="560"/>
      <c r="BY1" s="560"/>
      <c r="BZ1" s="560"/>
      <c r="CA1" s="560"/>
      <c r="CB1" s="560"/>
      <c r="CC1" s="560"/>
      <c r="CD1" s="560"/>
      <c r="CE1" s="560"/>
      <c r="CF1" s="560"/>
      <c r="CG1" s="560"/>
      <c r="CH1" s="560"/>
      <c r="CI1" s="560"/>
      <c r="CJ1" s="560"/>
      <c r="CK1" s="560"/>
      <c r="CL1" s="560"/>
      <c r="CM1" s="560"/>
      <c r="CN1" s="560"/>
      <c r="CO1" s="560"/>
      <c r="CP1" s="560"/>
      <c r="CQ1" s="560"/>
      <c r="CR1" s="560"/>
      <c r="CS1" s="560"/>
      <c r="CT1" s="560"/>
      <c r="CU1" s="560"/>
      <c r="CV1" s="560"/>
      <c r="CW1" s="560"/>
      <c r="CX1" s="560"/>
      <c r="CY1" s="560"/>
      <c r="CZ1" s="560"/>
      <c r="DA1" s="560"/>
      <c r="DB1" s="560"/>
      <c r="DC1" s="560"/>
      <c r="DD1" s="560"/>
      <c r="DE1" s="560"/>
      <c r="DF1" s="560"/>
      <c r="DG1" s="560"/>
      <c r="DH1" s="560"/>
      <c r="DI1" s="560"/>
      <c r="DJ1" s="560"/>
      <c r="DK1" s="560"/>
      <c r="DL1" s="560"/>
      <c r="DM1" s="560"/>
      <c r="DN1" s="560"/>
      <c r="DO1" s="560"/>
      <c r="DP1" s="560"/>
      <c r="DQ1" s="560"/>
      <c r="DR1" s="560"/>
      <c r="DS1" s="560"/>
      <c r="DT1" s="560"/>
      <c r="DU1" s="560"/>
      <c r="DV1" s="560"/>
      <c r="DW1" s="560"/>
      <c r="DX1" s="560"/>
      <c r="DY1" s="560"/>
      <c r="DZ1" s="560"/>
      <c r="EA1" s="560"/>
      <c r="EB1" s="560"/>
      <c r="EC1" s="560"/>
      <c r="ED1" s="560"/>
      <c r="EE1" s="560"/>
      <c r="EF1" s="560"/>
      <c r="EG1" s="560"/>
      <c r="EH1" s="560"/>
      <c r="EI1" s="560"/>
      <c r="EJ1" s="560"/>
      <c r="EK1" s="560"/>
      <c r="EL1" s="560"/>
      <c r="EM1" s="560"/>
      <c r="EN1" s="560"/>
      <c r="EO1" s="560"/>
      <c r="EP1" s="560"/>
      <c r="EQ1" s="560"/>
      <c r="ER1" s="560"/>
      <c r="ES1" s="560"/>
      <c r="ET1" s="560"/>
      <c r="EU1" s="560"/>
      <c r="EV1" s="560"/>
      <c r="EW1" s="560"/>
      <c r="EX1" s="560"/>
      <c r="EY1" s="560"/>
      <c r="EZ1" s="560"/>
      <c r="FA1" s="560"/>
      <c r="FB1" s="560"/>
      <c r="FC1" s="560"/>
      <c r="FD1" s="560"/>
      <c r="FE1" s="560"/>
      <c r="FF1" s="560"/>
      <c r="FG1" s="560"/>
      <c r="FH1" s="560"/>
      <c r="FI1" s="560"/>
      <c r="FJ1" s="560"/>
      <c r="FK1" s="560"/>
      <c r="FL1" s="560"/>
      <c r="FM1" s="560"/>
      <c r="FN1" s="560"/>
      <c r="FO1" s="560"/>
      <c r="FP1" s="560"/>
      <c r="FQ1" s="560"/>
      <c r="FR1" s="560"/>
      <c r="FS1" s="560"/>
      <c r="FT1" s="560"/>
      <c r="FU1" s="560"/>
      <c r="FV1" s="560"/>
      <c r="FW1" s="560"/>
      <c r="FX1" s="560"/>
      <c r="FY1" s="560"/>
      <c r="FZ1" s="560"/>
      <c r="GA1" s="560"/>
      <c r="GB1" s="560"/>
      <c r="GC1" s="560"/>
      <c r="GD1" s="560"/>
      <c r="GE1" s="560"/>
      <c r="GF1" s="560"/>
      <c r="GG1" s="560"/>
      <c r="GH1" s="560"/>
      <c r="GI1" s="560"/>
      <c r="GJ1" s="560"/>
      <c r="GK1" s="560"/>
      <c r="GL1" s="560"/>
      <c r="GM1" s="560"/>
      <c r="GN1" s="560"/>
      <c r="GO1" s="560"/>
      <c r="GP1" s="560"/>
      <c r="GQ1" s="560"/>
      <c r="GR1" s="560"/>
      <c r="GS1" s="560"/>
      <c r="GT1" s="560"/>
      <c r="GU1" s="560"/>
      <c r="GV1" s="560"/>
      <c r="GW1" s="560"/>
      <c r="GX1" s="560"/>
      <c r="GY1" s="560"/>
      <c r="GZ1" s="560"/>
      <c r="HA1" s="560"/>
      <c r="HB1" s="560"/>
      <c r="HC1" s="560"/>
      <c r="HD1" s="560"/>
      <c r="HE1" s="560"/>
      <c r="HF1" s="560"/>
      <c r="HG1" s="560"/>
      <c r="HH1" s="560"/>
      <c r="HI1" s="560"/>
      <c r="HJ1" s="560"/>
      <c r="HK1" s="560"/>
      <c r="HL1" s="560"/>
      <c r="HM1" s="560"/>
      <c r="HN1" s="560"/>
      <c r="HO1" s="560"/>
      <c r="HP1" s="560"/>
      <c r="HQ1" s="560"/>
      <c r="HR1" s="560"/>
      <c r="HS1" s="560"/>
      <c r="HT1" s="560"/>
      <c r="HU1" s="560"/>
      <c r="HV1" s="560"/>
      <c r="HW1" s="560"/>
      <c r="HX1" s="560"/>
      <c r="HY1" s="560"/>
      <c r="HZ1" s="560"/>
      <c r="IA1" s="560"/>
      <c r="IB1" s="560"/>
      <c r="IC1" s="560"/>
      <c r="ID1" s="560"/>
      <c r="IE1" s="560"/>
      <c r="IF1" s="560"/>
      <c r="IG1" s="560"/>
      <c r="IH1" s="560"/>
      <c r="II1" s="560"/>
      <c r="IJ1" s="560"/>
      <c r="IK1" s="560"/>
      <c r="IL1" s="560"/>
      <c r="IM1" s="560"/>
      <c r="IN1" s="560"/>
      <c r="IO1" s="560"/>
      <c r="IP1" s="560"/>
      <c r="IQ1" s="560"/>
      <c r="IR1" s="560"/>
      <c r="IS1" s="560"/>
      <c r="IT1" s="560"/>
      <c r="IU1" s="560"/>
    </row>
    <row r="2" spans="1:255" s="561" customFormat="1" ht="15.75">
      <c r="A2" s="720" t="s">
        <v>1</v>
      </c>
      <c r="B2" s="720"/>
      <c r="C2" s="720"/>
      <c r="D2" s="720"/>
      <c r="E2" s="72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560"/>
      <c r="Q2" s="560"/>
      <c r="R2" s="560"/>
      <c r="S2" s="560"/>
      <c r="T2" s="560"/>
      <c r="U2" s="560"/>
      <c r="V2" s="560"/>
      <c r="W2" s="560"/>
      <c r="X2" s="560"/>
      <c r="Y2" s="560"/>
      <c r="Z2" s="560"/>
      <c r="AA2" s="560"/>
      <c r="AB2" s="560"/>
      <c r="AC2" s="560"/>
      <c r="AD2" s="560"/>
      <c r="AE2" s="560"/>
      <c r="AF2" s="560"/>
      <c r="AG2" s="560"/>
      <c r="AH2" s="560"/>
      <c r="AI2" s="560"/>
      <c r="AJ2" s="560"/>
      <c r="AK2" s="560"/>
      <c r="AL2" s="560"/>
      <c r="AM2" s="560"/>
      <c r="AN2" s="560"/>
      <c r="AO2" s="560"/>
      <c r="AP2" s="560"/>
      <c r="AQ2" s="560"/>
      <c r="AR2" s="560"/>
      <c r="AS2" s="560"/>
      <c r="AT2" s="560"/>
      <c r="AU2" s="560"/>
      <c r="AV2" s="560"/>
      <c r="AW2" s="560"/>
      <c r="AX2" s="560"/>
      <c r="AY2" s="560"/>
      <c r="AZ2" s="560"/>
      <c r="BA2" s="560"/>
      <c r="BB2" s="560"/>
      <c r="BC2" s="560"/>
      <c r="BD2" s="560"/>
      <c r="BE2" s="560"/>
      <c r="BF2" s="560"/>
      <c r="BG2" s="560"/>
      <c r="BH2" s="560"/>
      <c r="BI2" s="560"/>
      <c r="BJ2" s="560"/>
      <c r="BK2" s="560"/>
      <c r="BL2" s="560"/>
      <c r="BM2" s="560"/>
      <c r="BN2" s="560"/>
      <c r="BO2" s="560"/>
      <c r="BP2" s="560"/>
      <c r="BQ2" s="560"/>
      <c r="BR2" s="560"/>
      <c r="BS2" s="560"/>
      <c r="BT2" s="560"/>
      <c r="BU2" s="560"/>
      <c r="BV2" s="560"/>
      <c r="BW2" s="560"/>
      <c r="BX2" s="560"/>
      <c r="BY2" s="560"/>
      <c r="BZ2" s="560"/>
      <c r="CA2" s="560"/>
      <c r="CB2" s="560"/>
      <c r="CC2" s="560"/>
      <c r="CD2" s="560"/>
      <c r="CE2" s="560"/>
      <c r="CF2" s="560"/>
      <c r="CG2" s="560"/>
      <c r="CH2" s="560"/>
      <c r="CI2" s="560"/>
      <c r="CJ2" s="560"/>
      <c r="CK2" s="560"/>
      <c r="CL2" s="560"/>
      <c r="CM2" s="560"/>
      <c r="CN2" s="560"/>
      <c r="CO2" s="560"/>
      <c r="CP2" s="560"/>
      <c r="CQ2" s="560"/>
      <c r="CR2" s="560"/>
      <c r="CS2" s="560"/>
      <c r="CT2" s="560"/>
      <c r="CU2" s="560"/>
      <c r="CV2" s="560"/>
      <c r="CW2" s="560"/>
      <c r="CX2" s="560"/>
      <c r="CY2" s="560"/>
      <c r="CZ2" s="560"/>
      <c r="DA2" s="560"/>
      <c r="DB2" s="560"/>
      <c r="DC2" s="560"/>
      <c r="DD2" s="560"/>
      <c r="DE2" s="560"/>
      <c r="DF2" s="560"/>
      <c r="DG2" s="560"/>
      <c r="DH2" s="560"/>
      <c r="DI2" s="560"/>
      <c r="DJ2" s="560"/>
      <c r="DK2" s="560"/>
      <c r="DL2" s="560"/>
      <c r="DM2" s="560"/>
      <c r="DN2" s="560"/>
      <c r="DO2" s="560"/>
      <c r="DP2" s="560"/>
      <c r="DQ2" s="560"/>
      <c r="DR2" s="560"/>
      <c r="DS2" s="560"/>
      <c r="DT2" s="560"/>
      <c r="DU2" s="560"/>
      <c r="DV2" s="560"/>
      <c r="DW2" s="560"/>
      <c r="DX2" s="560"/>
      <c r="DY2" s="560"/>
      <c r="DZ2" s="560"/>
      <c r="EA2" s="560"/>
      <c r="EB2" s="560"/>
      <c r="EC2" s="560"/>
      <c r="ED2" s="560"/>
      <c r="EE2" s="560"/>
      <c r="EF2" s="560"/>
      <c r="EG2" s="560"/>
      <c r="EH2" s="560"/>
      <c r="EI2" s="560"/>
      <c r="EJ2" s="560"/>
      <c r="EK2" s="560"/>
      <c r="EL2" s="560"/>
      <c r="EM2" s="560"/>
      <c r="EN2" s="560"/>
      <c r="EO2" s="560"/>
      <c r="EP2" s="560"/>
      <c r="EQ2" s="560"/>
      <c r="ER2" s="560"/>
      <c r="ES2" s="560"/>
      <c r="ET2" s="560"/>
      <c r="EU2" s="560"/>
      <c r="EV2" s="560"/>
      <c r="EW2" s="560"/>
      <c r="EX2" s="560"/>
      <c r="EY2" s="560"/>
      <c r="EZ2" s="560"/>
      <c r="FA2" s="560"/>
      <c r="FB2" s="560"/>
      <c r="FC2" s="560"/>
      <c r="FD2" s="560"/>
      <c r="FE2" s="560"/>
      <c r="FF2" s="560"/>
      <c r="FG2" s="560"/>
      <c r="FH2" s="560"/>
      <c r="FI2" s="560"/>
      <c r="FJ2" s="560"/>
      <c r="FK2" s="560"/>
      <c r="FL2" s="560"/>
      <c r="FM2" s="560"/>
      <c r="FN2" s="560"/>
      <c r="FO2" s="560"/>
      <c r="FP2" s="560"/>
      <c r="FQ2" s="560"/>
      <c r="FR2" s="560"/>
      <c r="FS2" s="560"/>
      <c r="FT2" s="560"/>
      <c r="FU2" s="560"/>
      <c r="FV2" s="560"/>
      <c r="FW2" s="560"/>
      <c r="FX2" s="560"/>
      <c r="FY2" s="560"/>
      <c r="FZ2" s="560"/>
      <c r="GA2" s="560"/>
      <c r="GB2" s="560"/>
      <c r="GC2" s="560"/>
      <c r="GD2" s="560"/>
      <c r="GE2" s="560"/>
      <c r="GF2" s="560"/>
      <c r="GG2" s="560"/>
      <c r="GH2" s="560"/>
      <c r="GI2" s="560"/>
      <c r="GJ2" s="560"/>
      <c r="GK2" s="560"/>
      <c r="GL2" s="560"/>
      <c r="GM2" s="560"/>
      <c r="GN2" s="560"/>
      <c r="GO2" s="560"/>
      <c r="GP2" s="560"/>
      <c r="GQ2" s="560"/>
      <c r="GR2" s="560"/>
      <c r="GS2" s="560"/>
      <c r="GT2" s="560"/>
      <c r="GU2" s="560"/>
      <c r="GV2" s="560"/>
      <c r="GW2" s="560"/>
      <c r="GX2" s="560"/>
      <c r="GY2" s="560"/>
      <c r="GZ2" s="560"/>
      <c r="HA2" s="560"/>
      <c r="HB2" s="560"/>
      <c r="HC2" s="560"/>
      <c r="HD2" s="560"/>
      <c r="HE2" s="560"/>
      <c r="HF2" s="560"/>
      <c r="HG2" s="560"/>
      <c r="HH2" s="560"/>
      <c r="HI2" s="560"/>
      <c r="HJ2" s="560"/>
      <c r="HK2" s="560"/>
      <c r="HL2" s="560"/>
      <c r="HM2" s="560"/>
      <c r="HN2" s="560"/>
      <c r="HO2" s="560"/>
      <c r="HP2" s="560"/>
      <c r="HQ2" s="560"/>
      <c r="HR2" s="560"/>
      <c r="HS2" s="560"/>
      <c r="HT2" s="560"/>
      <c r="HU2" s="560"/>
      <c r="HV2" s="560"/>
      <c r="HW2" s="560"/>
      <c r="HX2" s="560"/>
      <c r="HY2" s="560"/>
      <c r="HZ2" s="560"/>
      <c r="IA2" s="560"/>
      <c r="IB2" s="560"/>
      <c r="IC2" s="560"/>
      <c r="ID2" s="560"/>
      <c r="IE2" s="560"/>
      <c r="IF2" s="560"/>
      <c r="IG2" s="560"/>
      <c r="IH2" s="560"/>
      <c r="II2" s="560"/>
      <c r="IJ2" s="560"/>
      <c r="IK2" s="560"/>
      <c r="IL2" s="560"/>
      <c r="IM2" s="560"/>
      <c r="IN2" s="560"/>
      <c r="IO2" s="560"/>
      <c r="IP2" s="560"/>
      <c r="IQ2" s="560"/>
      <c r="IR2" s="560"/>
      <c r="IS2" s="560"/>
      <c r="IT2" s="560"/>
      <c r="IU2" s="560"/>
    </row>
    <row r="3" spans="1:255" s="561" customFormat="1" ht="19.899999999999999" customHeight="1">
      <c r="A3" s="563"/>
      <c r="B3" s="563"/>
      <c r="C3" s="563"/>
      <c r="D3" s="563"/>
      <c r="E3" s="563"/>
      <c r="F3" s="563"/>
      <c r="G3" s="563"/>
      <c r="H3" s="563"/>
      <c r="I3" s="563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3"/>
      <c r="U3" s="563"/>
      <c r="V3" s="563"/>
      <c r="W3" s="563"/>
      <c r="X3" s="563"/>
      <c r="Y3" s="563"/>
      <c r="Z3" s="563"/>
      <c r="AA3" s="563"/>
      <c r="AB3" s="563"/>
      <c r="AC3" s="563"/>
      <c r="AD3" s="563"/>
      <c r="AE3" s="563"/>
      <c r="AF3" s="563"/>
      <c r="AG3" s="563"/>
      <c r="AH3" s="563"/>
      <c r="AI3" s="563"/>
      <c r="AJ3" s="563"/>
      <c r="AK3" s="563"/>
      <c r="AL3" s="563"/>
      <c r="AM3" s="563"/>
      <c r="AN3" s="563"/>
      <c r="AO3" s="563"/>
      <c r="AP3" s="563"/>
      <c r="AQ3" s="563"/>
      <c r="AR3" s="563"/>
      <c r="AS3" s="563"/>
      <c r="AT3" s="563"/>
      <c r="AU3" s="563"/>
      <c r="AV3" s="563"/>
      <c r="AW3" s="563"/>
      <c r="AX3" s="563"/>
      <c r="AY3" s="563"/>
      <c r="AZ3" s="563"/>
      <c r="BA3" s="563"/>
      <c r="BB3" s="563"/>
      <c r="BC3" s="563"/>
      <c r="BD3" s="563"/>
      <c r="BE3" s="563"/>
      <c r="BF3" s="563"/>
      <c r="BG3" s="563"/>
      <c r="BH3" s="563"/>
      <c r="BI3" s="563"/>
      <c r="BJ3" s="563"/>
      <c r="BK3" s="563"/>
      <c r="BL3" s="563"/>
      <c r="BM3" s="563"/>
      <c r="BN3" s="563"/>
      <c r="BO3" s="563"/>
      <c r="BP3" s="563"/>
      <c r="BQ3" s="563"/>
      <c r="BR3" s="563"/>
      <c r="BS3" s="563"/>
      <c r="BT3" s="563"/>
      <c r="BU3" s="563"/>
      <c r="BV3" s="563"/>
      <c r="BW3" s="563"/>
      <c r="BX3" s="563"/>
      <c r="BY3" s="563"/>
      <c r="BZ3" s="563"/>
      <c r="CA3" s="563"/>
      <c r="CB3" s="563"/>
      <c r="CC3" s="563"/>
      <c r="CD3" s="563"/>
      <c r="CE3" s="563"/>
      <c r="CF3" s="563"/>
      <c r="CG3" s="563"/>
      <c r="CH3" s="563"/>
      <c r="CI3" s="563"/>
      <c r="CJ3" s="563"/>
      <c r="CK3" s="563"/>
      <c r="CL3" s="563"/>
      <c r="CM3" s="563"/>
      <c r="CN3" s="563"/>
      <c r="CO3" s="563"/>
      <c r="CP3" s="563"/>
      <c r="CQ3" s="563"/>
      <c r="CR3" s="563"/>
      <c r="CS3" s="563"/>
      <c r="CT3" s="563"/>
      <c r="CU3" s="563"/>
      <c r="CV3" s="563"/>
      <c r="CW3" s="563"/>
      <c r="CX3" s="563"/>
      <c r="CY3" s="563"/>
      <c r="CZ3" s="563"/>
      <c r="DA3" s="563"/>
      <c r="DB3" s="563"/>
      <c r="DC3" s="563"/>
      <c r="DD3" s="563"/>
      <c r="DE3" s="563"/>
      <c r="DF3" s="563"/>
      <c r="DG3" s="563"/>
      <c r="DH3" s="563"/>
      <c r="DI3" s="563"/>
      <c r="DJ3" s="563"/>
      <c r="DK3" s="563"/>
      <c r="DL3" s="563"/>
      <c r="DM3" s="563"/>
      <c r="DN3" s="563"/>
      <c r="DO3" s="563"/>
      <c r="DP3" s="563"/>
      <c r="DQ3" s="563"/>
      <c r="DR3" s="563"/>
      <c r="DS3" s="563"/>
      <c r="DT3" s="563"/>
      <c r="DU3" s="563"/>
      <c r="DV3" s="563"/>
      <c r="DW3" s="563"/>
      <c r="DX3" s="563"/>
      <c r="DY3" s="563"/>
      <c r="DZ3" s="563"/>
      <c r="EA3" s="563"/>
      <c r="EB3" s="563"/>
      <c r="EC3" s="563"/>
      <c r="ED3" s="563"/>
      <c r="EE3" s="563"/>
      <c r="EF3" s="563"/>
      <c r="EG3" s="563"/>
      <c r="EH3" s="563"/>
      <c r="EI3" s="563"/>
      <c r="EJ3" s="563"/>
      <c r="EK3" s="563"/>
      <c r="EL3" s="563"/>
      <c r="EM3" s="563"/>
      <c r="EN3" s="563"/>
      <c r="EO3" s="563"/>
      <c r="EP3" s="563"/>
      <c r="EQ3" s="563"/>
      <c r="ER3" s="563"/>
      <c r="ES3" s="563"/>
      <c r="ET3" s="563"/>
      <c r="EU3" s="563"/>
      <c r="EV3" s="563"/>
      <c r="EW3" s="563"/>
      <c r="EX3" s="563"/>
      <c r="EY3" s="563"/>
      <c r="EZ3" s="563"/>
      <c r="FA3" s="563"/>
      <c r="FB3" s="563"/>
      <c r="FC3" s="563"/>
      <c r="FD3" s="563"/>
      <c r="FE3" s="563"/>
      <c r="FF3" s="563"/>
      <c r="FG3" s="563"/>
      <c r="FH3" s="563"/>
      <c r="FI3" s="563"/>
      <c r="FJ3" s="563"/>
      <c r="FK3" s="563"/>
      <c r="FL3" s="563"/>
      <c r="FM3" s="563"/>
      <c r="FN3" s="563"/>
      <c r="FO3" s="563"/>
      <c r="FP3" s="563"/>
      <c r="FQ3" s="563"/>
      <c r="FR3" s="563"/>
      <c r="FS3" s="563"/>
      <c r="FT3" s="563"/>
      <c r="FU3" s="563"/>
      <c r="FV3" s="563"/>
      <c r="FW3" s="563"/>
      <c r="FX3" s="563"/>
      <c r="FY3" s="563"/>
      <c r="FZ3" s="563"/>
      <c r="GA3" s="563"/>
      <c r="GB3" s="563"/>
      <c r="GC3" s="563"/>
      <c r="GD3" s="563"/>
      <c r="GE3" s="563"/>
      <c r="GF3" s="563"/>
      <c r="GG3" s="563"/>
      <c r="GH3" s="563"/>
      <c r="GI3" s="563"/>
      <c r="GJ3" s="563"/>
      <c r="GK3" s="563"/>
      <c r="GL3" s="563"/>
      <c r="GM3" s="563"/>
      <c r="GN3" s="563"/>
      <c r="GO3" s="563"/>
      <c r="GP3" s="563"/>
      <c r="GQ3" s="563"/>
      <c r="GR3" s="563"/>
      <c r="GS3" s="563"/>
      <c r="GT3" s="563"/>
      <c r="GU3" s="563"/>
      <c r="GV3" s="563"/>
      <c r="GW3" s="563"/>
      <c r="GX3" s="563"/>
      <c r="GY3" s="563"/>
      <c r="GZ3" s="563"/>
      <c r="HA3" s="563"/>
      <c r="HB3" s="563"/>
      <c r="HC3" s="563"/>
      <c r="HD3" s="563"/>
      <c r="HE3" s="563"/>
      <c r="HF3" s="563"/>
      <c r="HG3" s="563"/>
      <c r="HH3" s="563"/>
      <c r="HI3" s="563"/>
      <c r="HJ3" s="563"/>
      <c r="HK3" s="563"/>
      <c r="HL3" s="563"/>
      <c r="HM3" s="563"/>
      <c r="HN3" s="563"/>
      <c r="HO3" s="563"/>
      <c r="HP3" s="563"/>
      <c r="HQ3" s="563"/>
      <c r="HR3" s="563"/>
      <c r="HS3" s="563"/>
      <c r="HT3" s="563"/>
      <c r="HU3" s="563"/>
      <c r="HV3" s="563"/>
      <c r="HW3" s="563"/>
      <c r="HX3" s="563"/>
      <c r="HY3" s="563"/>
      <c r="HZ3" s="563"/>
      <c r="IA3" s="563"/>
      <c r="IB3" s="563"/>
      <c r="IC3" s="563"/>
      <c r="ID3" s="563"/>
      <c r="IE3" s="563"/>
      <c r="IF3" s="563"/>
      <c r="IG3" s="563"/>
      <c r="IH3" s="563"/>
      <c r="II3" s="563"/>
      <c r="IJ3" s="563"/>
      <c r="IK3" s="563"/>
      <c r="IL3" s="563"/>
      <c r="IM3" s="563"/>
      <c r="IN3" s="563"/>
      <c r="IO3" s="563"/>
      <c r="IP3" s="563"/>
      <c r="IQ3" s="563"/>
      <c r="IR3" s="563"/>
      <c r="IS3" s="563"/>
      <c r="IT3" s="563"/>
      <c r="IU3" s="563"/>
    </row>
    <row r="4" spans="1:255" s="561" customFormat="1" ht="20.25">
      <c r="A4" s="721" t="s">
        <v>865</v>
      </c>
      <c r="B4" s="721"/>
      <c r="C4" s="721"/>
      <c r="D4" s="721"/>
      <c r="E4" s="721"/>
      <c r="F4" s="721"/>
      <c r="G4" s="721"/>
      <c r="H4" s="721"/>
      <c r="I4" s="721"/>
      <c r="J4" s="564"/>
      <c r="K4" s="565"/>
      <c r="L4" s="565"/>
      <c r="M4" s="565"/>
      <c r="N4" s="565"/>
      <c r="O4" s="565"/>
      <c r="P4" s="565"/>
      <c r="Q4" s="565"/>
      <c r="R4" s="565"/>
      <c r="S4" s="565"/>
      <c r="T4" s="565"/>
      <c r="U4" s="565"/>
      <c r="V4" s="565"/>
      <c r="W4" s="565"/>
      <c r="X4" s="565"/>
      <c r="Y4" s="565"/>
      <c r="Z4" s="565"/>
      <c r="AA4" s="565"/>
      <c r="AB4" s="565"/>
      <c r="AC4" s="565"/>
      <c r="AD4" s="565"/>
      <c r="AE4" s="565"/>
      <c r="AF4" s="565"/>
      <c r="AG4" s="565"/>
      <c r="AH4" s="565"/>
      <c r="AI4" s="565"/>
      <c r="AJ4" s="565"/>
      <c r="AK4" s="565"/>
      <c r="AL4" s="565"/>
      <c r="AM4" s="565"/>
      <c r="AN4" s="565"/>
      <c r="AO4" s="565"/>
      <c r="AP4" s="565"/>
      <c r="AQ4" s="565"/>
      <c r="AR4" s="565"/>
      <c r="AS4" s="565"/>
      <c r="AT4" s="565"/>
      <c r="AU4" s="565"/>
      <c r="AV4" s="565"/>
      <c r="AW4" s="565"/>
      <c r="AX4" s="565"/>
      <c r="AY4" s="565"/>
      <c r="AZ4" s="565"/>
      <c r="BA4" s="565"/>
      <c r="BB4" s="565"/>
      <c r="BC4" s="565"/>
      <c r="BD4" s="565"/>
      <c r="BE4" s="565"/>
      <c r="BF4" s="565"/>
      <c r="BG4" s="565"/>
      <c r="BH4" s="565"/>
      <c r="BI4" s="565"/>
      <c r="BJ4" s="565"/>
      <c r="BK4" s="565"/>
      <c r="BL4" s="565"/>
      <c r="BM4" s="565"/>
      <c r="BN4" s="565"/>
      <c r="BO4" s="565"/>
      <c r="BP4" s="565"/>
      <c r="BQ4" s="565"/>
      <c r="BR4" s="565"/>
      <c r="BS4" s="565"/>
      <c r="BT4" s="565"/>
      <c r="BU4" s="565"/>
      <c r="BV4" s="565"/>
      <c r="BW4" s="565"/>
      <c r="BX4" s="565"/>
      <c r="BY4" s="565"/>
      <c r="BZ4" s="565"/>
      <c r="CA4" s="565"/>
      <c r="CB4" s="565"/>
      <c r="CC4" s="565"/>
      <c r="CD4" s="565"/>
      <c r="CE4" s="565"/>
      <c r="CF4" s="565"/>
      <c r="CG4" s="565"/>
      <c r="CH4" s="565"/>
      <c r="CI4" s="565"/>
      <c r="CJ4" s="565"/>
      <c r="CK4" s="565"/>
      <c r="CL4" s="565"/>
      <c r="CM4" s="565"/>
      <c r="CN4" s="565"/>
      <c r="CO4" s="565"/>
      <c r="CP4" s="565"/>
      <c r="CQ4" s="565"/>
      <c r="CR4" s="565"/>
      <c r="CS4" s="565"/>
      <c r="CT4" s="565"/>
      <c r="CU4" s="565"/>
      <c r="CV4" s="565"/>
      <c r="CW4" s="565"/>
      <c r="CX4" s="565"/>
      <c r="CY4" s="565"/>
      <c r="CZ4" s="565"/>
      <c r="DA4" s="565"/>
      <c r="DB4" s="565"/>
      <c r="DC4" s="565"/>
      <c r="DD4" s="565"/>
      <c r="DE4" s="565"/>
      <c r="DF4" s="565"/>
      <c r="DG4" s="565"/>
      <c r="DH4" s="565"/>
      <c r="DI4" s="565"/>
      <c r="DJ4" s="565"/>
      <c r="DK4" s="565"/>
      <c r="DL4" s="565"/>
      <c r="DM4" s="565"/>
      <c r="DN4" s="565"/>
      <c r="DO4" s="565"/>
      <c r="DP4" s="565"/>
      <c r="DQ4" s="565"/>
      <c r="DR4" s="565"/>
      <c r="DS4" s="565"/>
      <c r="DT4" s="565"/>
      <c r="DU4" s="565"/>
      <c r="DV4" s="565"/>
      <c r="DW4" s="565"/>
      <c r="DX4" s="565"/>
      <c r="DY4" s="565"/>
      <c r="DZ4" s="565"/>
      <c r="EA4" s="565"/>
      <c r="EB4" s="565"/>
      <c r="EC4" s="565"/>
      <c r="ED4" s="565"/>
      <c r="EE4" s="565"/>
      <c r="EF4" s="565"/>
      <c r="EG4" s="565"/>
      <c r="EH4" s="565"/>
      <c r="EI4" s="565"/>
      <c r="EJ4" s="565"/>
      <c r="EK4" s="565"/>
      <c r="EL4" s="565"/>
      <c r="EM4" s="565"/>
      <c r="EN4" s="565"/>
      <c r="EO4" s="565"/>
      <c r="EP4" s="565"/>
      <c r="EQ4" s="565"/>
      <c r="ER4" s="565"/>
      <c r="ES4" s="565"/>
      <c r="ET4" s="565"/>
      <c r="EU4" s="565"/>
      <c r="EV4" s="565"/>
      <c r="EW4" s="565"/>
      <c r="EX4" s="565"/>
      <c r="EY4" s="565"/>
      <c r="EZ4" s="565"/>
      <c r="FA4" s="565"/>
      <c r="FB4" s="565"/>
      <c r="FC4" s="565"/>
      <c r="FD4" s="565"/>
      <c r="FE4" s="565"/>
      <c r="FF4" s="565"/>
      <c r="FG4" s="565"/>
      <c r="FH4" s="565"/>
      <c r="FI4" s="565"/>
      <c r="FJ4" s="565"/>
      <c r="FK4" s="565"/>
      <c r="FL4" s="565"/>
      <c r="FM4" s="565"/>
      <c r="FN4" s="565"/>
      <c r="FO4" s="565"/>
      <c r="FP4" s="565"/>
      <c r="FQ4" s="565"/>
      <c r="FR4" s="565"/>
      <c r="FS4" s="565"/>
      <c r="FT4" s="565"/>
      <c r="FU4" s="565"/>
      <c r="FV4" s="565"/>
      <c r="FW4" s="565"/>
      <c r="FX4" s="565"/>
      <c r="FY4" s="565"/>
      <c r="FZ4" s="565"/>
      <c r="GA4" s="565"/>
      <c r="GB4" s="565"/>
      <c r="GC4" s="565"/>
      <c r="GD4" s="565"/>
      <c r="GE4" s="565"/>
      <c r="GF4" s="565"/>
      <c r="GG4" s="565"/>
      <c r="GH4" s="565"/>
      <c r="GI4" s="565"/>
      <c r="GJ4" s="565"/>
      <c r="GK4" s="565"/>
      <c r="GL4" s="565"/>
      <c r="GM4" s="565"/>
      <c r="GN4" s="565"/>
      <c r="GO4" s="565"/>
      <c r="GP4" s="565"/>
      <c r="GQ4" s="565"/>
      <c r="GR4" s="565"/>
      <c r="GS4" s="565"/>
      <c r="GT4" s="565"/>
      <c r="GU4" s="565"/>
      <c r="GV4" s="565"/>
      <c r="GW4" s="565"/>
      <c r="GX4" s="565"/>
      <c r="GY4" s="565"/>
      <c r="GZ4" s="565"/>
      <c r="HA4" s="565"/>
      <c r="HB4" s="565"/>
      <c r="HC4" s="565"/>
      <c r="HD4" s="565"/>
      <c r="HE4" s="565"/>
      <c r="HF4" s="565"/>
      <c r="HG4" s="565"/>
      <c r="HH4" s="565"/>
      <c r="HI4" s="565"/>
      <c r="HJ4" s="565"/>
      <c r="HK4" s="565"/>
      <c r="HL4" s="565"/>
      <c r="HM4" s="565"/>
      <c r="HN4" s="565"/>
      <c r="HO4" s="565"/>
      <c r="HP4" s="565"/>
      <c r="HQ4" s="565"/>
      <c r="HR4" s="565"/>
      <c r="HS4" s="565"/>
      <c r="HT4" s="565"/>
      <c r="HU4" s="565"/>
      <c r="HV4" s="565"/>
      <c r="HW4" s="565"/>
      <c r="HX4" s="565"/>
      <c r="HY4" s="565"/>
      <c r="HZ4" s="565"/>
      <c r="IA4" s="565"/>
      <c r="IB4" s="565"/>
      <c r="IC4" s="565"/>
      <c r="ID4" s="565"/>
      <c r="IE4" s="565"/>
      <c r="IF4" s="565"/>
      <c r="IG4" s="565"/>
      <c r="IH4" s="565"/>
      <c r="II4" s="565"/>
      <c r="IJ4" s="565"/>
      <c r="IK4" s="565"/>
      <c r="IL4" s="565"/>
      <c r="IM4" s="565"/>
      <c r="IN4" s="565"/>
      <c r="IO4" s="565"/>
      <c r="IP4" s="565"/>
      <c r="IQ4" s="565"/>
      <c r="IR4" s="565"/>
      <c r="IS4" s="565"/>
      <c r="IT4" s="565"/>
      <c r="IU4" s="565"/>
    </row>
    <row r="5" spans="1:255" s="561" customFormat="1" ht="20.25">
      <c r="A5" s="721" t="s">
        <v>866</v>
      </c>
      <c r="B5" s="721"/>
      <c r="C5" s="721"/>
      <c r="D5" s="721"/>
      <c r="E5" s="721"/>
      <c r="F5" s="721"/>
      <c r="G5" s="721"/>
      <c r="H5" s="721"/>
      <c r="I5" s="721"/>
      <c r="J5" s="564"/>
      <c r="K5" s="565"/>
      <c r="L5" s="565"/>
      <c r="M5" s="565"/>
      <c r="N5" s="565"/>
      <c r="O5" s="565"/>
      <c r="P5" s="565"/>
      <c r="Q5" s="565"/>
      <c r="R5" s="565"/>
      <c r="S5" s="565"/>
      <c r="T5" s="565"/>
      <c r="U5" s="565"/>
      <c r="V5" s="565"/>
      <c r="W5" s="565"/>
      <c r="X5" s="565"/>
      <c r="Y5" s="565"/>
      <c r="Z5" s="565"/>
      <c r="AA5" s="565"/>
      <c r="AB5" s="565"/>
      <c r="AC5" s="565"/>
      <c r="AD5" s="565"/>
      <c r="AE5" s="565"/>
      <c r="AF5" s="565"/>
      <c r="AG5" s="565"/>
      <c r="AH5" s="565"/>
      <c r="AI5" s="565"/>
      <c r="AJ5" s="565"/>
      <c r="AK5" s="565"/>
      <c r="AL5" s="565"/>
      <c r="AM5" s="565"/>
      <c r="AN5" s="565"/>
      <c r="AO5" s="565"/>
      <c r="AP5" s="565"/>
      <c r="AQ5" s="565"/>
      <c r="AR5" s="565"/>
      <c r="AS5" s="565"/>
      <c r="AT5" s="565"/>
      <c r="AU5" s="565"/>
      <c r="AV5" s="565"/>
      <c r="AW5" s="565"/>
      <c r="AX5" s="565"/>
      <c r="AY5" s="565"/>
      <c r="AZ5" s="565"/>
      <c r="BA5" s="565"/>
      <c r="BB5" s="565"/>
      <c r="BC5" s="565"/>
      <c r="BD5" s="565"/>
      <c r="BE5" s="565"/>
      <c r="BF5" s="565"/>
      <c r="BG5" s="565"/>
      <c r="BH5" s="565"/>
      <c r="BI5" s="565"/>
      <c r="BJ5" s="565"/>
      <c r="BK5" s="565"/>
      <c r="BL5" s="565"/>
      <c r="BM5" s="565"/>
      <c r="BN5" s="565"/>
      <c r="BO5" s="565"/>
      <c r="BP5" s="565"/>
      <c r="BQ5" s="565"/>
      <c r="BR5" s="565"/>
      <c r="BS5" s="565"/>
      <c r="BT5" s="565"/>
      <c r="BU5" s="565"/>
      <c r="BV5" s="565"/>
      <c r="BW5" s="565"/>
      <c r="BX5" s="565"/>
      <c r="BY5" s="565"/>
      <c r="BZ5" s="565"/>
      <c r="CA5" s="565"/>
      <c r="CB5" s="565"/>
      <c r="CC5" s="565"/>
      <c r="CD5" s="565"/>
      <c r="CE5" s="565"/>
      <c r="CF5" s="565"/>
      <c r="CG5" s="565"/>
      <c r="CH5" s="565"/>
      <c r="CI5" s="565"/>
      <c r="CJ5" s="565"/>
      <c r="CK5" s="565"/>
      <c r="CL5" s="565"/>
      <c r="CM5" s="565"/>
      <c r="CN5" s="565"/>
      <c r="CO5" s="565"/>
      <c r="CP5" s="565"/>
      <c r="CQ5" s="565"/>
      <c r="CR5" s="565"/>
      <c r="CS5" s="565"/>
      <c r="CT5" s="565"/>
      <c r="CU5" s="565"/>
      <c r="CV5" s="565"/>
      <c r="CW5" s="565"/>
      <c r="CX5" s="565"/>
      <c r="CY5" s="565"/>
      <c r="CZ5" s="565"/>
      <c r="DA5" s="565"/>
      <c r="DB5" s="565"/>
      <c r="DC5" s="565"/>
      <c r="DD5" s="565"/>
      <c r="DE5" s="565"/>
      <c r="DF5" s="565"/>
      <c r="DG5" s="565"/>
      <c r="DH5" s="565"/>
      <c r="DI5" s="565"/>
      <c r="DJ5" s="565"/>
      <c r="DK5" s="565"/>
      <c r="DL5" s="565"/>
      <c r="DM5" s="565"/>
      <c r="DN5" s="565"/>
      <c r="DO5" s="565"/>
      <c r="DP5" s="565"/>
      <c r="DQ5" s="565"/>
      <c r="DR5" s="565"/>
      <c r="DS5" s="565"/>
      <c r="DT5" s="565"/>
      <c r="DU5" s="565"/>
      <c r="DV5" s="565"/>
      <c r="DW5" s="565"/>
      <c r="DX5" s="565"/>
      <c r="DY5" s="565"/>
      <c r="DZ5" s="565"/>
      <c r="EA5" s="565"/>
      <c r="EB5" s="565"/>
      <c r="EC5" s="565"/>
      <c r="ED5" s="565"/>
      <c r="EE5" s="565"/>
      <c r="EF5" s="565"/>
      <c r="EG5" s="565"/>
      <c r="EH5" s="565"/>
      <c r="EI5" s="565"/>
      <c r="EJ5" s="565"/>
      <c r="EK5" s="565"/>
      <c r="EL5" s="565"/>
      <c r="EM5" s="565"/>
      <c r="EN5" s="565"/>
      <c r="EO5" s="565"/>
      <c r="EP5" s="565"/>
      <c r="EQ5" s="565"/>
      <c r="ER5" s="565"/>
      <c r="ES5" s="565"/>
      <c r="ET5" s="565"/>
      <c r="EU5" s="565"/>
      <c r="EV5" s="565"/>
      <c r="EW5" s="565"/>
      <c r="EX5" s="565"/>
      <c r="EY5" s="565"/>
      <c r="EZ5" s="565"/>
      <c r="FA5" s="565"/>
      <c r="FB5" s="565"/>
      <c r="FC5" s="565"/>
      <c r="FD5" s="565"/>
      <c r="FE5" s="565"/>
      <c r="FF5" s="565"/>
      <c r="FG5" s="565"/>
      <c r="FH5" s="565"/>
      <c r="FI5" s="565"/>
      <c r="FJ5" s="565"/>
      <c r="FK5" s="565"/>
      <c r="FL5" s="565"/>
      <c r="FM5" s="565"/>
      <c r="FN5" s="565"/>
      <c r="FO5" s="565"/>
      <c r="FP5" s="565"/>
      <c r="FQ5" s="565"/>
      <c r="FR5" s="565"/>
      <c r="FS5" s="565"/>
      <c r="FT5" s="565"/>
      <c r="FU5" s="565"/>
      <c r="FV5" s="565"/>
      <c r="FW5" s="565"/>
      <c r="FX5" s="565"/>
      <c r="FY5" s="565"/>
      <c r="FZ5" s="565"/>
      <c r="GA5" s="565"/>
      <c r="GB5" s="565"/>
      <c r="GC5" s="565"/>
      <c r="GD5" s="565"/>
      <c r="GE5" s="565"/>
      <c r="GF5" s="565"/>
      <c r="GG5" s="565"/>
      <c r="GH5" s="565"/>
      <c r="GI5" s="565"/>
      <c r="GJ5" s="565"/>
      <c r="GK5" s="565"/>
      <c r="GL5" s="565"/>
      <c r="GM5" s="565"/>
      <c r="GN5" s="565"/>
      <c r="GO5" s="565"/>
      <c r="GP5" s="565"/>
      <c r="GQ5" s="565"/>
      <c r="GR5" s="565"/>
      <c r="GS5" s="565"/>
      <c r="GT5" s="565"/>
      <c r="GU5" s="565"/>
      <c r="GV5" s="565"/>
      <c r="GW5" s="565"/>
      <c r="GX5" s="565"/>
      <c r="GY5" s="565"/>
      <c r="GZ5" s="565"/>
      <c r="HA5" s="565"/>
      <c r="HB5" s="565"/>
      <c r="HC5" s="565"/>
      <c r="HD5" s="565"/>
      <c r="HE5" s="565"/>
      <c r="HF5" s="565"/>
      <c r="HG5" s="565"/>
      <c r="HH5" s="565"/>
      <c r="HI5" s="565"/>
      <c r="HJ5" s="565"/>
      <c r="HK5" s="565"/>
      <c r="HL5" s="565"/>
      <c r="HM5" s="565"/>
      <c r="HN5" s="565"/>
      <c r="HO5" s="565"/>
      <c r="HP5" s="565"/>
      <c r="HQ5" s="565"/>
      <c r="HR5" s="565"/>
      <c r="HS5" s="565"/>
      <c r="HT5" s="565"/>
      <c r="HU5" s="565"/>
      <c r="HV5" s="565"/>
      <c r="HW5" s="565"/>
      <c r="HX5" s="565"/>
      <c r="HY5" s="565"/>
      <c r="HZ5" s="565"/>
      <c r="IA5" s="565"/>
      <c r="IB5" s="565"/>
      <c r="IC5" s="565"/>
      <c r="ID5" s="565"/>
      <c r="IE5" s="565"/>
      <c r="IF5" s="565"/>
      <c r="IG5" s="565"/>
      <c r="IH5" s="565"/>
      <c r="II5" s="565"/>
      <c r="IJ5" s="565"/>
      <c r="IK5" s="565"/>
      <c r="IL5" s="565"/>
      <c r="IM5" s="565"/>
      <c r="IN5" s="565"/>
      <c r="IO5" s="565"/>
      <c r="IP5" s="565"/>
      <c r="IQ5" s="565"/>
      <c r="IR5" s="565"/>
      <c r="IS5" s="565"/>
      <c r="IT5" s="565"/>
      <c r="IU5" s="565"/>
    </row>
    <row r="6" spans="1:255" s="561" customFormat="1" ht="15">
      <c r="A6" s="563"/>
      <c r="B6" s="563"/>
      <c r="C6" s="563"/>
      <c r="D6" s="563"/>
      <c r="E6" s="563"/>
      <c r="F6" s="563"/>
      <c r="G6" s="563"/>
      <c r="H6" s="563"/>
      <c r="I6" s="563"/>
      <c r="J6" s="563"/>
      <c r="K6" s="563"/>
      <c r="L6" s="563"/>
      <c r="M6" s="563"/>
      <c r="N6" s="563"/>
      <c r="O6" s="563"/>
      <c r="P6" s="563"/>
      <c r="Q6" s="563"/>
      <c r="R6" s="563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63"/>
      <c r="AH6" s="563"/>
      <c r="AI6" s="563"/>
      <c r="AJ6" s="563"/>
      <c r="AK6" s="563"/>
      <c r="AL6" s="563"/>
      <c r="AM6" s="563"/>
      <c r="AN6" s="563"/>
      <c r="AO6" s="563"/>
      <c r="AP6" s="563"/>
      <c r="AQ6" s="563"/>
      <c r="AR6" s="563"/>
      <c r="AS6" s="563"/>
      <c r="AT6" s="563"/>
      <c r="AU6" s="563"/>
      <c r="AV6" s="563"/>
      <c r="AW6" s="563"/>
      <c r="AX6" s="563"/>
      <c r="AY6" s="563"/>
      <c r="AZ6" s="563"/>
      <c r="BA6" s="563"/>
      <c r="BB6" s="563"/>
      <c r="BC6" s="563"/>
      <c r="BD6" s="563"/>
      <c r="BE6" s="563"/>
      <c r="BF6" s="563"/>
      <c r="BG6" s="563"/>
      <c r="BH6" s="563"/>
      <c r="BI6" s="563"/>
      <c r="BJ6" s="563"/>
      <c r="BK6" s="563"/>
      <c r="BL6" s="563"/>
      <c r="BM6" s="563"/>
      <c r="BN6" s="563"/>
      <c r="BO6" s="563"/>
      <c r="BP6" s="563"/>
      <c r="BQ6" s="563"/>
      <c r="BR6" s="563"/>
      <c r="BS6" s="563"/>
      <c r="BT6" s="563"/>
      <c r="BU6" s="563"/>
      <c r="BV6" s="563"/>
      <c r="BW6" s="563"/>
      <c r="BX6" s="563"/>
      <c r="BY6" s="563"/>
      <c r="BZ6" s="563"/>
      <c r="CA6" s="563"/>
      <c r="CB6" s="563"/>
      <c r="CC6" s="563"/>
      <c r="CD6" s="563"/>
      <c r="CE6" s="563"/>
      <c r="CF6" s="563"/>
      <c r="CG6" s="563"/>
      <c r="CH6" s="563"/>
      <c r="CI6" s="563"/>
      <c r="CJ6" s="563"/>
      <c r="CK6" s="563"/>
      <c r="CL6" s="563"/>
      <c r="CM6" s="563"/>
      <c r="CN6" s="563"/>
      <c r="CO6" s="563"/>
      <c r="CP6" s="563"/>
      <c r="CQ6" s="563"/>
      <c r="CR6" s="563"/>
      <c r="CS6" s="563"/>
      <c r="CT6" s="563"/>
      <c r="CU6" s="563"/>
      <c r="CV6" s="563"/>
      <c r="CW6" s="563"/>
      <c r="CX6" s="563"/>
      <c r="CY6" s="563"/>
      <c r="CZ6" s="563"/>
      <c r="DA6" s="563"/>
      <c r="DB6" s="563"/>
      <c r="DC6" s="563"/>
      <c r="DD6" s="563"/>
      <c r="DE6" s="563"/>
      <c r="DF6" s="563"/>
      <c r="DG6" s="563"/>
      <c r="DH6" s="563"/>
      <c r="DI6" s="563"/>
      <c r="DJ6" s="563"/>
      <c r="DK6" s="563"/>
      <c r="DL6" s="563"/>
      <c r="DM6" s="563"/>
      <c r="DN6" s="563"/>
      <c r="DO6" s="563"/>
      <c r="DP6" s="563"/>
      <c r="DQ6" s="563"/>
      <c r="DR6" s="563"/>
      <c r="DS6" s="563"/>
      <c r="DT6" s="563"/>
      <c r="DU6" s="563"/>
      <c r="DV6" s="563"/>
      <c r="DW6" s="563"/>
      <c r="DX6" s="563"/>
      <c r="DY6" s="563"/>
      <c r="DZ6" s="563"/>
      <c r="EA6" s="563"/>
      <c r="EB6" s="563"/>
      <c r="EC6" s="563"/>
      <c r="ED6" s="563"/>
      <c r="EE6" s="563"/>
      <c r="EF6" s="563"/>
      <c r="EG6" s="563"/>
      <c r="EH6" s="563"/>
      <c r="EI6" s="563"/>
      <c r="EJ6" s="563"/>
      <c r="EK6" s="563"/>
      <c r="EL6" s="563"/>
      <c r="EM6" s="563"/>
      <c r="EN6" s="563"/>
      <c r="EO6" s="563"/>
      <c r="EP6" s="563"/>
      <c r="EQ6" s="563"/>
      <c r="ER6" s="563"/>
      <c r="ES6" s="563"/>
      <c r="ET6" s="563"/>
      <c r="EU6" s="563"/>
      <c r="EV6" s="563"/>
      <c r="EW6" s="563"/>
      <c r="EX6" s="563"/>
      <c r="EY6" s="563"/>
      <c r="EZ6" s="563"/>
      <c r="FA6" s="563"/>
      <c r="FB6" s="563"/>
      <c r="FC6" s="563"/>
      <c r="FD6" s="563"/>
      <c r="FE6" s="563"/>
      <c r="FF6" s="563"/>
      <c r="FG6" s="563"/>
      <c r="FH6" s="563"/>
      <c r="FI6" s="563"/>
      <c r="FJ6" s="563"/>
      <c r="FK6" s="563"/>
      <c r="FL6" s="563"/>
      <c r="FM6" s="563"/>
      <c r="FN6" s="563"/>
      <c r="FO6" s="563"/>
      <c r="FP6" s="563"/>
      <c r="FQ6" s="563"/>
      <c r="FR6" s="563"/>
      <c r="FS6" s="563"/>
      <c r="FT6" s="563"/>
      <c r="FU6" s="563"/>
      <c r="FV6" s="563"/>
      <c r="FW6" s="563"/>
      <c r="FX6" s="563"/>
      <c r="FY6" s="563"/>
      <c r="FZ6" s="563"/>
      <c r="GA6" s="563"/>
      <c r="GB6" s="563"/>
      <c r="GC6" s="563"/>
      <c r="GD6" s="563"/>
      <c r="GE6" s="563"/>
      <c r="GF6" s="563"/>
      <c r="GG6" s="563"/>
      <c r="GH6" s="563"/>
      <c r="GI6" s="563"/>
      <c r="GJ6" s="563"/>
      <c r="GK6" s="563"/>
      <c r="GL6" s="563"/>
      <c r="GM6" s="563"/>
      <c r="GN6" s="563"/>
      <c r="GO6" s="563"/>
      <c r="GP6" s="563"/>
      <c r="GQ6" s="563"/>
      <c r="GR6" s="563"/>
      <c r="GS6" s="563"/>
      <c r="GT6" s="563"/>
      <c r="GU6" s="563"/>
      <c r="GV6" s="563"/>
      <c r="GW6" s="563"/>
      <c r="GX6" s="563"/>
      <c r="GY6" s="563"/>
      <c r="GZ6" s="563"/>
      <c r="HA6" s="563"/>
      <c r="HB6" s="563"/>
      <c r="HC6" s="563"/>
      <c r="HD6" s="563"/>
      <c r="HE6" s="563"/>
      <c r="HF6" s="563"/>
      <c r="HG6" s="563"/>
      <c r="HH6" s="563"/>
      <c r="HI6" s="563"/>
      <c r="HJ6" s="563"/>
      <c r="HK6" s="563"/>
      <c r="HL6" s="563"/>
      <c r="HM6" s="563"/>
      <c r="HN6" s="563"/>
      <c r="HO6" s="563"/>
      <c r="HP6" s="563"/>
      <c r="HQ6" s="563"/>
      <c r="HR6" s="563"/>
      <c r="HS6" s="563"/>
      <c r="HT6" s="563"/>
      <c r="HU6" s="563"/>
      <c r="HV6" s="563"/>
      <c r="HW6" s="563"/>
      <c r="HX6" s="563"/>
      <c r="HY6" s="563"/>
      <c r="HZ6" s="563"/>
      <c r="IA6" s="563"/>
      <c r="IB6" s="563"/>
      <c r="IC6" s="563"/>
      <c r="ID6" s="563"/>
      <c r="IE6" s="563"/>
      <c r="IF6" s="563"/>
      <c r="IG6" s="563"/>
      <c r="IH6" s="563"/>
      <c r="II6" s="563"/>
      <c r="IJ6" s="563"/>
      <c r="IK6" s="563"/>
      <c r="IL6" s="563"/>
      <c r="IM6" s="563"/>
      <c r="IN6" s="563"/>
      <c r="IO6" s="563"/>
      <c r="IP6" s="563"/>
      <c r="IQ6" s="563"/>
      <c r="IR6" s="563"/>
      <c r="IS6" s="563"/>
      <c r="IT6" s="563"/>
      <c r="IU6" s="563"/>
    </row>
    <row r="7" spans="1:255" s="561" customFormat="1" ht="57" customHeight="1">
      <c r="A7" s="566" t="s">
        <v>193</v>
      </c>
      <c r="B7" s="566" t="s">
        <v>867</v>
      </c>
      <c r="C7" s="566" t="s">
        <v>868</v>
      </c>
      <c r="D7" s="566" t="s">
        <v>869</v>
      </c>
      <c r="E7" s="567" t="s">
        <v>217</v>
      </c>
      <c r="F7" s="567" t="s">
        <v>870</v>
      </c>
      <c r="G7" s="568" t="s">
        <v>871</v>
      </c>
      <c r="H7" s="568" t="s">
        <v>872</v>
      </c>
      <c r="I7" s="568" t="s">
        <v>218</v>
      </c>
      <c r="J7" s="569"/>
      <c r="K7" s="563"/>
      <c r="L7" s="563"/>
      <c r="M7" s="563"/>
      <c r="N7" s="563"/>
      <c r="O7" s="563"/>
      <c r="P7" s="563"/>
      <c r="Q7" s="563"/>
      <c r="R7" s="563"/>
      <c r="S7" s="563"/>
      <c r="T7" s="563"/>
      <c r="U7" s="563"/>
      <c r="V7" s="563"/>
      <c r="W7" s="563"/>
      <c r="X7" s="563"/>
      <c r="Y7" s="563"/>
      <c r="Z7" s="563"/>
      <c r="AA7" s="563"/>
      <c r="AB7" s="563"/>
      <c r="AC7" s="563"/>
      <c r="AD7" s="563"/>
      <c r="AE7" s="563"/>
      <c r="AF7" s="563"/>
      <c r="AG7" s="563"/>
      <c r="AH7" s="563"/>
      <c r="AI7" s="563"/>
      <c r="AJ7" s="563"/>
      <c r="AK7" s="563"/>
      <c r="AL7" s="563"/>
      <c r="AM7" s="563"/>
      <c r="AN7" s="563"/>
      <c r="AO7" s="563"/>
      <c r="AP7" s="563"/>
      <c r="AQ7" s="563"/>
      <c r="AR7" s="563"/>
      <c r="AS7" s="563"/>
      <c r="AT7" s="563"/>
      <c r="AU7" s="563"/>
      <c r="AV7" s="563"/>
      <c r="AW7" s="563"/>
      <c r="AX7" s="563"/>
      <c r="AY7" s="563"/>
      <c r="AZ7" s="563"/>
      <c r="BA7" s="563"/>
      <c r="BB7" s="563"/>
      <c r="BC7" s="563"/>
      <c r="BD7" s="563"/>
      <c r="BE7" s="563"/>
      <c r="BF7" s="563"/>
      <c r="BG7" s="563"/>
      <c r="BH7" s="563"/>
      <c r="BI7" s="563"/>
      <c r="BJ7" s="563"/>
      <c r="BK7" s="563"/>
      <c r="BL7" s="563"/>
      <c r="BM7" s="563"/>
      <c r="BN7" s="563"/>
      <c r="BO7" s="563"/>
      <c r="BP7" s="563"/>
      <c r="BQ7" s="563"/>
      <c r="BR7" s="563"/>
      <c r="BS7" s="563"/>
      <c r="BT7" s="563"/>
      <c r="BU7" s="563"/>
      <c r="BV7" s="563"/>
      <c r="BW7" s="563"/>
      <c r="BX7" s="563"/>
      <c r="BY7" s="563"/>
      <c r="BZ7" s="563"/>
      <c r="CA7" s="563"/>
      <c r="CB7" s="563"/>
      <c r="CC7" s="563"/>
      <c r="CD7" s="563"/>
      <c r="CE7" s="563"/>
      <c r="CF7" s="563"/>
      <c r="CG7" s="563"/>
      <c r="CH7" s="563"/>
      <c r="CI7" s="563"/>
      <c r="CJ7" s="563"/>
      <c r="CK7" s="563"/>
      <c r="CL7" s="563"/>
      <c r="CM7" s="563"/>
      <c r="CN7" s="563"/>
      <c r="CO7" s="563"/>
      <c r="CP7" s="563"/>
      <c r="CQ7" s="563"/>
      <c r="CR7" s="563"/>
      <c r="CS7" s="563"/>
      <c r="CT7" s="563"/>
      <c r="CU7" s="563"/>
      <c r="CV7" s="563"/>
      <c r="CW7" s="563"/>
      <c r="CX7" s="563"/>
      <c r="CY7" s="563"/>
      <c r="CZ7" s="563"/>
      <c r="DA7" s="563"/>
      <c r="DB7" s="563"/>
      <c r="DC7" s="563"/>
      <c r="DD7" s="563"/>
      <c r="DE7" s="563"/>
      <c r="DF7" s="563"/>
      <c r="DG7" s="563"/>
      <c r="DH7" s="563"/>
      <c r="DI7" s="563"/>
      <c r="DJ7" s="563"/>
      <c r="DK7" s="563"/>
      <c r="DL7" s="563"/>
      <c r="DM7" s="563"/>
      <c r="DN7" s="563"/>
      <c r="DO7" s="563"/>
      <c r="DP7" s="563"/>
      <c r="DQ7" s="563"/>
      <c r="DR7" s="563"/>
      <c r="DS7" s="563"/>
      <c r="DT7" s="563"/>
      <c r="DU7" s="563"/>
      <c r="DV7" s="563"/>
      <c r="DW7" s="563"/>
      <c r="DX7" s="563"/>
      <c r="DY7" s="563"/>
      <c r="DZ7" s="563"/>
      <c r="EA7" s="563"/>
      <c r="EB7" s="563"/>
      <c r="EC7" s="563"/>
      <c r="ED7" s="563"/>
      <c r="EE7" s="563"/>
      <c r="EF7" s="563"/>
      <c r="EG7" s="563"/>
      <c r="EH7" s="563"/>
      <c r="EI7" s="563"/>
      <c r="EJ7" s="563"/>
      <c r="EK7" s="563"/>
      <c r="EL7" s="563"/>
      <c r="EM7" s="563"/>
      <c r="EN7" s="563"/>
      <c r="EO7" s="563"/>
      <c r="EP7" s="563"/>
      <c r="EQ7" s="563"/>
      <c r="ER7" s="563"/>
      <c r="ES7" s="563"/>
      <c r="ET7" s="563"/>
      <c r="EU7" s="563"/>
      <c r="EV7" s="563"/>
      <c r="EW7" s="563"/>
      <c r="EX7" s="563"/>
      <c r="EY7" s="563"/>
      <c r="EZ7" s="563"/>
      <c r="FA7" s="563"/>
      <c r="FB7" s="563"/>
      <c r="FC7" s="563"/>
      <c r="FD7" s="563"/>
      <c r="FE7" s="563"/>
      <c r="FF7" s="563"/>
      <c r="FG7" s="563"/>
      <c r="FH7" s="563"/>
      <c r="FI7" s="563"/>
      <c r="FJ7" s="563"/>
      <c r="FK7" s="563"/>
      <c r="FL7" s="563"/>
      <c r="FM7" s="563"/>
      <c r="FN7" s="563"/>
      <c r="FO7" s="563"/>
      <c r="FP7" s="563"/>
      <c r="FQ7" s="563"/>
      <c r="FR7" s="563"/>
      <c r="FS7" s="563"/>
      <c r="FT7" s="563"/>
      <c r="FU7" s="563"/>
      <c r="FV7" s="563"/>
      <c r="FW7" s="563"/>
      <c r="FX7" s="563"/>
      <c r="FY7" s="563"/>
      <c r="FZ7" s="563"/>
      <c r="GA7" s="563"/>
      <c r="GB7" s="563"/>
      <c r="GC7" s="563"/>
      <c r="GD7" s="563"/>
      <c r="GE7" s="563"/>
      <c r="GF7" s="563"/>
      <c r="GG7" s="563"/>
      <c r="GH7" s="563"/>
      <c r="GI7" s="563"/>
      <c r="GJ7" s="563"/>
      <c r="GK7" s="563"/>
      <c r="GL7" s="563"/>
      <c r="GM7" s="563"/>
      <c r="GN7" s="563"/>
      <c r="GO7" s="563"/>
      <c r="GP7" s="563"/>
      <c r="GQ7" s="563"/>
      <c r="GR7" s="563"/>
      <c r="GS7" s="563"/>
      <c r="GT7" s="563"/>
      <c r="GU7" s="563"/>
      <c r="GV7" s="563"/>
      <c r="GW7" s="563"/>
      <c r="GX7" s="563"/>
      <c r="GY7" s="563"/>
      <c r="GZ7" s="563"/>
      <c r="HA7" s="563"/>
      <c r="HB7" s="563"/>
      <c r="HC7" s="563"/>
      <c r="HD7" s="563"/>
      <c r="HE7" s="563"/>
      <c r="HF7" s="563"/>
      <c r="HG7" s="563"/>
      <c r="HH7" s="563"/>
      <c r="HI7" s="563"/>
      <c r="HJ7" s="563"/>
      <c r="HK7" s="563"/>
      <c r="HL7" s="563"/>
      <c r="HM7" s="563"/>
      <c r="HN7" s="563"/>
      <c r="HO7" s="563"/>
      <c r="HP7" s="563"/>
      <c r="HQ7" s="563"/>
      <c r="HR7" s="563"/>
      <c r="HS7" s="563"/>
      <c r="HT7" s="563"/>
      <c r="HU7" s="563"/>
      <c r="HV7" s="563"/>
      <c r="HW7" s="563"/>
      <c r="HX7" s="563"/>
      <c r="HY7" s="563"/>
      <c r="HZ7" s="563"/>
      <c r="IA7" s="563"/>
      <c r="IB7" s="563"/>
      <c r="IC7" s="563"/>
      <c r="ID7" s="563"/>
      <c r="IE7" s="563"/>
      <c r="IF7" s="563"/>
      <c r="IG7" s="563"/>
      <c r="IH7" s="563"/>
      <c r="II7" s="563"/>
      <c r="IJ7" s="563"/>
      <c r="IK7" s="563"/>
      <c r="IL7" s="563"/>
      <c r="IM7" s="563"/>
      <c r="IN7" s="563"/>
      <c r="IO7" s="563"/>
      <c r="IP7" s="563"/>
      <c r="IQ7" s="563"/>
      <c r="IR7" s="563"/>
      <c r="IS7" s="563"/>
      <c r="IT7" s="563"/>
      <c r="IU7" s="563"/>
    </row>
    <row r="8" spans="1:255" s="561" customFormat="1" ht="51" customHeight="1">
      <c r="A8" s="570">
        <v>1</v>
      </c>
      <c r="B8" s="571" t="s">
        <v>112</v>
      </c>
      <c r="C8" s="572" t="s">
        <v>873</v>
      </c>
      <c r="D8" s="570" t="s">
        <v>43</v>
      </c>
      <c r="E8" s="573">
        <v>13</v>
      </c>
      <c r="F8" s="574">
        <f>3100000*E8</f>
        <v>40300000</v>
      </c>
      <c r="G8" s="574">
        <f>2000000*E8</f>
        <v>26000000</v>
      </c>
      <c r="H8" s="575">
        <f>F8-G8</f>
        <v>14300000</v>
      </c>
      <c r="I8" s="575"/>
      <c r="J8" s="569"/>
      <c r="K8" s="563"/>
      <c r="L8" s="563"/>
      <c r="N8" s="563"/>
      <c r="O8" s="563"/>
      <c r="P8" s="563"/>
      <c r="Q8" s="563"/>
      <c r="R8" s="563"/>
      <c r="S8" s="563"/>
      <c r="T8" s="563"/>
      <c r="U8" s="563"/>
      <c r="V8" s="563"/>
      <c r="W8" s="563"/>
      <c r="X8" s="563"/>
      <c r="Y8" s="563"/>
      <c r="Z8" s="563"/>
      <c r="AA8" s="563"/>
      <c r="AB8" s="563"/>
      <c r="AC8" s="563"/>
      <c r="AD8" s="563"/>
      <c r="AE8" s="563"/>
      <c r="AF8" s="563"/>
      <c r="AG8" s="563"/>
      <c r="AH8" s="563"/>
      <c r="AI8" s="563"/>
      <c r="AJ8" s="563"/>
      <c r="AK8" s="563"/>
      <c r="AL8" s="563"/>
      <c r="AM8" s="563"/>
      <c r="AN8" s="563"/>
      <c r="AO8" s="563"/>
      <c r="AP8" s="563"/>
      <c r="AQ8" s="563"/>
      <c r="AR8" s="563"/>
      <c r="AS8" s="563"/>
      <c r="AT8" s="563"/>
      <c r="AU8" s="563"/>
      <c r="AV8" s="563"/>
      <c r="AW8" s="563"/>
      <c r="AX8" s="563"/>
      <c r="AY8" s="563"/>
      <c r="AZ8" s="563"/>
      <c r="BA8" s="563"/>
      <c r="BB8" s="563"/>
      <c r="BC8" s="563"/>
      <c r="BD8" s="563"/>
      <c r="BE8" s="563"/>
      <c r="BF8" s="563"/>
      <c r="BG8" s="563"/>
      <c r="BH8" s="563"/>
      <c r="BI8" s="563"/>
      <c r="BJ8" s="563"/>
      <c r="BK8" s="563"/>
      <c r="BL8" s="563"/>
      <c r="BM8" s="563"/>
      <c r="BN8" s="563"/>
      <c r="BO8" s="563"/>
      <c r="BP8" s="563"/>
      <c r="BQ8" s="563"/>
      <c r="BR8" s="563"/>
      <c r="BS8" s="563"/>
      <c r="BT8" s="563"/>
      <c r="BU8" s="563"/>
      <c r="BV8" s="563"/>
      <c r="BW8" s="563"/>
      <c r="BX8" s="563"/>
      <c r="BY8" s="563"/>
      <c r="BZ8" s="563"/>
      <c r="CA8" s="563"/>
      <c r="CB8" s="563"/>
      <c r="CC8" s="563"/>
      <c r="CD8" s="563"/>
      <c r="CE8" s="563"/>
      <c r="CF8" s="563"/>
      <c r="CG8" s="563"/>
      <c r="CH8" s="563"/>
      <c r="CI8" s="563"/>
      <c r="CJ8" s="563"/>
      <c r="CK8" s="563"/>
      <c r="CL8" s="563"/>
      <c r="CM8" s="563"/>
      <c r="CN8" s="563"/>
      <c r="CO8" s="563"/>
      <c r="CP8" s="563"/>
      <c r="CQ8" s="563"/>
      <c r="CR8" s="563"/>
      <c r="CS8" s="563"/>
      <c r="CT8" s="563"/>
      <c r="CU8" s="563"/>
      <c r="CV8" s="563"/>
      <c r="CW8" s="563"/>
      <c r="CX8" s="563"/>
      <c r="CY8" s="563"/>
      <c r="CZ8" s="563"/>
      <c r="DA8" s="563"/>
      <c r="DB8" s="563"/>
      <c r="DC8" s="563"/>
      <c r="DD8" s="563"/>
      <c r="DE8" s="563"/>
      <c r="DF8" s="563"/>
      <c r="DG8" s="563"/>
      <c r="DH8" s="563"/>
      <c r="DI8" s="563"/>
      <c r="DJ8" s="563"/>
      <c r="DK8" s="563"/>
      <c r="DL8" s="563"/>
      <c r="DM8" s="563"/>
      <c r="DN8" s="563"/>
      <c r="DO8" s="563"/>
      <c r="DP8" s="563"/>
      <c r="DQ8" s="563"/>
      <c r="DR8" s="563"/>
      <c r="DS8" s="563"/>
      <c r="DT8" s="563"/>
      <c r="DU8" s="563"/>
      <c r="DV8" s="563"/>
      <c r="DW8" s="563"/>
      <c r="DX8" s="563"/>
      <c r="DY8" s="563"/>
      <c r="DZ8" s="563"/>
      <c r="EA8" s="563"/>
      <c r="EB8" s="563"/>
      <c r="EC8" s="563"/>
      <c r="ED8" s="563"/>
      <c r="EE8" s="563"/>
      <c r="EF8" s="563"/>
      <c r="EG8" s="563"/>
      <c r="EH8" s="563"/>
      <c r="EI8" s="563"/>
      <c r="EJ8" s="563"/>
      <c r="EK8" s="563"/>
      <c r="EL8" s="563"/>
      <c r="EM8" s="563"/>
      <c r="EN8" s="563"/>
      <c r="EO8" s="563"/>
      <c r="EP8" s="563"/>
      <c r="EQ8" s="563"/>
      <c r="ER8" s="563"/>
      <c r="ES8" s="563"/>
      <c r="ET8" s="563"/>
      <c r="EU8" s="563"/>
      <c r="EV8" s="563"/>
      <c r="EW8" s="563"/>
      <c r="EX8" s="563"/>
      <c r="EY8" s="563"/>
      <c r="EZ8" s="563"/>
      <c r="FA8" s="563"/>
      <c r="FB8" s="563"/>
      <c r="FC8" s="563"/>
      <c r="FD8" s="563"/>
      <c r="FE8" s="563"/>
      <c r="FF8" s="563"/>
      <c r="FG8" s="563"/>
      <c r="FH8" s="563"/>
      <c r="FI8" s="563"/>
      <c r="FJ8" s="563"/>
      <c r="FK8" s="563"/>
      <c r="FL8" s="563"/>
      <c r="FM8" s="563"/>
      <c r="FN8" s="563"/>
      <c r="FO8" s="563"/>
      <c r="FP8" s="563"/>
      <c r="FQ8" s="563"/>
      <c r="FR8" s="563"/>
      <c r="FS8" s="563"/>
      <c r="FT8" s="563"/>
      <c r="FU8" s="563"/>
      <c r="FV8" s="563"/>
      <c r="FW8" s="563"/>
      <c r="FX8" s="563"/>
      <c r="FY8" s="563"/>
      <c r="FZ8" s="563"/>
      <c r="GA8" s="563"/>
      <c r="GB8" s="563"/>
      <c r="GC8" s="563"/>
      <c r="GD8" s="563"/>
      <c r="GE8" s="563"/>
      <c r="GF8" s="563"/>
      <c r="GG8" s="563"/>
      <c r="GH8" s="563"/>
      <c r="GI8" s="563"/>
      <c r="GJ8" s="563"/>
      <c r="GK8" s="563"/>
      <c r="GL8" s="563"/>
      <c r="GM8" s="563"/>
      <c r="GN8" s="563"/>
      <c r="GO8" s="563"/>
      <c r="GP8" s="563"/>
      <c r="GQ8" s="563"/>
      <c r="GR8" s="563"/>
      <c r="GS8" s="563"/>
      <c r="GT8" s="563"/>
      <c r="GU8" s="563"/>
      <c r="GV8" s="563"/>
      <c r="GW8" s="563"/>
      <c r="GX8" s="563"/>
      <c r="GY8" s="563"/>
      <c r="GZ8" s="563"/>
      <c r="HA8" s="563"/>
      <c r="HB8" s="563"/>
      <c r="HC8" s="563"/>
      <c r="HD8" s="563"/>
      <c r="HE8" s="563"/>
      <c r="HF8" s="563"/>
      <c r="HG8" s="563"/>
      <c r="HH8" s="563"/>
      <c r="HI8" s="563"/>
      <c r="HJ8" s="563"/>
      <c r="HK8" s="563"/>
      <c r="HL8" s="563"/>
      <c r="HM8" s="563"/>
      <c r="HN8" s="563"/>
      <c r="HO8" s="563"/>
      <c r="HP8" s="563"/>
      <c r="HQ8" s="563"/>
      <c r="HR8" s="563"/>
      <c r="HS8" s="563"/>
      <c r="HT8" s="563"/>
      <c r="HU8" s="563"/>
      <c r="HV8" s="563"/>
      <c r="HW8" s="563"/>
      <c r="HX8" s="563"/>
      <c r="HY8" s="563"/>
      <c r="HZ8" s="563"/>
      <c r="IA8" s="563"/>
      <c r="IB8" s="563"/>
      <c r="IC8" s="563"/>
      <c r="ID8" s="563"/>
      <c r="IE8" s="563"/>
      <c r="IF8" s="563"/>
      <c r="IG8" s="563"/>
      <c r="IH8" s="563"/>
      <c r="II8" s="563"/>
      <c r="IJ8" s="563"/>
      <c r="IK8" s="563"/>
      <c r="IL8" s="563"/>
      <c r="IM8" s="563"/>
      <c r="IN8" s="563"/>
      <c r="IO8" s="563"/>
      <c r="IP8" s="563"/>
      <c r="IQ8" s="563"/>
      <c r="IR8" s="563"/>
      <c r="IS8" s="563"/>
      <c r="IT8" s="563"/>
    </row>
    <row r="9" spans="1:255" s="561" customFormat="1" ht="53.25" customHeight="1">
      <c r="A9" s="576">
        <v>2</v>
      </c>
      <c r="B9" s="577" t="s">
        <v>116</v>
      </c>
      <c r="C9" s="578" t="s">
        <v>874</v>
      </c>
      <c r="D9" s="576" t="s">
        <v>43</v>
      </c>
      <c r="E9" s="579">
        <v>14</v>
      </c>
      <c r="F9" s="580">
        <f>3100000*E9</f>
        <v>43400000</v>
      </c>
      <c r="G9" s="580">
        <f>2000000*E9</f>
        <v>28000000</v>
      </c>
      <c r="H9" s="581">
        <f>F9-G9</f>
        <v>15400000</v>
      </c>
      <c r="I9" s="581"/>
      <c r="J9" s="569"/>
      <c r="K9" s="563"/>
      <c r="L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3"/>
      <c r="BE9" s="563"/>
      <c r="BF9" s="563"/>
      <c r="BG9" s="563"/>
      <c r="BH9" s="563"/>
      <c r="BI9" s="563"/>
      <c r="BJ9" s="563"/>
      <c r="BK9" s="563"/>
      <c r="BL9" s="563"/>
      <c r="BM9" s="563"/>
      <c r="BN9" s="563"/>
      <c r="BO9" s="563"/>
      <c r="BP9" s="563"/>
      <c r="BQ9" s="563"/>
      <c r="BR9" s="563"/>
      <c r="BS9" s="563"/>
      <c r="BT9" s="563"/>
      <c r="BU9" s="563"/>
      <c r="BV9" s="563"/>
      <c r="BW9" s="563"/>
      <c r="BX9" s="563"/>
      <c r="BY9" s="563"/>
      <c r="BZ9" s="563"/>
      <c r="CA9" s="563"/>
      <c r="CB9" s="563"/>
      <c r="CC9" s="563"/>
      <c r="CD9" s="563"/>
      <c r="CE9" s="563"/>
      <c r="CF9" s="563"/>
      <c r="CG9" s="563"/>
      <c r="CH9" s="563"/>
      <c r="CI9" s="563"/>
      <c r="CJ9" s="563"/>
      <c r="CK9" s="563"/>
      <c r="CL9" s="563"/>
      <c r="CM9" s="563"/>
      <c r="CN9" s="563"/>
      <c r="CO9" s="563"/>
      <c r="CP9" s="563"/>
      <c r="CQ9" s="563"/>
      <c r="CR9" s="563"/>
      <c r="CS9" s="563"/>
      <c r="CT9" s="563"/>
      <c r="CU9" s="563"/>
      <c r="CV9" s="563"/>
      <c r="CW9" s="563"/>
      <c r="CX9" s="563"/>
      <c r="CY9" s="563"/>
      <c r="CZ9" s="563"/>
      <c r="DA9" s="563"/>
      <c r="DB9" s="563"/>
      <c r="DC9" s="563"/>
      <c r="DD9" s="563"/>
      <c r="DE9" s="563"/>
      <c r="DF9" s="563"/>
      <c r="DG9" s="563"/>
      <c r="DH9" s="563"/>
      <c r="DI9" s="563"/>
      <c r="DJ9" s="563"/>
      <c r="DK9" s="563"/>
      <c r="DL9" s="563"/>
      <c r="DM9" s="563"/>
      <c r="DN9" s="563"/>
      <c r="DO9" s="563"/>
      <c r="DP9" s="563"/>
      <c r="DQ9" s="563"/>
      <c r="DR9" s="563"/>
      <c r="DS9" s="563"/>
      <c r="DT9" s="563"/>
      <c r="DU9" s="563"/>
      <c r="DV9" s="563"/>
      <c r="DW9" s="563"/>
      <c r="DX9" s="563"/>
      <c r="DY9" s="563"/>
      <c r="DZ9" s="563"/>
      <c r="EA9" s="563"/>
      <c r="EB9" s="563"/>
      <c r="EC9" s="563"/>
      <c r="ED9" s="563"/>
      <c r="EE9" s="563"/>
      <c r="EF9" s="563"/>
      <c r="EG9" s="563"/>
      <c r="EH9" s="563"/>
      <c r="EI9" s="563"/>
      <c r="EJ9" s="563"/>
      <c r="EK9" s="563"/>
      <c r="EL9" s="563"/>
      <c r="EM9" s="563"/>
      <c r="EN9" s="563"/>
      <c r="EO9" s="563"/>
      <c r="EP9" s="563"/>
      <c r="EQ9" s="563"/>
      <c r="ER9" s="563"/>
      <c r="ES9" s="563"/>
      <c r="ET9" s="563"/>
      <c r="EU9" s="563"/>
      <c r="EV9" s="563"/>
      <c r="EW9" s="563"/>
      <c r="EX9" s="563"/>
      <c r="EY9" s="563"/>
      <c r="EZ9" s="563"/>
      <c r="FA9" s="563"/>
      <c r="FB9" s="563"/>
      <c r="FC9" s="563"/>
      <c r="FD9" s="563"/>
      <c r="FE9" s="563"/>
      <c r="FF9" s="563"/>
      <c r="FG9" s="563"/>
      <c r="FH9" s="563"/>
      <c r="FI9" s="563"/>
      <c r="FJ9" s="563"/>
      <c r="FK9" s="563"/>
      <c r="FL9" s="563"/>
      <c r="FM9" s="563"/>
      <c r="FN9" s="563"/>
      <c r="FO9" s="563"/>
      <c r="FP9" s="563"/>
      <c r="FQ9" s="563"/>
      <c r="FR9" s="563"/>
      <c r="FS9" s="563"/>
      <c r="FT9" s="563"/>
      <c r="FU9" s="563"/>
      <c r="FV9" s="563"/>
      <c r="FW9" s="563"/>
      <c r="FX9" s="563"/>
      <c r="FY9" s="563"/>
      <c r="FZ9" s="563"/>
      <c r="GA9" s="563"/>
      <c r="GB9" s="563"/>
      <c r="GC9" s="563"/>
      <c r="GD9" s="563"/>
      <c r="GE9" s="563"/>
      <c r="GF9" s="563"/>
      <c r="GG9" s="563"/>
      <c r="GH9" s="563"/>
      <c r="GI9" s="563"/>
      <c r="GJ9" s="563"/>
      <c r="GK9" s="563"/>
      <c r="GL9" s="563"/>
      <c r="GM9" s="563"/>
      <c r="GN9" s="563"/>
      <c r="GO9" s="563"/>
      <c r="GP9" s="563"/>
      <c r="GQ9" s="563"/>
      <c r="GR9" s="563"/>
      <c r="GS9" s="563"/>
      <c r="GT9" s="563"/>
      <c r="GU9" s="563"/>
      <c r="GV9" s="563"/>
      <c r="GW9" s="563"/>
      <c r="GX9" s="563"/>
      <c r="GY9" s="563"/>
      <c r="GZ9" s="563"/>
      <c r="HA9" s="563"/>
      <c r="HB9" s="563"/>
      <c r="HC9" s="563"/>
      <c r="HD9" s="563"/>
      <c r="HE9" s="563"/>
      <c r="HF9" s="563"/>
      <c r="HG9" s="563"/>
      <c r="HH9" s="563"/>
      <c r="HI9" s="563"/>
      <c r="HJ9" s="563"/>
      <c r="HK9" s="563"/>
      <c r="HL9" s="563"/>
      <c r="HM9" s="563"/>
      <c r="HN9" s="563"/>
      <c r="HO9" s="563"/>
      <c r="HP9" s="563"/>
      <c r="HQ9" s="563"/>
      <c r="HR9" s="563"/>
      <c r="HS9" s="563"/>
      <c r="HT9" s="563"/>
      <c r="HU9" s="563"/>
      <c r="HV9" s="563"/>
      <c r="HW9" s="563"/>
      <c r="HX9" s="563"/>
      <c r="HY9" s="563"/>
      <c r="HZ9" s="563"/>
      <c r="IA9" s="563"/>
      <c r="IB9" s="563"/>
      <c r="IC9" s="563"/>
      <c r="ID9" s="563"/>
      <c r="IE9" s="563"/>
      <c r="IF9" s="563"/>
      <c r="IG9" s="563"/>
      <c r="IH9" s="563"/>
      <c r="II9" s="563"/>
      <c r="IJ9" s="563"/>
      <c r="IK9" s="563"/>
      <c r="IL9" s="563"/>
      <c r="IM9" s="563"/>
      <c r="IN9" s="563"/>
      <c r="IO9" s="563"/>
      <c r="IP9" s="563"/>
      <c r="IQ9" s="563"/>
      <c r="IR9" s="563"/>
      <c r="IS9" s="563"/>
      <c r="IT9" s="563"/>
    </row>
    <row r="10" spans="1:255" s="561" customFormat="1" ht="53.25" customHeight="1">
      <c r="A10" s="582">
        <v>3</v>
      </c>
      <c r="B10" s="583" t="s">
        <v>70</v>
      </c>
      <c r="C10" s="584" t="s">
        <v>875</v>
      </c>
      <c r="D10" s="582" t="s">
        <v>43</v>
      </c>
      <c r="E10" s="585">
        <v>13</v>
      </c>
      <c r="F10" s="586">
        <f>3100000*E10</f>
        <v>40300000</v>
      </c>
      <c r="G10" s="586">
        <f>2000000*E10</f>
        <v>26000000</v>
      </c>
      <c r="H10" s="587">
        <f>F10-G10</f>
        <v>14300000</v>
      </c>
      <c r="I10" s="587"/>
      <c r="J10" s="569"/>
      <c r="K10" s="563"/>
      <c r="L10" s="563"/>
      <c r="N10" s="563"/>
      <c r="O10" s="563"/>
      <c r="P10" s="563"/>
      <c r="Q10" s="563"/>
      <c r="R10" s="563"/>
      <c r="S10" s="563"/>
      <c r="T10" s="563"/>
      <c r="U10" s="563"/>
      <c r="V10" s="563"/>
      <c r="W10" s="563"/>
      <c r="X10" s="563"/>
      <c r="Y10" s="563"/>
      <c r="Z10" s="563"/>
      <c r="AA10" s="563"/>
      <c r="AB10" s="563"/>
      <c r="AC10" s="563"/>
      <c r="AD10" s="563"/>
      <c r="AE10" s="563"/>
      <c r="AF10" s="563"/>
      <c r="AG10" s="563"/>
      <c r="AH10" s="563"/>
      <c r="AI10" s="563"/>
      <c r="AJ10" s="563"/>
      <c r="AK10" s="563"/>
      <c r="AL10" s="563"/>
      <c r="AM10" s="563"/>
      <c r="AN10" s="563"/>
      <c r="AO10" s="563"/>
      <c r="AP10" s="563"/>
      <c r="AQ10" s="563"/>
      <c r="AR10" s="563"/>
      <c r="AS10" s="563"/>
      <c r="AT10" s="563"/>
      <c r="AU10" s="563"/>
      <c r="AV10" s="563"/>
      <c r="AW10" s="563"/>
      <c r="AX10" s="563"/>
      <c r="AY10" s="563"/>
      <c r="AZ10" s="563"/>
      <c r="BA10" s="563"/>
      <c r="BB10" s="563"/>
      <c r="BC10" s="563"/>
      <c r="BD10" s="563"/>
      <c r="BE10" s="563"/>
      <c r="BF10" s="563"/>
      <c r="BG10" s="563"/>
      <c r="BH10" s="563"/>
      <c r="BI10" s="563"/>
      <c r="BJ10" s="563"/>
      <c r="BK10" s="563"/>
      <c r="BL10" s="563"/>
      <c r="BM10" s="563"/>
      <c r="BN10" s="563"/>
      <c r="BO10" s="563"/>
      <c r="BP10" s="563"/>
      <c r="BQ10" s="563"/>
      <c r="BR10" s="563"/>
      <c r="BS10" s="563"/>
      <c r="BT10" s="563"/>
      <c r="BU10" s="563"/>
      <c r="BV10" s="563"/>
      <c r="BW10" s="563"/>
      <c r="BX10" s="563"/>
      <c r="BY10" s="563"/>
      <c r="BZ10" s="563"/>
      <c r="CA10" s="563"/>
      <c r="CB10" s="563"/>
      <c r="CC10" s="563"/>
      <c r="CD10" s="563"/>
      <c r="CE10" s="563"/>
      <c r="CF10" s="563"/>
      <c r="CG10" s="563"/>
      <c r="CH10" s="563"/>
      <c r="CI10" s="563"/>
      <c r="CJ10" s="563"/>
      <c r="CK10" s="563"/>
      <c r="CL10" s="563"/>
      <c r="CM10" s="563"/>
      <c r="CN10" s="563"/>
      <c r="CO10" s="563"/>
      <c r="CP10" s="563"/>
      <c r="CQ10" s="563"/>
      <c r="CR10" s="563"/>
      <c r="CS10" s="563"/>
      <c r="CT10" s="563"/>
      <c r="CU10" s="563"/>
      <c r="CV10" s="563"/>
      <c r="CW10" s="563"/>
      <c r="CX10" s="563"/>
      <c r="CY10" s="563"/>
      <c r="CZ10" s="563"/>
      <c r="DA10" s="563"/>
      <c r="DB10" s="563"/>
      <c r="DC10" s="563"/>
      <c r="DD10" s="563"/>
      <c r="DE10" s="563"/>
      <c r="DF10" s="563"/>
      <c r="DG10" s="563"/>
      <c r="DH10" s="563"/>
      <c r="DI10" s="563"/>
      <c r="DJ10" s="563"/>
      <c r="DK10" s="563"/>
      <c r="DL10" s="563"/>
      <c r="DM10" s="563"/>
      <c r="DN10" s="563"/>
      <c r="DO10" s="563"/>
      <c r="DP10" s="563"/>
      <c r="DQ10" s="563"/>
      <c r="DR10" s="563"/>
      <c r="DS10" s="563"/>
      <c r="DT10" s="563"/>
      <c r="DU10" s="563"/>
      <c r="DV10" s="563"/>
      <c r="DW10" s="563"/>
      <c r="DX10" s="563"/>
      <c r="DY10" s="563"/>
      <c r="DZ10" s="563"/>
      <c r="EA10" s="563"/>
      <c r="EB10" s="563"/>
      <c r="EC10" s="563"/>
      <c r="ED10" s="563"/>
      <c r="EE10" s="563"/>
      <c r="EF10" s="563"/>
      <c r="EG10" s="563"/>
      <c r="EH10" s="563"/>
      <c r="EI10" s="563"/>
      <c r="EJ10" s="563"/>
      <c r="EK10" s="563"/>
      <c r="EL10" s="563"/>
      <c r="EM10" s="563"/>
      <c r="EN10" s="563"/>
      <c r="EO10" s="563"/>
      <c r="EP10" s="563"/>
      <c r="EQ10" s="563"/>
      <c r="ER10" s="563"/>
      <c r="ES10" s="563"/>
      <c r="ET10" s="563"/>
      <c r="EU10" s="563"/>
      <c r="EV10" s="563"/>
      <c r="EW10" s="563"/>
      <c r="EX10" s="563"/>
      <c r="EY10" s="563"/>
      <c r="EZ10" s="563"/>
      <c r="FA10" s="563"/>
      <c r="FB10" s="563"/>
      <c r="FC10" s="563"/>
      <c r="FD10" s="563"/>
      <c r="FE10" s="563"/>
      <c r="FF10" s="563"/>
      <c r="FG10" s="563"/>
      <c r="FH10" s="563"/>
      <c r="FI10" s="563"/>
      <c r="FJ10" s="563"/>
      <c r="FK10" s="563"/>
      <c r="FL10" s="563"/>
      <c r="FM10" s="563"/>
      <c r="FN10" s="563"/>
      <c r="FO10" s="563"/>
      <c r="FP10" s="563"/>
      <c r="FQ10" s="563"/>
      <c r="FR10" s="563"/>
      <c r="FS10" s="563"/>
      <c r="FT10" s="563"/>
      <c r="FU10" s="563"/>
      <c r="FV10" s="563"/>
      <c r="FW10" s="563"/>
      <c r="FX10" s="563"/>
      <c r="FY10" s="563"/>
      <c r="FZ10" s="563"/>
      <c r="GA10" s="563"/>
      <c r="GB10" s="563"/>
      <c r="GC10" s="563"/>
      <c r="GD10" s="563"/>
      <c r="GE10" s="563"/>
      <c r="GF10" s="563"/>
      <c r="GG10" s="563"/>
      <c r="GH10" s="563"/>
      <c r="GI10" s="563"/>
      <c r="GJ10" s="563"/>
      <c r="GK10" s="563"/>
      <c r="GL10" s="563"/>
      <c r="GM10" s="563"/>
      <c r="GN10" s="563"/>
      <c r="GO10" s="563"/>
      <c r="GP10" s="563"/>
      <c r="GQ10" s="563"/>
      <c r="GR10" s="563"/>
      <c r="GS10" s="563"/>
      <c r="GT10" s="563"/>
      <c r="GU10" s="563"/>
      <c r="GV10" s="563"/>
      <c r="GW10" s="563"/>
      <c r="GX10" s="563"/>
      <c r="GY10" s="563"/>
      <c r="GZ10" s="563"/>
      <c r="HA10" s="563"/>
      <c r="HB10" s="563"/>
      <c r="HC10" s="563"/>
      <c r="HD10" s="563"/>
      <c r="HE10" s="563"/>
      <c r="HF10" s="563"/>
      <c r="HG10" s="563"/>
      <c r="HH10" s="563"/>
      <c r="HI10" s="563"/>
      <c r="HJ10" s="563"/>
      <c r="HK10" s="563"/>
      <c r="HL10" s="563"/>
      <c r="HM10" s="563"/>
      <c r="HN10" s="563"/>
      <c r="HO10" s="563"/>
      <c r="HP10" s="563"/>
      <c r="HQ10" s="563"/>
      <c r="HR10" s="563"/>
      <c r="HS10" s="563"/>
      <c r="HT10" s="563"/>
      <c r="HU10" s="563"/>
      <c r="HV10" s="563"/>
      <c r="HW10" s="563"/>
      <c r="HX10" s="563"/>
      <c r="HY10" s="563"/>
      <c r="HZ10" s="563"/>
      <c r="IA10" s="563"/>
      <c r="IB10" s="563"/>
      <c r="IC10" s="563"/>
      <c r="ID10" s="563"/>
      <c r="IE10" s="563"/>
      <c r="IF10" s="563"/>
      <c r="IG10" s="563"/>
      <c r="IH10" s="563"/>
      <c r="II10" s="563"/>
      <c r="IJ10" s="563"/>
      <c r="IK10" s="563"/>
      <c r="IL10" s="563"/>
      <c r="IM10" s="563"/>
      <c r="IN10" s="563"/>
      <c r="IO10" s="563"/>
      <c r="IP10" s="563"/>
      <c r="IQ10" s="563"/>
      <c r="IR10" s="563"/>
      <c r="IS10" s="563"/>
      <c r="IT10" s="563"/>
    </row>
    <row r="11" spans="1:255" s="561" customFormat="1" ht="53.25" hidden="1" customHeight="1">
      <c r="A11" s="588">
        <v>4</v>
      </c>
      <c r="B11" s="589" t="s">
        <v>876</v>
      </c>
      <c r="C11" s="590" t="s">
        <v>877</v>
      </c>
      <c r="D11" s="591" t="s">
        <v>43</v>
      </c>
      <c r="E11" s="592"/>
      <c r="F11" s="593"/>
      <c r="G11" s="593"/>
      <c r="H11" s="594"/>
      <c r="I11" s="595"/>
      <c r="J11" s="569"/>
      <c r="K11" s="563"/>
      <c r="L11" s="563"/>
      <c r="N11" s="563"/>
      <c r="O11" s="563"/>
      <c r="P11" s="563"/>
      <c r="Q11" s="563"/>
      <c r="R11" s="563"/>
      <c r="S11" s="563"/>
      <c r="T11" s="563"/>
      <c r="U11" s="563"/>
      <c r="V11" s="563"/>
      <c r="W11" s="563"/>
      <c r="X11" s="563"/>
      <c r="Y11" s="563"/>
      <c r="Z11" s="563"/>
      <c r="AA11" s="563"/>
      <c r="AB11" s="563"/>
      <c r="AC11" s="563"/>
      <c r="AD11" s="563"/>
      <c r="AE11" s="563"/>
      <c r="AF11" s="563"/>
      <c r="AG11" s="563"/>
      <c r="AH11" s="563"/>
      <c r="AI11" s="563"/>
      <c r="AJ11" s="563"/>
      <c r="AK11" s="563"/>
      <c r="AL11" s="563"/>
      <c r="AM11" s="563"/>
      <c r="AN11" s="563"/>
      <c r="AO11" s="563"/>
      <c r="AP11" s="563"/>
      <c r="AQ11" s="563"/>
      <c r="AR11" s="563"/>
      <c r="AS11" s="563"/>
      <c r="AT11" s="563"/>
      <c r="AU11" s="563"/>
      <c r="AV11" s="563"/>
      <c r="AW11" s="563"/>
      <c r="AX11" s="563"/>
      <c r="AY11" s="563"/>
      <c r="AZ11" s="563"/>
      <c r="BA11" s="563"/>
      <c r="BB11" s="563"/>
      <c r="BC11" s="563"/>
      <c r="BD11" s="563"/>
      <c r="BE11" s="563"/>
      <c r="BF11" s="563"/>
      <c r="BG11" s="563"/>
      <c r="BH11" s="563"/>
      <c r="BI11" s="563"/>
      <c r="BJ11" s="563"/>
      <c r="BK11" s="563"/>
      <c r="BL11" s="563"/>
      <c r="BM11" s="563"/>
      <c r="BN11" s="563"/>
      <c r="BO11" s="563"/>
      <c r="BP11" s="563"/>
      <c r="BQ11" s="563"/>
      <c r="BR11" s="563"/>
      <c r="BS11" s="563"/>
      <c r="BT11" s="563"/>
      <c r="BU11" s="563"/>
      <c r="BV11" s="563"/>
      <c r="BW11" s="563"/>
      <c r="BX11" s="563"/>
      <c r="BY11" s="563"/>
      <c r="BZ11" s="563"/>
      <c r="CA11" s="563"/>
      <c r="CB11" s="563"/>
      <c r="CC11" s="563"/>
      <c r="CD11" s="563"/>
      <c r="CE11" s="563"/>
      <c r="CF11" s="563"/>
      <c r="CG11" s="563"/>
      <c r="CH11" s="563"/>
      <c r="CI11" s="563"/>
      <c r="CJ11" s="563"/>
      <c r="CK11" s="563"/>
      <c r="CL11" s="563"/>
      <c r="CM11" s="563"/>
      <c r="CN11" s="563"/>
      <c r="CO11" s="563"/>
      <c r="CP11" s="563"/>
      <c r="CQ11" s="563"/>
      <c r="CR11" s="563"/>
      <c r="CS11" s="563"/>
      <c r="CT11" s="563"/>
      <c r="CU11" s="563"/>
      <c r="CV11" s="563"/>
      <c r="CW11" s="563"/>
      <c r="CX11" s="563"/>
      <c r="CY11" s="563"/>
      <c r="CZ11" s="563"/>
      <c r="DA11" s="563"/>
      <c r="DB11" s="563"/>
      <c r="DC11" s="563"/>
      <c r="DD11" s="563"/>
      <c r="DE11" s="563"/>
      <c r="DF11" s="563"/>
      <c r="DG11" s="563"/>
      <c r="DH11" s="563"/>
      <c r="DI11" s="563"/>
      <c r="DJ11" s="563"/>
      <c r="DK11" s="563"/>
      <c r="DL11" s="563"/>
      <c r="DM11" s="563"/>
      <c r="DN11" s="563"/>
      <c r="DO11" s="563"/>
      <c r="DP11" s="563"/>
      <c r="DQ11" s="563"/>
      <c r="DR11" s="563"/>
      <c r="DS11" s="563"/>
      <c r="DT11" s="563"/>
      <c r="DU11" s="563"/>
      <c r="DV11" s="563"/>
      <c r="DW11" s="563"/>
      <c r="DX11" s="563"/>
      <c r="DY11" s="563"/>
      <c r="DZ11" s="563"/>
      <c r="EA11" s="563"/>
      <c r="EB11" s="563"/>
      <c r="EC11" s="563"/>
      <c r="ED11" s="563"/>
      <c r="EE11" s="563"/>
      <c r="EF11" s="563"/>
      <c r="EG11" s="563"/>
      <c r="EH11" s="563"/>
      <c r="EI11" s="563"/>
      <c r="EJ11" s="563"/>
      <c r="EK11" s="563"/>
      <c r="EL11" s="563"/>
      <c r="EM11" s="563"/>
      <c r="EN11" s="563"/>
      <c r="EO11" s="563"/>
      <c r="EP11" s="563"/>
      <c r="EQ11" s="563"/>
      <c r="ER11" s="563"/>
      <c r="ES11" s="563"/>
      <c r="ET11" s="563"/>
      <c r="EU11" s="563"/>
      <c r="EV11" s="563"/>
      <c r="EW11" s="563"/>
      <c r="EX11" s="563"/>
      <c r="EY11" s="563"/>
      <c r="EZ11" s="563"/>
      <c r="FA11" s="563"/>
      <c r="FB11" s="563"/>
      <c r="FC11" s="563"/>
      <c r="FD11" s="563"/>
      <c r="FE11" s="563"/>
      <c r="FF11" s="563"/>
      <c r="FG11" s="563"/>
      <c r="FH11" s="563"/>
      <c r="FI11" s="563"/>
      <c r="FJ11" s="563"/>
      <c r="FK11" s="563"/>
      <c r="FL11" s="563"/>
      <c r="FM11" s="563"/>
      <c r="FN11" s="563"/>
      <c r="FO11" s="563"/>
      <c r="FP11" s="563"/>
      <c r="FQ11" s="563"/>
      <c r="FR11" s="563"/>
      <c r="FS11" s="563"/>
      <c r="FT11" s="563"/>
      <c r="FU11" s="563"/>
      <c r="FV11" s="563"/>
      <c r="FW11" s="563"/>
      <c r="FX11" s="563"/>
      <c r="FY11" s="563"/>
      <c r="FZ11" s="563"/>
      <c r="GA11" s="563"/>
      <c r="GB11" s="563"/>
      <c r="GC11" s="563"/>
      <c r="GD11" s="563"/>
      <c r="GE11" s="563"/>
      <c r="GF11" s="563"/>
      <c r="GG11" s="563"/>
      <c r="GH11" s="563"/>
      <c r="GI11" s="563"/>
      <c r="GJ11" s="563"/>
      <c r="GK11" s="563"/>
      <c r="GL11" s="563"/>
      <c r="GM11" s="563"/>
      <c r="GN11" s="563"/>
      <c r="GO11" s="563"/>
      <c r="GP11" s="563"/>
      <c r="GQ11" s="563"/>
      <c r="GR11" s="563"/>
      <c r="GS11" s="563"/>
      <c r="GT11" s="563"/>
      <c r="GU11" s="563"/>
      <c r="GV11" s="563"/>
      <c r="GW11" s="563"/>
      <c r="GX11" s="563"/>
      <c r="GY11" s="563"/>
      <c r="GZ11" s="563"/>
      <c r="HA11" s="563"/>
      <c r="HB11" s="563"/>
      <c r="HC11" s="563"/>
      <c r="HD11" s="563"/>
      <c r="HE11" s="563"/>
      <c r="HF11" s="563"/>
      <c r="HG11" s="563"/>
      <c r="HH11" s="563"/>
      <c r="HI11" s="563"/>
      <c r="HJ11" s="563"/>
      <c r="HK11" s="563"/>
      <c r="HL11" s="563"/>
      <c r="HM11" s="563"/>
      <c r="HN11" s="563"/>
      <c r="HO11" s="563"/>
      <c r="HP11" s="563"/>
      <c r="HQ11" s="563"/>
      <c r="HR11" s="563"/>
      <c r="HS11" s="563"/>
      <c r="HT11" s="563"/>
      <c r="HU11" s="563"/>
      <c r="HV11" s="563"/>
      <c r="HW11" s="563"/>
      <c r="HX11" s="563"/>
      <c r="HY11" s="563"/>
      <c r="HZ11" s="563"/>
      <c r="IA11" s="563"/>
      <c r="IB11" s="563"/>
      <c r="IC11" s="563"/>
      <c r="ID11" s="563"/>
      <c r="IE11" s="563"/>
      <c r="IF11" s="563"/>
      <c r="IG11" s="563"/>
      <c r="IH11" s="563"/>
      <c r="II11" s="563"/>
      <c r="IJ11" s="563"/>
      <c r="IK11" s="563"/>
      <c r="IL11" s="563"/>
      <c r="IM11" s="563"/>
      <c r="IN11" s="563"/>
      <c r="IO11" s="563"/>
      <c r="IP11" s="563"/>
      <c r="IQ11" s="563"/>
      <c r="IR11" s="563"/>
      <c r="IS11" s="563"/>
      <c r="IT11" s="563"/>
    </row>
    <row r="12" spans="1:255" s="561" customFormat="1" ht="15.75" hidden="1">
      <c r="A12" s="582"/>
      <c r="B12" s="583"/>
      <c r="C12" s="584"/>
      <c r="D12" s="596"/>
      <c r="E12" s="592"/>
      <c r="F12" s="593"/>
      <c r="G12" s="593"/>
      <c r="H12" s="594"/>
      <c r="I12" s="587"/>
      <c r="J12" s="569"/>
      <c r="K12" s="563"/>
      <c r="L12" s="563"/>
      <c r="N12" s="563"/>
      <c r="O12" s="563"/>
      <c r="P12" s="563"/>
      <c r="Q12" s="563"/>
      <c r="R12" s="563"/>
      <c r="S12" s="563"/>
      <c r="T12" s="563"/>
      <c r="U12" s="563"/>
      <c r="V12" s="563"/>
      <c r="W12" s="563"/>
      <c r="X12" s="563"/>
      <c r="Y12" s="563"/>
      <c r="Z12" s="563"/>
      <c r="AA12" s="563"/>
      <c r="AB12" s="563"/>
      <c r="AC12" s="563"/>
      <c r="AD12" s="563"/>
      <c r="AE12" s="563"/>
      <c r="AF12" s="563"/>
      <c r="AG12" s="563"/>
      <c r="AH12" s="563"/>
      <c r="AI12" s="563"/>
      <c r="AJ12" s="563"/>
      <c r="AK12" s="563"/>
      <c r="AL12" s="563"/>
      <c r="AM12" s="563"/>
      <c r="AN12" s="563"/>
      <c r="AO12" s="563"/>
      <c r="AP12" s="563"/>
      <c r="AQ12" s="563"/>
      <c r="AR12" s="563"/>
      <c r="AS12" s="563"/>
      <c r="AT12" s="563"/>
      <c r="AU12" s="563"/>
      <c r="AV12" s="563"/>
      <c r="AW12" s="563"/>
      <c r="AX12" s="563"/>
      <c r="AY12" s="563"/>
      <c r="AZ12" s="563"/>
      <c r="BA12" s="563"/>
      <c r="BB12" s="563"/>
      <c r="BC12" s="563"/>
      <c r="BD12" s="563"/>
      <c r="BE12" s="563"/>
      <c r="BF12" s="563"/>
      <c r="BG12" s="563"/>
      <c r="BH12" s="563"/>
      <c r="BI12" s="563"/>
      <c r="BJ12" s="563"/>
      <c r="BK12" s="563"/>
      <c r="BL12" s="563"/>
      <c r="BM12" s="563"/>
      <c r="BN12" s="563"/>
      <c r="BO12" s="563"/>
      <c r="BP12" s="563"/>
      <c r="BQ12" s="563"/>
      <c r="BR12" s="563"/>
      <c r="BS12" s="563"/>
      <c r="BT12" s="563"/>
      <c r="BU12" s="563"/>
      <c r="BV12" s="563"/>
      <c r="BW12" s="563"/>
      <c r="BX12" s="563"/>
      <c r="BY12" s="563"/>
      <c r="BZ12" s="563"/>
      <c r="CA12" s="563"/>
      <c r="CB12" s="563"/>
      <c r="CC12" s="563"/>
      <c r="CD12" s="563"/>
      <c r="CE12" s="563"/>
      <c r="CF12" s="563"/>
      <c r="CG12" s="563"/>
      <c r="CH12" s="563"/>
      <c r="CI12" s="563"/>
      <c r="CJ12" s="563"/>
      <c r="CK12" s="563"/>
      <c r="CL12" s="563"/>
      <c r="CM12" s="563"/>
      <c r="CN12" s="563"/>
      <c r="CO12" s="563"/>
      <c r="CP12" s="563"/>
      <c r="CQ12" s="563"/>
      <c r="CR12" s="563"/>
      <c r="CS12" s="563"/>
      <c r="CT12" s="563"/>
      <c r="CU12" s="563"/>
      <c r="CV12" s="563"/>
      <c r="CW12" s="563"/>
      <c r="CX12" s="563"/>
      <c r="CY12" s="563"/>
      <c r="CZ12" s="563"/>
      <c r="DA12" s="563"/>
      <c r="DB12" s="563"/>
      <c r="DC12" s="563"/>
      <c r="DD12" s="563"/>
      <c r="DE12" s="563"/>
      <c r="DF12" s="563"/>
      <c r="DG12" s="563"/>
      <c r="DH12" s="563"/>
      <c r="DI12" s="563"/>
      <c r="DJ12" s="563"/>
      <c r="DK12" s="563"/>
      <c r="DL12" s="563"/>
      <c r="DM12" s="563"/>
      <c r="DN12" s="563"/>
      <c r="DO12" s="563"/>
      <c r="DP12" s="563"/>
      <c r="DQ12" s="563"/>
      <c r="DR12" s="563"/>
      <c r="DS12" s="563"/>
      <c r="DT12" s="563"/>
      <c r="DU12" s="563"/>
      <c r="DV12" s="563"/>
      <c r="DW12" s="563"/>
      <c r="DX12" s="563"/>
      <c r="DY12" s="563"/>
      <c r="DZ12" s="563"/>
      <c r="EA12" s="563"/>
      <c r="EB12" s="563"/>
      <c r="EC12" s="563"/>
      <c r="ED12" s="563"/>
      <c r="EE12" s="563"/>
      <c r="EF12" s="563"/>
      <c r="EG12" s="563"/>
      <c r="EH12" s="563"/>
      <c r="EI12" s="563"/>
      <c r="EJ12" s="563"/>
      <c r="EK12" s="563"/>
      <c r="EL12" s="563"/>
      <c r="EM12" s="563"/>
      <c r="EN12" s="563"/>
      <c r="EO12" s="563"/>
      <c r="EP12" s="563"/>
      <c r="EQ12" s="563"/>
      <c r="ER12" s="563"/>
      <c r="ES12" s="563"/>
      <c r="ET12" s="563"/>
      <c r="EU12" s="563"/>
      <c r="EV12" s="563"/>
      <c r="EW12" s="563"/>
      <c r="EX12" s="563"/>
      <c r="EY12" s="563"/>
      <c r="EZ12" s="563"/>
      <c r="FA12" s="563"/>
      <c r="FB12" s="563"/>
      <c r="FC12" s="563"/>
      <c r="FD12" s="563"/>
      <c r="FE12" s="563"/>
      <c r="FF12" s="563"/>
      <c r="FG12" s="563"/>
      <c r="FH12" s="563"/>
      <c r="FI12" s="563"/>
      <c r="FJ12" s="563"/>
      <c r="FK12" s="563"/>
      <c r="FL12" s="563"/>
      <c r="FM12" s="563"/>
      <c r="FN12" s="563"/>
      <c r="FO12" s="563"/>
      <c r="FP12" s="563"/>
      <c r="FQ12" s="563"/>
      <c r="FR12" s="563"/>
      <c r="FS12" s="563"/>
      <c r="FT12" s="563"/>
      <c r="FU12" s="563"/>
      <c r="FV12" s="563"/>
      <c r="FW12" s="563"/>
      <c r="FX12" s="563"/>
      <c r="FY12" s="563"/>
      <c r="FZ12" s="563"/>
      <c r="GA12" s="563"/>
      <c r="GB12" s="563"/>
      <c r="GC12" s="563"/>
      <c r="GD12" s="563"/>
      <c r="GE12" s="563"/>
      <c r="GF12" s="563"/>
      <c r="GG12" s="563"/>
      <c r="GH12" s="563"/>
      <c r="GI12" s="563"/>
      <c r="GJ12" s="563"/>
      <c r="GK12" s="563"/>
      <c r="GL12" s="563"/>
      <c r="GM12" s="563"/>
      <c r="GN12" s="563"/>
      <c r="GO12" s="563"/>
      <c r="GP12" s="563"/>
      <c r="GQ12" s="563"/>
      <c r="GR12" s="563"/>
      <c r="GS12" s="563"/>
      <c r="GT12" s="563"/>
      <c r="GU12" s="563"/>
      <c r="GV12" s="563"/>
      <c r="GW12" s="563"/>
      <c r="GX12" s="563"/>
      <c r="GY12" s="563"/>
      <c r="GZ12" s="563"/>
      <c r="HA12" s="563"/>
      <c r="HB12" s="563"/>
      <c r="HC12" s="563"/>
      <c r="HD12" s="563"/>
      <c r="HE12" s="563"/>
      <c r="HF12" s="563"/>
      <c r="HG12" s="563"/>
      <c r="HH12" s="563"/>
      <c r="HI12" s="563"/>
      <c r="HJ12" s="563"/>
      <c r="HK12" s="563"/>
      <c r="HL12" s="563"/>
      <c r="HM12" s="563"/>
      <c r="HN12" s="563"/>
      <c r="HO12" s="563"/>
      <c r="HP12" s="563"/>
      <c r="HQ12" s="563"/>
      <c r="HR12" s="563"/>
      <c r="HS12" s="563"/>
      <c r="HT12" s="563"/>
      <c r="HU12" s="563"/>
      <c r="HV12" s="563"/>
      <c r="HW12" s="563"/>
      <c r="HX12" s="563"/>
      <c r="HY12" s="563"/>
      <c r="HZ12" s="563"/>
      <c r="IA12" s="563"/>
      <c r="IB12" s="563"/>
      <c r="IC12" s="563"/>
      <c r="ID12" s="563"/>
      <c r="IE12" s="563"/>
      <c r="IF12" s="563"/>
      <c r="IG12" s="563"/>
      <c r="IH12" s="563"/>
      <c r="II12" s="563"/>
      <c r="IJ12" s="563"/>
      <c r="IK12" s="563"/>
      <c r="IL12" s="563"/>
      <c r="IM12" s="563"/>
      <c r="IN12" s="563"/>
      <c r="IO12" s="563"/>
      <c r="IP12" s="563"/>
      <c r="IQ12" s="563"/>
      <c r="IR12" s="563"/>
      <c r="IS12" s="563"/>
      <c r="IT12" s="563"/>
    </row>
    <row r="13" spans="1:255" s="561" customFormat="1" ht="30.6" customHeight="1">
      <c r="A13" s="722" t="s">
        <v>219</v>
      </c>
      <c r="B13" s="723"/>
      <c r="C13" s="724"/>
      <c r="D13" s="597"/>
      <c r="E13" s="598">
        <f>SUM(E8:E12)</f>
        <v>40</v>
      </c>
      <c r="F13" s="599">
        <f>SUM(F8:F12)</f>
        <v>124000000</v>
      </c>
      <c r="G13" s="600">
        <f>SUM(G8:G12)</f>
        <v>80000000</v>
      </c>
      <c r="H13" s="600">
        <f>SUM(H8:H12)</f>
        <v>44000000</v>
      </c>
      <c r="I13" s="599"/>
      <c r="J13" s="601"/>
      <c r="K13" s="602"/>
      <c r="L13" s="602"/>
      <c r="M13" s="602"/>
      <c r="N13" s="602"/>
      <c r="O13" s="602"/>
      <c r="P13" s="602"/>
      <c r="Q13" s="602"/>
      <c r="R13" s="602"/>
      <c r="S13" s="602"/>
      <c r="T13" s="602"/>
      <c r="U13" s="602"/>
      <c r="V13" s="602"/>
      <c r="W13" s="602"/>
      <c r="X13" s="602"/>
      <c r="Y13" s="602"/>
      <c r="Z13" s="602"/>
      <c r="AA13" s="602"/>
      <c r="AB13" s="602"/>
      <c r="AC13" s="602"/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602"/>
      <c r="BB13" s="602"/>
      <c r="BC13" s="602"/>
      <c r="BD13" s="602"/>
      <c r="BE13" s="602"/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602"/>
      <c r="CD13" s="602"/>
      <c r="CE13" s="602"/>
      <c r="CF13" s="602"/>
      <c r="CG13" s="602"/>
      <c r="CH13" s="602"/>
      <c r="CI13" s="602"/>
      <c r="CJ13" s="602"/>
      <c r="CK13" s="602"/>
      <c r="CL13" s="602"/>
      <c r="CM13" s="602"/>
      <c r="CN13" s="602"/>
      <c r="CO13" s="602"/>
      <c r="CP13" s="602"/>
      <c r="CQ13" s="602"/>
      <c r="CR13" s="602"/>
      <c r="CS13" s="602"/>
      <c r="CT13" s="602"/>
      <c r="CU13" s="602"/>
      <c r="CV13" s="602"/>
      <c r="CW13" s="602"/>
      <c r="CX13" s="602"/>
      <c r="CY13" s="602"/>
      <c r="CZ13" s="602"/>
      <c r="DA13" s="602"/>
      <c r="DB13" s="602"/>
      <c r="DC13" s="602"/>
      <c r="DD13" s="602"/>
      <c r="DE13" s="602"/>
      <c r="DF13" s="602"/>
      <c r="DG13" s="602"/>
      <c r="DH13" s="602"/>
      <c r="DI13" s="602"/>
      <c r="DJ13" s="602"/>
      <c r="DK13" s="602"/>
      <c r="DL13" s="602"/>
      <c r="DM13" s="602"/>
      <c r="DN13" s="602"/>
      <c r="DO13" s="602"/>
      <c r="DP13" s="602"/>
      <c r="DQ13" s="602"/>
      <c r="DR13" s="602"/>
      <c r="DS13" s="602"/>
      <c r="DT13" s="602"/>
      <c r="DU13" s="602"/>
      <c r="DV13" s="602"/>
      <c r="DW13" s="602"/>
      <c r="DX13" s="602"/>
      <c r="DY13" s="602"/>
      <c r="DZ13" s="602"/>
      <c r="EA13" s="602"/>
      <c r="EB13" s="602"/>
      <c r="EC13" s="602"/>
      <c r="ED13" s="602"/>
      <c r="EE13" s="602"/>
      <c r="EF13" s="602"/>
      <c r="EG13" s="602"/>
      <c r="EH13" s="602"/>
      <c r="EI13" s="602"/>
      <c r="EJ13" s="602"/>
      <c r="EK13" s="602"/>
      <c r="EL13" s="602"/>
      <c r="EM13" s="602"/>
      <c r="EN13" s="602"/>
      <c r="EO13" s="602"/>
      <c r="EP13" s="602"/>
      <c r="EQ13" s="602"/>
      <c r="ER13" s="602"/>
      <c r="ES13" s="602"/>
      <c r="ET13" s="602"/>
      <c r="EU13" s="602"/>
      <c r="EV13" s="602"/>
      <c r="EW13" s="602"/>
      <c r="EX13" s="602"/>
      <c r="EY13" s="602"/>
      <c r="EZ13" s="602"/>
      <c r="FA13" s="602"/>
      <c r="FB13" s="602"/>
      <c r="FC13" s="602"/>
      <c r="FD13" s="602"/>
      <c r="FE13" s="602"/>
      <c r="FF13" s="602"/>
      <c r="FG13" s="602"/>
      <c r="FH13" s="602"/>
      <c r="FI13" s="602"/>
      <c r="FJ13" s="602"/>
      <c r="FK13" s="602"/>
      <c r="FL13" s="602"/>
      <c r="FM13" s="602"/>
      <c r="FN13" s="602"/>
      <c r="FO13" s="602"/>
      <c r="FP13" s="602"/>
      <c r="FQ13" s="602"/>
      <c r="FR13" s="602"/>
      <c r="FS13" s="602"/>
      <c r="FT13" s="602"/>
      <c r="FU13" s="602"/>
      <c r="FV13" s="602"/>
      <c r="FW13" s="602"/>
      <c r="FX13" s="602"/>
      <c r="FY13" s="602"/>
      <c r="FZ13" s="602"/>
      <c r="GA13" s="602"/>
      <c r="GB13" s="602"/>
      <c r="GC13" s="602"/>
      <c r="GD13" s="602"/>
      <c r="GE13" s="602"/>
      <c r="GF13" s="602"/>
      <c r="GG13" s="602"/>
      <c r="GH13" s="602"/>
      <c r="GI13" s="602"/>
      <c r="GJ13" s="602"/>
      <c r="GK13" s="602"/>
      <c r="GL13" s="602"/>
      <c r="GM13" s="602"/>
      <c r="GN13" s="602"/>
      <c r="GO13" s="602"/>
      <c r="GP13" s="602"/>
      <c r="GQ13" s="602"/>
      <c r="GR13" s="602"/>
      <c r="GS13" s="602"/>
      <c r="GT13" s="602"/>
      <c r="GU13" s="602"/>
      <c r="GV13" s="602"/>
      <c r="GW13" s="602"/>
      <c r="GX13" s="602"/>
      <c r="GY13" s="602"/>
      <c r="GZ13" s="602"/>
      <c r="HA13" s="602"/>
      <c r="HB13" s="602"/>
      <c r="HC13" s="602"/>
      <c r="HD13" s="602"/>
      <c r="HE13" s="602"/>
      <c r="HF13" s="602"/>
      <c r="HG13" s="602"/>
      <c r="HH13" s="602"/>
      <c r="HI13" s="602"/>
      <c r="HJ13" s="602"/>
      <c r="HK13" s="602"/>
      <c r="HL13" s="602"/>
      <c r="HM13" s="602"/>
      <c r="HN13" s="602"/>
      <c r="HO13" s="602"/>
      <c r="HP13" s="602"/>
      <c r="HQ13" s="602"/>
      <c r="HR13" s="602"/>
      <c r="HS13" s="602"/>
      <c r="HT13" s="602"/>
      <c r="HU13" s="602"/>
      <c r="HV13" s="602"/>
      <c r="HW13" s="602"/>
      <c r="HX13" s="602"/>
      <c r="HY13" s="602"/>
      <c r="HZ13" s="602"/>
      <c r="IA13" s="602"/>
      <c r="IB13" s="602"/>
      <c r="IC13" s="602"/>
      <c r="ID13" s="602"/>
      <c r="IE13" s="602"/>
      <c r="IF13" s="602"/>
      <c r="IG13" s="602"/>
      <c r="IH13" s="602"/>
      <c r="II13" s="602"/>
      <c r="IJ13" s="602"/>
      <c r="IK13" s="602"/>
      <c r="IL13" s="602"/>
      <c r="IM13" s="602"/>
      <c r="IN13" s="602"/>
      <c r="IO13" s="602"/>
      <c r="IP13" s="602"/>
      <c r="IQ13" s="602"/>
      <c r="IR13" s="602"/>
      <c r="IS13" s="602"/>
      <c r="IT13" s="602"/>
      <c r="IU13" s="602"/>
    </row>
    <row r="14" spans="1:255" s="561" customFormat="1" ht="22.35" customHeight="1">
      <c r="A14" s="562"/>
      <c r="B14" s="603"/>
      <c r="C14" s="603"/>
      <c r="D14" s="603"/>
      <c r="E14" s="560"/>
      <c r="F14" s="560"/>
      <c r="G14" s="560"/>
      <c r="H14" s="604"/>
      <c r="I14" s="604"/>
      <c r="J14" s="604"/>
      <c r="K14" s="560"/>
      <c r="L14" s="560"/>
      <c r="M14" s="560"/>
      <c r="N14" s="560"/>
      <c r="O14" s="560"/>
      <c r="P14" s="560"/>
      <c r="Q14" s="560"/>
      <c r="R14" s="560"/>
      <c r="S14" s="560"/>
      <c r="T14" s="560"/>
      <c r="U14" s="560"/>
      <c r="V14" s="560"/>
      <c r="W14" s="560"/>
      <c r="X14" s="560"/>
      <c r="Y14" s="560"/>
      <c r="Z14" s="560"/>
      <c r="AA14" s="560"/>
      <c r="AB14" s="560"/>
      <c r="AC14" s="560"/>
      <c r="AD14" s="560"/>
      <c r="AE14" s="560"/>
      <c r="AF14" s="560"/>
      <c r="AG14" s="560"/>
      <c r="AH14" s="560"/>
      <c r="AI14" s="560"/>
      <c r="AJ14" s="560"/>
      <c r="AK14" s="560"/>
      <c r="AL14" s="560"/>
      <c r="AM14" s="560"/>
      <c r="AN14" s="560"/>
      <c r="AO14" s="560"/>
      <c r="AP14" s="560"/>
      <c r="AQ14" s="560"/>
      <c r="AR14" s="560"/>
      <c r="AS14" s="560"/>
      <c r="AT14" s="560"/>
      <c r="AU14" s="560"/>
      <c r="AV14" s="560"/>
      <c r="AW14" s="560"/>
      <c r="AX14" s="560"/>
      <c r="AY14" s="560"/>
      <c r="AZ14" s="560"/>
      <c r="BA14" s="560"/>
      <c r="BB14" s="560"/>
      <c r="BC14" s="560"/>
      <c r="BD14" s="560"/>
      <c r="BE14" s="560"/>
      <c r="BF14" s="560"/>
      <c r="BG14" s="560"/>
      <c r="BH14" s="560"/>
      <c r="BI14" s="560"/>
      <c r="BJ14" s="560"/>
      <c r="BK14" s="560"/>
      <c r="BL14" s="560"/>
      <c r="BM14" s="560"/>
      <c r="BN14" s="560"/>
      <c r="BO14" s="560"/>
      <c r="BP14" s="560"/>
      <c r="BQ14" s="560"/>
      <c r="BR14" s="560"/>
      <c r="BS14" s="560"/>
      <c r="BT14" s="560"/>
      <c r="BU14" s="560"/>
      <c r="BV14" s="560"/>
      <c r="BW14" s="560"/>
      <c r="BX14" s="560"/>
      <c r="BY14" s="560"/>
      <c r="BZ14" s="560"/>
      <c r="CA14" s="560"/>
      <c r="CB14" s="560"/>
      <c r="CC14" s="560"/>
      <c r="CD14" s="560"/>
      <c r="CE14" s="560"/>
      <c r="CF14" s="560"/>
      <c r="CG14" s="560"/>
      <c r="CH14" s="560"/>
      <c r="CI14" s="560"/>
      <c r="CJ14" s="560"/>
      <c r="CK14" s="560"/>
      <c r="CL14" s="560"/>
      <c r="CM14" s="560"/>
      <c r="CN14" s="560"/>
      <c r="CO14" s="560"/>
      <c r="CP14" s="560"/>
      <c r="CQ14" s="560"/>
      <c r="CR14" s="560"/>
      <c r="CS14" s="560"/>
      <c r="CT14" s="560"/>
      <c r="CU14" s="560"/>
      <c r="CV14" s="560"/>
      <c r="CW14" s="560"/>
      <c r="CX14" s="560"/>
      <c r="CY14" s="560"/>
      <c r="CZ14" s="560"/>
      <c r="DA14" s="560"/>
      <c r="DB14" s="560"/>
      <c r="DC14" s="560"/>
      <c r="DD14" s="560"/>
      <c r="DE14" s="560"/>
      <c r="DF14" s="560"/>
      <c r="DG14" s="560"/>
      <c r="DH14" s="560"/>
      <c r="DI14" s="560"/>
      <c r="DJ14" s="560"/>
      <c r="DK14" s="560"/>
      <c r="DL14" s="560"/>
      <c r="DM14" s="560"/>
      <c r="DN14" s="560"/>
      <c r="DO14" s="560"/>
      <c r="DP14" s="560"/>
      <c r="DQ14" s="560"/>
      <c r="DR14" s="560"/>
      <c r="DS14" s="560"/>
      <c r="DT14" s="560"/>
      <c r="DU14" s="560"/>
      <c r="DV14" s="560"/>
      <c r="DW14" s="560"/>
      <c r="DX14" s="560"/>
      <c r="DY14" s="560"/>
      <c r="DZ14" s="560"/>
      <c r="EA14" s="560"/>
      <c r="EB14" s="560"/>
      <c r="EC14" s="560"/>
      <c r="ED14" s="560"/>
      <c r="EE14" s="560"/>
      <c r="EF14" s="560"/>
      <c r="EG14" s="560"/>
      <c r="EH14" s="560"/>
      <c r="EI14" s="560"/>
      <c r="EJ14" s="560"/>
      <c r="EK14" s="560"/>
      <c r="EL14" s="560"/>
      <c r="EM14" s="560"/>
      <c r="EN14" s="560"/>
      <c r="EO14" s="560"/>
      <c r="EP14" s="560"/>
      <c r="EQ14" s="560"/>
      <c r="ER14" s="560"/>
      <c r="ES14" s="560"/>
      <c r="ET14" s="560"/>
      <c r="EU14" s="560"/>
      <c r="EV14" s="560"/>
      <c r="EW14" s="560"/>
      <c r="EX14" s="560"/>
      <c r="EY14" s="560"/>
      <c r="EZ14" s="560"/>
      <c r="FA14" s="560"/>
      <c r="FB14" s="560"/>
      <c r="FC14" s="560"/>
      <c r="FD14" s="560"/>
      <c r="FE14" s="560"/>
      <c r="FF14" s="560"/>
      <c r="FG14" s="560"/>
      <c r="FH14" s="560"/>
      <c r="FI14" s="560"/>
      <c r="FJ14" s="560"/>
      <c r="FK14" s="560"/>
      <c r="FL14" s="560"/>
      <c r="FM14" s="560"/>
      <c r="FN14" s="560"/>
      <c r="FO14" s="560"/>
      <c r="FP14" s="560"/>
      <c r="FQ14" s="560"/>
      <c r="FR14" s="560"/>
      <c r="FS14" s="560"/>
      <c r="FT14" s="560"/>
      <c r="FU14" s="560"/>
      <c r="FV14" s="560"/>
      <c r="FW14" s="560"/>
      <c r="FX14" s="560"/>
      <c r="FY14" s="560"/>
      <c r="FZ14" s="560"/>
      <c r="GA14" s="560"/>
      <c r="GB14" s="560"/>
      <c r="GC14" s="560"/>
      <c r="GD14" s="560"/>
      <c r="GE14" s="560"/>
      <c r="GF14" s="560"/>
      <c r="GG14" s="560"/>
      <c r="GH14" s="560"/>
      <c r="GI14" s="560"/>
      <c r="GJ14" s="560"/>
      <c r="GK14" s="560"/>
      <c r="GL14" s="560"/>
      <c r="GM14" s="560"/>
      <c r="GN14" s="560"/>
      <c r="GO14" s="560"/>
      <c r="GP14" s="560"/>
      <c r="GQ14" s="560"/>
      <c r="GR14" s="560"/>
      <c r="GS14" s="560"/>
      <c r="GT14" s="560"/>
      <c r="GU14" s="560"/>
      <c r="GV14" s="560"/>
      <c r="GW14" s="560"/>
      <c r="GX14" s="560"/>
      <c r="GY14" s="560"/>
      <c r="GZ14" s="560"/>
      <c r="HA14" s="560"/>
      <c r="HB14" s="560"/>
      <c r="HC14" s="560"/>
      <c r="HD14" s="560"/>
      <c r="HE14" s="560"/>
      <c r="HF14" s="560"/>
      <c r="HG14" s="560"/>
      <c r="HH14" s="560"/>
      <c r="HI14" s="560"/>
      <c r="HJ14" s="560"/>
      <c r="HK14" s="560"/>
      <c r="HL14" s="560"/>
      <c r="HM14" s="560"/>
      <c r="HN14" s="560"/>
      <c r="HO14" s="560"/>
      <c r="HP14" s="560"/>
      <c r="HQ14" s="560"/>
      <c r="HR14" s="560"/>
      <c r="HS14" s="560"/>
      <c r="HT14" s="560"/>
      <c r="HU14" s="560"/>
      <c r="HV14" s="560"/>
      <c r="HW14" s="560"/>
      <c r="HX14" s="560"/>
      <c r="HY14" s="560"/>
      <c r="HZ14" s="560"/>
      <c r="IA14" s="560"/>
      <c r="IB14" s="560"/>
      <c r="IC14" s="560"/>
      <c r="ID14" s="560"/>
      <c r="IE14" s="560"/>
      <c r="IF14" s="560"/>
      <c r="IG14" s="560"/>
      <c r="IH14" s="560"/>
      <c r="II14" s="560"/>
      <c r="IJ14" s="560"/>
      <c r="IK14" s="560"/>
      <c r="IL14" s="560"/>
      <c r="IM14" s="560"/>
      <c r="IN14" s="560"/>
      <c r="IO14" s="560"/>
      <c r="IP14" s="560"/>
      <c r="IQ14" s="560"/>
      <c r="IR14" s="560"/>
      <c r="IS14" s="560"/>
      <c r="IT14" s="560"/>
      <c r="IU14" s="560"/>
    </row>
    <row r="15" spans="1:255" s="561" customFormat="1" ht="28.9" customHeight="1">
      <c r="A15" s="562"/>
      <c r="B15" s="560"/>
      <c r="C15" s="560"/>
      <c r="D15" s="560"/>
      <c r="E15" s="605"/>
      <c r="F15" s="725" t="s">
        <v>878</v>
      </c>
      <c r="G15" s="725"/>
      <c r="H15" s="725"/>
      <c r="I15" s="725"/>
      <c r="J15" s="606"/>
      <c r="K15" s="560"/>
      <c r="L15" s="560"/>
      <c r="M15" s="560"/>
      <c r="N15" s="560"/>
      <c r="O15" s="560"/>
      <c r="P15" s="560"/>
      <c r="Q15" s="560"/>
      <c r="R15" s="560"/>
      <c r="S15" s="560"/>
      <c r="T15" s="560"/>
      <c r="U15" s="560"/>
      <c r="V15" s="560"/>
      <c r="W15" s="560"/>
      <c r="X15" s="560"/>
      <c r="Y15" s="560"/>
      <c r="Z15" s="560"/>
      <c r="AA15" s="560"/>
      <c r="AB15" s="560"/>
      <c r="AC15" s="560"/>
      <c r="AD15" s="560"/>
      <c r="AE15" s="560"/>
      <c r="AF15" s="560"/>
      <c r="AG15" s="560"/>
      <c r="AH15" s="560"/>
      <c r="AI15" s="560"/>
      <c r="AJ15" s="560"/>
      <c r="AK15" s="560"/>
      <c r="AL15" s="560"/>
      <c r="AM15" s="560"/>
      <c r="AN15" s="560"/>
      <c r="AO15" s="560"/>
      <c r="AP15" s="560"/>
      <c r="AQ15" s="560"/>
      <c r="AR15" s="560"/>
      <c r="AS15" s="560"/>
      <c r="AT15" s="560"/>
      <c r="AU15" s="560"/>
      <c r="AV15" s="560"/>
      <c r="AW15" s="560"/>
      <c r="AX15" s="560"/>
      <c r="AY15" s="560"/>
      <c r="AZ15" s="560"/>
      <c r="BA15" s="560"/>
      <c r="BB15" s="560"/>
      <c r="BC15" s="560"/>
      <c r="BD15" s="560"/>
      <c r="BE15" s="560"/>
      <c r="BF15" s="560"/>
      <c r="BG15" s="560"/>
      <c r="BH15" s="560"/>
      <c r="BI15" s="560"/>
      <c r="BJ15" s="560"/>
      <c r="BK15" s="560"/>
      <c r="BL15" s="560"/>
      <c r="BM15" s="560"/>
      <c r="BN15" s="560"/>
      <c r="BO15" s="560"/>
      <c r="BP15" s="560"/>
      <c r="BQ15" s="560"/>
      <c r="BR15" s="560"/>
      <c r="BS15" s="560"/>
      <c r="BT15" s="560"/>
      <c r="BU15" s="560"/>
      <c r="BV15" s="560"/>
      <c r="BW15" s="560"/>
      <c r="BX15" s="560"/>
      <c r="BY15" s="560"/>
      <c r="BZ15" s="560"/>
      <c r="CA15" s="560"/>
      <c r="CB15" s="560"/>
      <c r="CC15" s="560"/>
      <c r="CD15" s="560"/>
      <c r="CE15" s="560"/>
      <c r="CF15" s="560"/>
      <c r="CG15" s="560"/>
      <c r="CH15" s="560"/>
      <c r="CI15" s="560"/>
      <c r="CJ15" s="560"/>
      <c r="CK15" s="560"/>
      <c r="CL15" s="560"/>
      <c r="CM15" s="560"/>
      <c r="CN15" s="560"/>
      <c r="CO15" s="560"/>
      <c r="CP15" s="560"/>
      <c r="CQ15" s="560"/>
      <c r="CR15" s="560"/>
      <c r="CS15" s="560"/>
      <c r="CT15" s="560"/>
      <c r="CU15" s="560"/>
      <c r="CV15" s="560"/>
      <c r="CW15" s="560"/>
      <c r="CX15" s="560"/>
      <c r="CY15" s="560"/>
      <c r="CZ15" s="560"/>
      <c r="DA15" s="560"/>
      <c r="DB15" s="560"/>
      <c r="DC15" s="560"/>
      <c r="DD15" s="560"/>
      <c r="DE15" s="560"/>
      <c r="DF15" s="560"/>
      <c r="DG15" s="560"/>
      <c r="DH15" s="560"/>
      <c r="DI15" s="560"/>
      <c r="DJ15" s="560"/>
      <c r="DK15" s="560"/>
      <c r="DL15" s="560"/>
      <c r="DM15" s="560"/>
      <c r="DN15" s="560"/>
      <c r="DO15" s="560"/>
      <c r="DP15" s="560"/>
      <c r="DQ15" s="560"/>
      <c r="DR15" s="560"/>
      <c r="DS15" s="560"/>
      <c r="DT15" s="560"/>
      <c r="DU15" s="560"/>
      <c r="DV15" s="560"/>
      <c r="DW15" s="560"/>
      <c r="DX15" s="560"/>
      <c r="DY15" s="560"/>
      <c r="DZ15" s="560"/>
      <c r="EA15" s="560"/>
      <c r="EB15" s="560"/>
      <c r="EC15" s="560"/>
      <c r="ED15" s="560"/>
      <c r="EE15" s="560"/>
      <c r="EF15" s="560"/>
      <c r="EG15" s="560"/>
      <c r="EH15" s="560"/>
      <c r="EI15" s="560"/>
      <c r="EJ15" s="560"/>
      <c r="EK15" s="560"/>
      <c r="EL15" s="560"/>
      <c r="EM15" s="560"/>
      <c r="EN15" s="560"/>
      <c r="EO15" s="560"/>
      <c r="EP15" s="560"/>
      <c r="EQ15" s="560"/>
      <c r="ER15" s="560"/>
      <c r="ES15" s="560"/>
      <c r="ET15" s="560"/>
      <c r="EU15" s="560"/>
      <c r="EV15" s="560"/>
      <c r="EW15" s="560"/>
      <c r="EX15" s="560"/>
      <c r="EY15" s="560"/>
      <c r="EZ15" s="560"/>
      <c r="FA15" s="560"/>
      <c r="FB15" s="560"/>
      <c r="FC15" s="560"/>
      <c r="FD15" s="560"/>
      <c r="FE15" s="560"/>
      <c r="FF15" s="560"/>
      <c r="FG15" s="560"/>
      <c r="FH15" s="560"/>
      <c r="FI15" s="560"/>
      <c r="FJ15" s="560"/>
      <c r="FK15" s="560"/>
      <c r="FL15" s="560"/>
      <c r="FM15" s="560"/>
      <c r="FN15" s="560"/>
      <c r="FO15" s="560"/>
      <c r="FP15" s="560"/>
      <c r="FQ15" s="560"/>
      <c r="FR15" s="560"/>
      <c r="FS15" s="560"/>
      <c r="FT15" s="560"/>
      <c r="FU15" s="560"/>
      <c r="FV15" s="560"/>
      <c r="FW15" s="560"/>
      <c r="FX15" s="560"/>
      <c r="FY15" s="560"/>
      <c r="FZ15" s="560"/>
      <c r="GA15" s="560"/>
      <c r="GB15" s="560"/>
      <c r="GC15" s="560"/>
      <c r="GD15" s="560"/>
      <c r="GE15" s="560"/>
      <c r="GF15" s="560"/>
      <c r="GG15" s="560"/>
      <c r="GH15" s="560"/>
      <c r="GI15" s="560"/>
      <c r="GJ15" s="560"/>
      <c r="GK15" s="560"/>
      <c r="GL15" s="560"/>
      <c r="GM15" s="560"/>
      <c r="GN15" s="560"/>
      <c r="GO15" s="560"/>
      <c r="GP15" s="560"/>
      <c r="GQ15" s="560"/>
      <c r="GR15" s="560"/>
      <c r="GS15" s="560"/>
      <c r="GT15" s="560"/>
      <c r="GU15" s="560"/>
      <c r="GV15" s="560"/>
      <c r="GW15" s="560"/>
      <c r="GX15" s="560"/>
      <c r="GY15" s="560"/>
      <c r="GZ15" s="560"/>
      <c r="HA15" s="560"/>
      <c r="HB15" s="560"/>
      <c r="HC15" s="560"/>
      <c r="HD15" s="560"/>
      <c r="HE15" s="560"/>
      <c r="HF15" s="560"/>
      <c r="HG15" s="560"/>
      <c r="HH15" s="560"/>
      <c r="HI15" s="560"/>
      <c r="HJ15" s="560"/>
      <c r="HK15" s="560"/>
      <c r="HL15" s="560"/>
      <c r="HM15" s="560"/>
      <c r="HN15" s="560"/>
      <c r="HO15" s="560"/>
      <c r="HP15" s="560"/>
      <c r="HQ15" s="560"/>
      <c r="HR15" s="560"/>
      <c r="HS15" s="560"/>
      <c r="HT15" s="560"/>
      <c r="HU15" s="560"/>
      <c r="HV15" s="560"/>
      <c r="HW15" s="560"/>
      <c r="HX15" s="560"/>
      <c r="HY15" s="560"/>
      <c r="HZ15" s="560"/>
      <c r="IA15" s="560"/>
      <c r="IB15" s="560"/>
      <c r="IC15" s="560"/>
      <c r="ID15" s="560"/>
      <c r="IE15" s="560"/>
      <c r="IF15" s="560"/>
      <c r="IG15" s="560"/>
      <c r="IH15" s="560"/>
      <c r="II15" s="560"/>
      <c r="IJ15" s="560"/>
      <c r="IK15" s="560"/>
      <c r="IL15" s="560"/>
      <c r="IM15" s="560"/>
      <c r="IN15" s="560"/>
      <c r="IO15" s="560"/>
      <c r="IP15" s="560"/>
      <c r="IQ15" s="560"/>
      <c r="IR15" s="560"/>
      <c r="IS15" s="560"/>
      <c r="IT15" s="560"/>
      <c r="IU15" s="560"/>
    </row>
    <row r="16" spans="1:255" s="561" customFormat="1" ht="20.45" customHeight="1">
      <c r="B16" s="717" t="s">
        <v>149</v>
      </c>
      <c r="C16" s="717"/>
      <c r="D16" s="608"/>
      <c r="E16" s="608"/>
      <c r="F16" s="718" t="s">
        <v>879</v>
      </c>
      <c r="G16" s="718"/>
      <c r="H16" s="718"/>
      <c r="I16" s="718"/>
      <c r="J16" s="608"/>
    </row>
    <row r="17" spans="1:255" s="561" customFormat="1" ht="16.5">
      <c r="A17" s="608"/>
      <c r="B17" s="608"/>
      <c r="K17" s="563"/>
      <c r="L17" s="563"/>
      <c r="M17" s="563"/>
      <c r="N17" s="563"/>
      <c r="O17" s="563"/>
      <c r="P17" s="563"/>
      <c r="Q17" s="563"/>
      <c r="R17" s="563"/>
      <c r="S17" s="563"/>
      <c r="T17" s="563"/>
      <c r="U17" s="563"/>
      <c r="V17" s="563"/>
      <c r="W17" s="563"/>
      <c r="X17" s="563"/>
      <c r="Y17" s="563"/>
      <c r="Z17" s="563"/>
      <c r="AA17" s="563"/>
      <c r="AB17" s="563"/>
      <c r="AC17" s="563"/>
      <c r="AD17" s="563"/>
      <c r="AE17" s="563"/>
      <c r="AF17" s="563"/>
      <c r="AG17" s="563"/>
      <c r="AH17" s="563"/>
      <c r="AI17" s="563"/>
      <c r="AJ17" s="563"/>
      <c r="AK17" s="563"/>
      <c r="AL17" s="563"/>
      <c r="AM17" s="563"/>
      <c r="AN17" s="563"/>
      <c r="AO17" s="563"/>
      <c r="AP17" s="563"/>
      <c r="AQ17" s="563"/>
      <c r="AR17" s="563"/>
      <c r="AS17" s="563"/>
      <c r="AT17" s="563"/>
      <c r="AU17" s="563"/>
      <c r="AV17" s="563"/>
      <c r="AW17" s="563"/>
      <c r="AX17" s="563"/>
      <c r="AY17" s="563"/>
      <c r="AZ17" s="563"/>
      <c r="BA17" s="563"/>
      <c r="BB17" s="563"/>
      <c r="BC17" s="563"/>
      <c r="BD17" s="563"/>
      <c r="BE17" s="563"/>
      <c r="BF17" s="563"/>
      <c r="BG17" s="563"/>
      <c r="BH17" s="563"/>
      <c r="BI17" s="563"/>
      <c r="BJ17" s="563"/>
      <c r="BK17" s="563"/>
      <c r="BL17" s="563"/>
      <c r="BM17" s="563"/>
      <c r="BN17" s="563"/>
      <c r="BO17" s="563"/>
      <c r="BP17" s="563"/>
      <c r="BQ17" s="563"/>
      <c r="BR17" s="563"/>
      <c r="BS17" s="563"/>
      <c r="BT17" s="563"/>
      <c r="BU17" s="563"/>
      <c r="BV17" s="563"/>
      <c r="BW17" s="563"/>
      <c r="BX17" s="563"/>
      <c r="BY17" s="563"/>
      <c r="BZ17" s="563"/>
      <c r="CA17" s="563"/>
      <c r="CB17" s="563"/>
      <c r="CC17" s="563"/>
      <c r="CD17" s="563"/>
      <c r="CE17" s="563"/>
      <c r="CF17" s="563"/>
      <c r="CG17" s="563"/>
      <c r="CH17" s="563"/>
      <c r="CI17" s="563"/>
      <c r="CJ17" s="563"/>
      <c r="CK17" s="563"/>
      <c r="CL17" s="563"/>
      <c r="CM17" s="563"/>
      <c r="CN17" s="563"/>
      <c r="CO17" s="563"/>
      <c r="CP17" s="563"/>
      <c r="CQ17" s="563"/>
      <c r="CR17" s="563"/>
      <c r="CS17" s="563"/>
      <c r="CT17" s="563"/>
      <c r="CU17" s="563"/>
      <c r="CV17" s="563"/>
      <c r="CW17" s="563"/>
      <c r="CX17" s="563"/>
      <c r="CY17" s="563"/>
      <c r="CZ17" s="563"/>
      <c r="DA17" s="563"/>
      <c r="DB17" s="563"/>
      <c r="DC17" s="563"/>
      <c r="DD17" s="563"/>
      <c r="DE17" s="563"/>
      <c r="DF17" s="563"/>
      <c r="DG17" s="563"/>
      <c r="DH17" s="563"/>
      <c r="DI17" s="563"/>
      <c r="DJ17" s="563"/>
      <c r="DK17" s="563"/>
      <c r="DL17" s="563"/>
      <c r="DM17" s="563"/>
      <c r="DN17" s="563"/>
      <c r="DO17" s="563"/>
      <c r="DP17" s="563"/>
      <c r="DQ17" s="563"/>
      <c r="DR17" s="563"/>
      <c r="DS17" s="563"/>
      <c r="DT17" s="563"/>
      <c r="DU17" s="563"/>
      <c r="DV17" s="563"/>
      <c r="DW17" s="563"/>
      <c r="DX17" s="563"/>
      <c r="DY17" s="563"/>
      <c r="DZ17" s="563"/>
      <c r="EA17" s="563"/>
      <c r="EB17" s="563"/>
      <c r="EC17" s="563"/>
      <c r="ED17" s="563"/>
      <c r="EE17" s="563"/>
      <c r="EF17" s="563"/>
      <c r="EG17" s="563"/>
      <c r="EH17" s="563"/>
      <c r="EI17" s="563"/>
      <c r="EJ17" s="563"/>
      <c r="EK17" s="563"/>
      <c r="EL17" s="563"/>
      <c r="EM17" s="563"/>
      <c r="EN17" s="563"/>
      <c r="EO17" s="563"/>
      <c r="EP17" s="563"/>
      <c r="EQ17" s="563"/>
      <c r="ER17" s="563"/>
      <c r="ES17" s="563"/>
      <c r="ET17" s="563"/>
      <c r="EU17" s="563"/>
      <c r="EV17" s="563"/>
      <c r="EW17" s="563"/>
      <c r="EX17" s="563"/>
      <c r="EY17" s="563"/>
      <c r="EZ17" s="563"/>
      <c r="FA17" s="563"/>
      <c r="FB17" s="563"/>
      <c r="FC17" s="563"/>
      <c r="FD17" s="563"/>
      <c r="FE17" s="563"/>
      <c r="FF17" s="563"/>
      <c r="FG17" s="563"/>
      <c r="FH17" s="563"/>
      <c r="FI17" s="563"/>
      <c r="FJ17" s="563"/>
      <c r="FK17" s="563"/>
      <c r="FL17" s="563"/>
      <c r="FM17" s="563"/>
      <c r="FN17" s="563"/>
      <c r="FO17" s="563"/>
      <c r="FP17" s="563"/>
      <c r="FQ17" s="563"/>
      <c r="FR17" s="563"/>
      <c r="FS17" s="563"/>
      <c r="FT17" s="563"/>
      <c r="FU17" s="563"/>
      <c r="FV17" s="563"/>
      <c r="FW17" s="563"/>
      <c r="FX17" s="563"/>
      <c r="FY17" s="563"/>
      <c r="FZ17" s="563"/>
      <c r="GA17" s="563"/>
      <c r="GB17" s="563"/>
      <c r="GC17" s="563"/>
      <c r="GD17" s="563"/>
      <c r="GE17" s="563"/>
      <c r="GF17" s="563"/>
      <c r="GG17" s="563"/>
      <c r="GH17" s="563"/>
      <c r="GI17" s="563"/>
      <c r="GJ17" s="563"/>
      <c r="GK17" s="563"/>
      <c r="GL17" s="563"/>
      <c r="GM17" s="563"/>
      <c r="GN17" s="563"/>
      <c r="GO17" s="563"/>
      <c r="GP17" s="563"/>
      <c r="GQ17" s="563"/>
      <c r="GR17" s="563"/>
      <c r="GS17" s="563"/>
      <c r="GT17" s="563"/>
      <c r="GU17" s="563"/>
      <c r="GV17" s="563"/>
      <c r="GW17" s="563"/>
      <c r="GX17" s="563"/>
      <c r="GY17" s="563"/>
      <c r="GZ17" s="563"/>
      <c r="HA17" s="563"/>
      <c r="HB17" s="563"/>
      <c r="HC17" s="563"/>
      <c r="HD17" s="563"/>
      <c r="HE17" s="563"/>
      <c r="HF17" s="563"/>
      <c r="HG17" s="563"/>
      <c r="HH17" s="563"/>
      <c r="HI17" s="563"/>
      <c r="HJ17" s="563"/>
      <c r="HK17" s="563"/>
      <c r="HL17" s="563"/>
      <c r="HM17" s="563"/>
      <c r="HN17" s="563"/>
      <c r="HO17" s="563"/>
      <c r="HP17" s="563"/>
      <c r="HQ17" s="563"/>
      <c r="HR17" s="563"/>
      <c r="HS17" s="563"/>
      <c r="HT17" s="563"/>
      <c r="HU17" s="563"/>
      <c r="HV17" s="563"/>
      <c r="HW17" s="563"/>
      <c r="HX17" s="563"/>
      <c r="HY17" s="563"/>
      <c r="HZ17" s="563"/>
      <c r="IA17" s="563"/>
      <c r="IB17" s="563"/>
      <c r="IC17" s="563"/>
      <c r="ID17" s="563"/>
      <c r="IE17" s="563"/>
      <c r="IF17" s="563"/>
      <c r="IG17" s="563"/>
      <c r="IH17" s="563"/>
      <c r="II17" s="563"/>
      <c r="IJ17" s="563"/>
      <c r="IK17" s="563"/>
      <c r="IL17" s="563"/>
      <c r="IM17" s="563"/>
      <c r="IN17" s="563"/>
      <c r="IO17" s="563"/>
      <c r="IP17" s="563"/>
      <c r="IQ17" s="563"/>
      <c r="IR17" s="563"/>
      <c r="IS17" s="563"/>
      <c r="IT17" s="563"/>
      <c r="IU17" s="563"/>
    </row>
    <row r="18" spans="1:255" s="561" customFormat="1" ht="15"/>
    <row r="19" spans="1:255" s="561" customFormat="1" ht="15"/>
    <row r="20" spans="1:255" s="561" customFormat="1" ht="15"/>
    <row r="21" spans="1:255" s="561" customFormat="1" ht="15">
      <c r="F21" s="717" t="s">
        <v>35</v>
      </c>
      <c r="G21" s="717"/>
      <c r="H21" s="717"/>
      <c r="I21" s="717"/>
    </row>
    <row r="22" spans="1:255" s="561" customFormat="1" ht="15">
      <c r="F22" s="607"/>
      <c r="G22" s="607"/>
      <c r="H22" s="607"/>
      <c r="I22" s="607"/>
    </row>
    <row r="23" spans="1:255">
      <c r="B23" s="610"/>
    </row>
    <row r="24" spans="1:255">
      <c r="C24" s="610"/>
    </row>
    <row r="25" spans="1:255">
      <c r="B25" s="610"/>
      <c r="C25" s="611"/>
      <c r="D25" s="611"/>
    </row>
  </sheetData>
  <mergeCells count="9">
    <mergeCell ref="B16:C16"/>
    <mergeCell ref="F16:I16"/>
    <mergeCell ref="F21:I21"/>
    <mergeCell ref="A1:E1"/>
    <mergeCell ref="A2:E2"/>
    <mergeCell ref="A4:I4"/>
    <mergeCell ref="A5:I5"/>
    <mergeCell ref="A13:C13"/>
    <mergeCell ref="F15:I15"/>
  </mergeCells>
  <pageMargins left="0.7" right="0.7" top="0.75" bottom="0.75" header="0.3" footer="0.3"/>
  <pageSetup paperSize="9" scale="78" orientation="portrait" verticalDpi="0" r:id="rId1"/>
  <colBreaks count="1" manualBreakCount="1">
    <brk id="9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A04A-313A-4BA3-938A-861985F17639}">
  <sheetPr filterMode="1"/>
  <dimension ref="A1:I187"/>
  <sheetViews>
    <sheetView showGridLines="0" topLeftCell="A23" workbookViewId="0">
      <selection activeCell="G9" sqref="G9:H9"/>
    </sheetView>
  </sheetViews>
  <sheetFormatPr defaultColWidth="8.85546875" defaultRowHeight="15"/>
  <cols>
    <col min="1" max="1" width="8.85546875" style="409"/>
    <col min="2" max="2" width="11.85546875" style="409" hidden="1" customWidth="1"/>
    <col min="3" max="3" width="11.85546875" style="409" customWidth="1"/>
    <col min="4" max="4" width="15.28515625" style="410" customWidth="1"/>
    <col min="5" max="5" width="28.85546875" style="395" customWidth="1"/>
    <col min="6" max="6" width="23.140625" style="409" customWidth="1"/>
    <col min="7" max="7" width="20.7109375" style="409" customWidth="1"/>
    <col min="8" max="8" width="21.28515625" style="411" customWidth="1"/>
    <col min="9" max="9" width="25" style="409" customWidth="1"/>
    <col min="10" max="16384" width="8.85546875" style="395"/>
  </cols>
  <sheetData>
    <row r="1" spans="1:9" ht="25.5" customHeight="1">
      <c r="A1" s="726" t="s">
        <v>604</v>
      </c>
      <c r="B1" s="726"/>
      <c r="C1" s="726"/>
      <c r="D1" s="726"/>
      <c r="E1" s="726"/>
      <c r="F1" s="726"/>
      <c r="G1" s="726"/>
      <c r="H1" s="726"/>
      <c r="I1" s="726"/>
    </row>
    <row r="2" spans="1:9" s="400" customFormat="1" ht="20.100000000000001" customHeight="1">
      <c r="A2" s="396" t="s">
        <v>605</v>
      </c>
      <c r="B2" s="397" t="s">
        <v>606</v>
      </c>
      <c r="C2" s="397" t="s">
        <v>607</v>
      </c>
      <c r="D2" s="398" t="s">
        <v>608</v>
      </c>
      <c r="E2" s="397" t="s">
        <v>609</v>
      </c>
      <c r="F2" s="397" t="s">
        <v>610</v>
      </c>
      <c r="G2" s="397" t="s">
        <v>611</v>
      </c>
      <c r="H2" s="399" t="s">
        <v>612</v>
      </c>
      <c r="I2" s="397" t="s">
        <v>613</v>
      </c>
    </row>
    <row r="3" spans="1:9" ht="15" hidden="1" customHeight="1">
      <c r="A3" s="401" t="s">
        <v>428</v>
      </c>
      <c r="B3" s="402"/>
      <c r="C3" s="402" t="s">
        <v>201</v>
      </c>
      <c r="D3" s="403" t="s">
        <v>614</v>
      </c>
      <c r="E3" s="404" t="s">
        <v>427</v>
      </c>
      <c r="F3" s="405" t="s">
        <v>221</v>
      </c>
      <c r="G3" s="405" t="s">
        <v>103</v>
      </c>
      <c r="H3" s="406" t="s">
        <v>615</v>
      </c>
      <c r="I3" s="412"/>
    </row>
    <row r="4" spans="1:9">
      <c r="A4" s="401" t="s">
        <v>428</v>
      </c>
      <c r="B4" s="402"/>
      <c r="C4" s="402" t="s">
        <v>333</v>
      </c>
      <c r="D4" s="403" t="s">
        <v>616</v>
      </c>
      <c r="E4" s="404" t="s">
        <v>429</v>
      </c>
      <c r="F4" s="405" t="s">
        <v>617</v>
      </c>
      <c r="G4" s="405" t="s">
        <v>76</v>
      </c>
      <c r="H4" s="406">
        <v>3000000</v>
      </c>
      <c r="I4" s="405"/>
    </row>
    <row r="5" spans="1:9">
      <c r="A5" s="401" t="s">
        <v>428</v>
      </c>
      <c r="B5" s="402"/>
      <c r="C5" s="402" t="s">
        <v>333</v>
      </c>
      <c r="D5" s="403" t="s">
        <v>618</v>
      </c>
      <c r="E5" s="404" t="s">
        <v>430</v>
      </c>
      <c r="F5" s="405" t="s">
        <v>619</v>
      </c>
      <c r="G5" s="405" t="s">
        <v>81</v>
      </c>
      <c r="H5" s="406">
        <v>3000000</v>
      </c>
      <c r="I5" s="405"/>
    </row>
    <row r="6" spans="1:9">
      <c r="A6" s="401" t="s">
        <v>428</v>
      </c>
      <c r="B6" s="402"/>
      <c r="C6" s="402" t="s">
        <v>333</v>
      </c>
      <c r="D6" s="403" t="s">
        <v>620</v>
      </c>
      <c r="E6" s="404" t="s">
        <v>431</v>
      </c>
      <c r="F6" s="405" t="s">
        <v>621</v>
      </c>
      <c r="G6" s="405" t="s">
        <v>119</v>
      </c>
      <c r="H6" s="406">
        <v>3000000</v>
      </c>
      <c r="I6" s="405"/>
    </row>
    <row r="7" spans="1:9" hidden="1">
      <c r="A7" s="401" t="s">
        <v>428</v>
      </c>
      <c r="B7" s="405"/>
      <c r="C7" s="405" t="s">
        <v>333</v>
      </c>
      <c r="D7" s="403" t="s">
        <v>622</v>
      </c>
      <c r="E7" s="404" t="s">
        <v>432</v>
      </c>
      <c r="F7" s="405" t="s">
        <v>623</v>
      </c>
      <c r="G7" s="405" t="s">
        <v>49</v>
      </c>
      <c r="H7" s="406">
        <v>3000000</v>
      </c>
      <c r="I7" s="405" t="s">
        <v>624</v>
      </c>
    </row>
    <row r="8" spans="1:9">
      <c r="A8" s="401" t="s">
        <v>428</v>
      </c>
      <c r="B8" s="405"/>
      <c r="C8" s="405" t="s">
        <v>333</v>
      </c>
      <c r="D8" s="403" t="s">
        <v>625</v>
      </c>
      <c r="E8" s="404" t="s">
        <v>433</v>
      </c>
      <c r="F8" s="405" t="s">
        <v>626</v>
      </c>
      <c r="G8" s="405" t="s">
        <v>134</v>
      </c>
      <c r="H8" s="406">
        <v>3000000</v>
      </c>
      <c r="I8" s="405"/>
    </row>
    <row r="9" spans="1:9">
      <c r="A9" s="401" t="s">
        <v>428</v>
      </c>
      <c r="B9" s="405"/>
      <c r="C9" s="405" t="s">
        <v>333</v>
      </c>
      <c r="D9" s="403" t="s">
        <v>627</v>
      </c>
      <c r="E9" s="404" t="s">
        <v>434</v>
      </c>
      <c r="F9" s="405" t="s">
        <v>628</v>
      </c>
      <c r="G9" s="405" t="s">
        <v>57</v>
      </c>
      <c r="H9" s="406">
        <v>3000000</v>
      </c>
      <c r="I9" s="405"/>
    </row>
    <row r="10" spans="1:9" hidden="1">
      <c r="A10" s="401" t="s">
        <v>428</v>
      </c>
      <c r="B10" s="405"/>
      <c r="C10" s="405" t="s">
        <v>436</v>
      </c>
      <c r="D10" s="403" t="s">
        <v>629</v>
      </c>
      <c r="E10" s="404" t="s">
        <v>435</v>
      </c>
      <c r="F10" s="405" t="s">
        <v>630</v>
      </c>
      <c r="G10" s="405" t="s">
        <v>70</v>
      </c>
      <c r="H10" s="406" t="s">
        <v>615</v>
      </c>
      <c r="I10" s="405" t="s">
        <v>631</v>
      </c>
    </row>
    <row r="11" spans="1:9">
      <c r="A11" s="401" t="s">
        <v>428</v>
      </c>
      <c r="B11" s="405"/>
      <c r="C11" s="405" t="s">
        <v>333</v>
      </c>
      <c r="D11" s="403" t="s">
        <v>632</v>
      </c>
      <c r="E11" s="404" t="s">
        <v>437</v>
      </c>
      <c r="F11" s="405" t="s">
        <v>633</v>
      </c>
      <c r="G11" s="405" t="s">
        <v>99</v>
      </c>
      <c r="H11" s="406">
        <v>3000000</v>
      </c>
      <c r="I11" s="405"/>
    </row>
    <row r="12" spans="1:9">
      <c r="A12" s="401" t="s">
        <v>428</v>
      </c>
      <c r="B12" s="405"/>
      <c r="C12" s="405" t="s">
        <v>333</v>
      </c>
      <c r="D12" s="403" t="s">
        <v>634</v>
      </c>
      <c r="E12" s="404" t="s">
        <v>438</v>
      </c>
      <c r="F12" s="405" t="s">
        <v>635</v>
      </c>
      <c r="G12" s="405" t="s">
        <v>67</v>
      </c>
      <c r="H12" s="406">
        <v>3000000</v>
      </c>
      <c r="I12" s="405"/>
    </row>
    <row r="13" spans="1:9">
      <c r="A13" s="401" t="s">
        <v>428</v>
      </c>
      <c r="B13" s="405"/>
      <c r="C13" s="405" t="s">
        <v>333</v>
      </c>
      <c r="D13" s="403" t="s">
        <v>636</v>
      </c>
      <c r="E13" s="404" t="s">
        <v>439</v>
      </c>
      <c r="F13" s="405" t="s">
        <v>637</v>
      </c>
      <c r="G13" s="405" t="s">
        <v>97</v>
      </c>
      <c r="H13" s="406">
        <v>3000000</v>
      </c>
      <c r="I13" s="405"/>
    </row>
    <row r="14" spans="1:9">
      <c r="A14" s="401" t="s">
        <v>428</v>
      </c>
      <c r="B14" s="405"/>
      <c r="C14" s="405" t="s">
        <v>333</v>
      </c>
      <c r="D14" s="403" t="s">
        <v>638</v>
      </c>
      <c r="E14" s="404" t="s">
        <v>440</v>
      </c>
      <c r="F14" s="405" t="s">
        <v>639</v>
      </c>
      <c r="G14" s="405" t="s">
        <v>103</v>
      </c>
      <c r="H14" s="406">
        <v>3000000</v>
      </c>
      <c r="I14" s="405"/>
    </row>
    <row r="15" spans="1:9">
      <c r="A15" s="401" t="s">
        <v>428</v>
      </c>
      <c r="B15" s="405"/>
      <c r="C15" s="405" t="s">
        <v>333</v>
      </c>
      <c r="D15" s="403" t="s">
        <v>640</v>
      </c>
      <c r="E15" s="404" t="s">
        <v>441</v>
      </c>
      <c r="F15" s="405" t="s">
        <v>641</v>
      </c>
      <c r="G15" s="405" t="s">
        <v>65</v>
      </c>
      <c r="H15" s="406">
        <v>3000000</v>
      </c>
      <c r="I15" s="405"/>
    </row>
    <row r="16" spans="1:9">
      <c r="A16" s="401" t="s">
        <v>428</v>
      </c>
      <c r="B16" s="405"/>
      <c r="C16" s="405" t="s">
        <v>333</v>
      </c>
      <c r="D16" s="403" t="s">
        <v>642</v>
      </c>
      <c r="E16" s="404" t="s">
        <v>442</v>
      </c>
      <c r="F16" s="405" t="s">
        <v>643</v>
      </c>
      <c r="G16" s="405" t="s">
        <v>86</v>
      </c>
      <c r="H16" s="406">
        <v>3000000</v>
      </c>
      <c r="I16" s="405"/>
    </row>
    <row r="17" spans="1:9">
      <c r="A17" s="401" t="s">
        <v>428</v>
      </c>
      <c r="B17" s="405"/>
      <c r="C17" s="405" t="s">
        <v>333</v>
      </c>
      <c r="D17" s="403" t="s">
        <v>644</v>
      </c>
      <c r="E17" s="404" t="s">
        <v>443</v>
      </c>
      <c r="F17" s="405" t="s">
        <v>645</v>
      </c>
      <c r="G17" s="405" t="s">
        <v>108</v>
      </c>
      <c r="H17" s="406">
        <v>3000000</v>
      </c>
      <c r="I17" s="405"/>
    </row>
    <row r="18" spans="1:9">
      <c r="A18" s="401" t="s">
        <v>428</v>
      </c>
      <c r="B18" s="405"/>
      <c r="C18" s="405" t="s">
        <v>333</v>
      </c>
      <c r="D18" s="403" t="s">
        <v>646</v>
      </c>
      <c r="E18" s="404" t="s">
        <v>444</v>
      </c>
      <c r="F18" s="405" t="s">
        <v>647</v>
      </c>
      <c r="G18" s="405" t="s">
        <v>82</v>
      </c>
      <c r="H18" s="406">
        <v>3000000</v>
      </c>
      <c r="I18" s="405"/>
    </row>
    <row r="19" spans="1:9">
      <c r="A19" s="401" t="s">
        <v>428</v>
      </c>
      <c r="B19" s="405"/>
      <c r="C19" s="405" t="s">
        <v>333</v>
      </c>
      <c r="D19" s="403" t="s">
        <v>648</v>
      </c>
      <c r="E19" s="404" t="s">
        <v>445</v>
      </c>
      <c r="F19" s="405" t="s">
        <v>649</v>
      </c>
      <c r="G19" s="405" t="s">
        <v>80</v>
      </c>
      <c r="H19" s="406">
        <v>3000000</v>
      </c>
      <c r="I19" s="405"/>
    </row>
    <row r="20" spans="1:9">
      <c r="A20" s="401" t="s">
        <v>428</v>
      </c>
      <c r="B20" s="405"/>
      <c r="C20" s="405" t="s">
        <v>333</v>
      </c>
      <c r="D20" s="403" t="s">
        <v>650</v>
      </c>
      <c r="E20" s="404" t="s">
        <v>413</v>
      </c>
      <c r="F20" s="405" t="s">
        <v>651</v>
      </c>
      <c r="G20" s="405" t="s">
        <v>104</v>
      </c>
      <c r="H20" s="406">
        <v>3000000</v>
      </c>
      <c r="I20" s="405"/>
    </row>
    <row r="21" spans="1:9">
      <c r="A21" s="401" t="s">
        <v>428</v>
      </c>
      <c r="B21" s="405"/>
      <c r="C21" s="405" t="s">
        <v>333</v>
      </c>
      <c r="D21" s="403" t="s">
        <v>652</v>
      </c>
      <c r="E21" s="404" t="s">
        <v>446</v>
      </c>
      <c r="F21" s="405" t="s">
        <v>626</v>
      </c>
      <c r="G21" s="405" t="s">
        <v>134</v>
      </c>
      <c r="H21" s="406">
        <v>3000000</v>
      </c>
      <c r="I21" s="405"/>
    </row>
    <row r="22" spans="1:9">
      <c r="A22" s="401" t="s">
        <v>428</v>
      </c>
      <c r="B22" s="405"/>
      <c r="C22" s="405" t="s">
        <v>333</v>
      </c>
      <c r="D22" s="403" t="s">
        <v>653</v>
      </c>
      <c r="E22" s="404" t="s">
        <v>447</v>
      </c>
      <c r="F22" s="405" t="s">
        <v>647</v>
      </c>
      <c r="G22" s="405" t="s">
        <v>82</v>
      </c>
      <c r="H22" s="406">
        <v>3000000</v>
      </c>
      <c r="I22" s="405"/>
    </row>
    <row r="23" spans="1:9">
      <c r="A23" s="401" t="s">
        <v>428</v>
      </c>
      <c r="B23" s="405"/>
      <c r="C23" s="405" t="s">
        <v>333</v>
      </c>
      <c r="D23" s="403" t="s">
        <v>654</v>
      </c>
      <c r="E23" s="404" t="s">
        <v>416</v>
      </c>
      <c r="F23" s="405" t="s">
        <v>655</v>
      </c>
      <c r="G23" s="405" t="s">
        <v>70</v>
      </c>
      <c r="H23" s="406">
        <v>3000000</v>
      </c>
      <c r="I23" s="405"/>
    </row>
    <row r="24" spans="1:9">
      <c r="A24" s="401" t="s">
        <v>428</v>
      </c>
      <c r="B24" s="405"/>
      <c r="C24" s="405" t="s">
        <v>333</v>
      </c>
      <c r="D24" s="403" t="s">
        <v>656</v>
      </c>
      <c r="E24" s="404" t="s">
        <v>448</v>
      </c>
      <c r="F24" s="405" t="s">
        <v>657</v>
      </c>
      <c r="G24" s="405" t="s">
        <v>58</v>
      </c>
      <c r="H24" s="406">
        <v>3000000</v>
      </c>
      <c r="I24" s="405"/>
    </row>
    <row r="25" spans="1:9">
      <c r="A25" s="401" t="s">
        <v>428</v>
      </c>
      <c r="B25" s="405"/>
      <c r="C25" s="405" t="s">
        <v>333</v>
      </c>
      <c r="D25" s="403" t="s">
        <v>658</v>
      </c>
      <c r="E25" s="404" t="s">
        <v>449</v>
      </c>
      <c r="F25" s="405" t="s">
        <v>621</v>
      </c>
      <c r="G25" s="405" t="s">
        <v>119</v>
      </c>
      <c r="H25" s="406">
        <v>3000000</v>
      </c>
      <c r="I25" s="405"/>
    </row>
    <row r="26" spans="1:9">
      <c r="A26" s="401" t="s">
        <v>428</v>
      </c>
      <c r="B26" s="405"/>
      <c r="C26" s="405" t="s">
        <v>333</v>
      </c>
      <c r="D26" s="403" t="s">
        <v>659</v>
      </c>
      <c r="E26" s="404" t="s">
        <v>450</v>
      </c>
      <c r="F26" s="405" t="s">
        <v>643</v>
      </c>
      <c r="G26" s="405" t="s">
        <v>86</v>
      </c>
      <c r="H26" s="406">
        <v>3000000</v>
      </c>
      <c r="I26" s="405"/>
    </row>
    <row r="27" spans="1:9">
      <c r="A27" s="401" t="s">
        <v>428</v>
      </c>
      <c r="B27" s="405"/>
      <c r="C27" s="405" t="s">
        <v>333</v>
      </c>
      <c r="D27" s="403" t="s">
        <v>660</v>
      </c>
      <c r="E27" s="404" t="s">
        <v>451</v>
      </c>
      <c r="F27" s="405" t="s">
        <v>621</v>
      </c>
      <c r="G27" s="405" t="s">
        <v>119</v>
      </c>
      <c r="H27" s="406">
        <v>3000000</v>
      </c>
      <c r="I27" s="405"/>
    </row>
    <row r="28" spans="1:9">
      <c r="A28" s="401" t="s">
        <v>428</v>
      </c>
      <c r="B28" s="405"/>
      <c r="C28" s="405" t="s">
        <v>333</v>
      </c>
      <c r="D28" s="403" t="s">
        <v>661</v>
      </c>
      <c r="E28" s="404" t="s">
        <v>452</v>
      </c>
      <c r="F28" s="405" t="s">
        <v>662</v>
      </c>
      <c r="G28" s="405" t="s">
        <v>135</v>
      </c>
      <c r="H28" s="406">
        <v>3000000</v>
      </c>
      <c r="I28" s="405"/>
    </row>
    <row r="29" spans="1:9">
      <c r="A29" s="401" t="s">
        <v>428</v>
      </c>
      <c r="B29" s="405"/>
      <c r="C29" s="405" t="s">
        <v>333</v>
      </c>
      <c r="D29" s="403" t="s">
        <v>663</v>
      </c>
      <c r="E29" s="404" t="s">
        <v>453</v>
      </c>
      <c r="F29" s="405" t="s">
        <v>664</v>
      </c>
      <c r="G29" s="405" t="s">
        <v>114</v>
      </c>
      <c r="H29" s="406">
        <v>3000000</v>
      </c>
      <c r="I29" s="405"/>
    </row>
    <row r="30" spans="1:9">
      <c r="A30" s="401" t="s">
        <v>428</v>
      </c>
      <c r="B30" s="405"/>
      <c r="C30" s="405" t="s">
        <v>333</v>
      </c>
      <c r="D30" s="403" t="s">
        <v>665</v>
      </c>
      <c r="E30" s="404" t="s">
        <v>454</v>
      </c>
      <c r="F30" s="405" t="s">
        <v>628</v>
      </c>
      <c r="G30" s="405" t="s">
        <v>57</v>
      </c>
      <c r="H30" s="406">
        <v>3000000</v>
      </c>
      <c r="I30" s="405"/>
    </row>
    <row r="31" spans="1:9">
      <c r="A31" s="401" t="s">
        <v>428</v>
      </c>
      <c r="B31" s="405"/>
      <c r="C31" s="405" t="s">
        <v>333</v>
      </c>
      <c r="D31" s="403" t="s">
        <v>666</v>
      </c>
      <c r="E31" s="404" t="s">
        <v>455</v>
      </c>
      <c r="F31" s="405" t="s">
        <v>645</v>
      </c>
      <c r="G31" s="405" t="s">
        <v>108</v>
      </c>
      <c r="H31" s="406">
        <v>3000000</v>
      </c>
      <c r="I31" s="405"/>
    </row>
    <row r="32" spans="1:9" hidden="1">
      <c r="A32" s="401" t="s">
        <v>428</v>
      </c>
      <c r="B32" s="405"/>
      <c r="C32" s="405" t="s">
        <v>201</v>
      </c>
      <c r="D32" s="403" t="s">
        <v>667</v>
      </c>
      <c r="E32" s="404" t="s">
        <v>456</v>
      </c>
      <c r="F32" s="405" t="s">
        <v>668</v>
      </c>
      <c r="G32" s="405" t="s">
        <v>103</v>
      </c>
      <c r="H32" s="406" t="s">
        <v>615</v>
      </c>
      <c r="I32" s="405"/>
    </row>
    <row r="33" spans="1:9">
      <c r="A33" s="401" t="s">
        <v>428</v>
      </c>
      <c r="B33" s="405"/>
      <c r="C33" s="405" t="s">
        <v>333</v>
      </c>
      <c r="D33" s="403" t="s">
        <v>669</v>
      </c>
      <c r="E33" s="404" t="s">
        <v>457</v>
      </c>
      <c r="F33" s="405" t="s">
        <v>649</v>
      </c>
      <c r="G33" s="405" t="s">
        <v>80</v>
      </c>
      <c r="H33" s="406">
        <v>3000000</v>
      </c>
      <c r="I33" s="405"/>
    </row>
    <row r="34" spans="1:9">
      <c r="A34" s="401" t="s">
        <v>428</v>
      </c>
      <c r="B34" s="405"/>
      <c r="C34" s="405" t="s">
        <v>333</v>
      </c>
      <c r="D34" s="403" t="s">
        <v>670</v>
      </c>
      <c r="E34" s="404" t="s">
        <v>458</v>
      </c>
      <c r="F34" s="405" t="s">
        <v>621</v>
      </c>
      <c r="G34" s="405" t="s">
        <v>119</v>
      </c>
      <c r="H34" s="406">
        <v>3000000</v>
      </c>
      <c r="I34" s="405"/>
    </row>
    <row r="35" spans="1:9">
      <c r="A35" s="401" t="s">
        <v>428</v>
      </c>
      <c r="B35" s="405"/>
      <c r="C35" s="405" t="s">
        <v>333</v>
      </c>
      <c r="D35" s="403" t="s">
        <v>671</v>
      </c>
      <c r="E35" s="404" t="s">
        <v>459</v>
      </c>
      <c r="F35" s="405" t="s">
        <v>645</v>
      </c>
      <c r="G35" s="405" t="s">
        <v>108</v>
      </c>
      <c r="H35" s="406">
        <v>3000000</v>
      </c>
      <c r="I35" s="405"/>
    </row>
    <row r="36" spans="1:9">
      <c r="A36" s="401" t="s">
        <v>428</v>
      </c>
      <c r="B36" s="405"/>
      <c r="C36" s="405" t="s">
        <v>333</v>
      </c>
      <c r="D36" s="403" t="s">
        <v>672</v>
      </c>
      <c r="E36" s="404" t="s">
        <v>460</v>
      </c>
      <c r="F36" s="405" t="s">
        <v>673</v>
      </c>
      <c r="G36" s="405" t="s">
        <v>129</v>
      </c>
      <c r="H36" s="406">
        <v>3000000</v>
      </c>
      <c r="I36" s="405"/>
    </row>
    <row r="37" spans="1:9">
      <c r="A37" s="401" t="s">
        <v>428</v>
      </c>
      <c r="B37" s="405"/>
      <c r="C37" s="405" t="s">
        <v>333</v>
      </c>
      <c r="D37" s="403" t="s">
        <v>674</v>
      </c>
      <c r="E37" s="404" t="s">
        <v>461</v>
      </c>
      <c r="F37" s="405" t="s">
        <v>675</v>
      </c>
      <c r="G37" s="405" t="s">
        <v>51</v>
      </c>
      <c r="H37" s="406">
        <v>3000000</v>
      </c>
      <c r="I37" s="405"/>
    </row>
    <row r="38" spans="1:9">
      <c r="A38" s="401" t="s">
        <v>428</v>
      </c>
      <c r="B38" s="405"/>
      <c r="C38" s="405" t="s">
        <v>333</v>
      </c>
      <c r="D38" s="403" t="s">
        <v>676</v>
      </c>
      <c r="E38" s="404" t="s">
        <v>462</v>
      </c>
      <c r="F38" s="405" t="s">
        <v>677</v>
      </c>
      <c r="G38" s="405" t="s">
        <v>105</v>
      </c>
      <c r="H38" s="406">
        <v>3000000</v>
      </c>
      <c r="I38" s="405"/>
    </row>
    <row r="39" spans="1:9">
      <c r="A39" s="401" t="s">
        <v>428</v>
      </c>
      <c r="B39" s="405"/>
      <c r="C39" s="405" t="s">
        <v>333</v>
      </c>
      <c r="D39" s="403" t="s">
        <v>678</v>
      </c>
      <c r="E39" s="404" t="s">
        <v>463</v>
      </c>
      <c r="F39" s="405" t="s">
        <v>675</v>
      </c>
      <c r="G39" s="405" t="s">
        <v>51</v>
      </c>
      <c r="H39" s="406">
        <v>3000000</v>
      </c>
      <c r="I39" s="405"/>
    </row>
    <row r="40" spans="1:9">
      <c r="A40" s="401" t="s">
        <v>428</v>
      </c>
      <c r="B40" s="405"/>
      <c r="C40" s="405" t="s">
        <v>333</v>
      </c>
      <c r="D40" s="403" t="s">
        <v>679</v>
      </c>
      <c r="E40" s="404" t="s">
        <v>464</v>
      </c>
      <c r="F40" s="405" t="s">
        <v>647</v>
      </c>
      <c r="G40" s="405" t="s">
        <v>82</v>
      </c>
      <c r="H40" s="406">
        <v>3000000</v>
      </c>
      <c r="I40" s="405"/>
    </row>
    <row r="41" spans="1:9">
      <c r="A41" s="401" t="s">
        <v>428</v>
      </c>
      <c r="B41" s="405"/>
      <c r="C41" s="405" t="s">
        <v>333</v>
      </c>
      <c r="D41" s="403" t="s">
        <v>680</v>
      </c>
      <c r="E41" s="404" t="s">
        <v>465</v>
      </c>
      <c r="F41" s="405" t="s">
        <v>681</v>
      </c>
      <c r="G41" s="405" t="s">
        <v>110</v>
      </c>
      <c r="H41" s="406">
        <v>3000000</v>
      </c>
      <c r="I41" s="405"/>
    </row>
    <row r="42" spans="1:9">
      <c r="A42" s="401" t="s">
        <v>428</v>
      </c>
      <c r="B42" s="405"/>
      <c r="C42" s="405" t="s">
        <v>333</v>
      </c>
      <c r="D42" s="403" t="s">
        <v>682</v>
      </c>
      <c r="E42" s="404" t="s">
        <v>466</v>
      </c>
      <c r="F42" s="405" t="s">
        <v>637</v>
      </c>
      <c r="G42" s="405" t="s">
        <v>97</v>
      </c>
      <c r="H42" s="406">
        <v>3000000</v>
      </c>
      <c r="I42" s="405"/>
    </row>
    <row r="43" spans="1:9">
      <c r="A43" s="401" t="s">
        <v>428</v>
      </c>
      <c r="B43" s="405"/>
      <c r="C43" s="405" t="s">
        <v>333</v>
      </c>
      <c r="D43" s="403" t="s">
        <v>683</v>
      </c>
      <c r="E43" s="404" t="s">
        <v>467</v>
      </c>
      <c r="F43" s="405" t="s">
        <v>673</v>
      </c>
      <c r="G43" s="405" t="s">
        <v>129</v>
      </c>
      <c r="H43" s="406">
        <v>3000000</v>
      </c>
      <c r="I43" s="405"/>
    </row>
    <row r="44" spans="1:9">
      <c r="A44" s="401" t="s">
        <v>428</v>
      </c>
      <c r="B44" s="405"/>
      <c r="C44" s="405" t="s">
        <v>333</v>
      </c>
      <c r="D44" s="403" t="s">
        <v>684</v>
      </c>
      <c r="E44" s="404" t="s">
        <v>468</v>
      </c>
      <c r="F44" s="405" t="s">
        <v>662</v>
      </c>
      <c r="G44" s="405" t="s">
        <v>135</v>
      </c>
      <c r="H44" s="406">
        <v>3000000</v>
      </c>
      <c r="I44" s="405"/>
    </row>
    <row r="45" spans="1:9">
      <c r="A45" s="401" t="s">
        <v>428</v>
      </c>
      <c r="B45" s="405"/>
      <c r="C45" s="405" t="s">
        <v>333</v>
      </c>
      <c r="D45" s="403" t="s">
        <v>685</v>
      </c>
      <c r="E45" s="404" t="s">
        <v>469</v>
      </c>
      <c r="F45" s="405" t="s">
        <v>657</v>
      </c>
      <c r="G45" s="405" t="s">
        <v>58</v>
      </c>
      <c r="H45" s="406">
        <v>3000000</v>
      </c>
      <c r="I45" s="405"/>
    </row>
    <row r="46" spans="1:9">
      <c r="A46" s="401" t="s">
        <v>428</v>
      </c>
      <c r="B46" s="405"/>
      <c r="C46" s="405" t="s">
        <v>333</v>
      </c>
      <c r="D46" s="403" t="s">
        <v>686</v>
      </c>
      <c r="E46" s="404" t="s">
        <v>470</v>
      </c>
      <c r="F46" s="405" t="s">
        <v>639</v>
      </c>
      <c r="G46" s="405" t="s">
        <v>103</v>
      </c>
      <c r="H46" s="406">
        <v>3000000</v>
      </c>
      <c r="I46" s="405"/>
    </row>
    <row r="47" spans="1:9">
      <c r="A47" s="401" t="s">
        <v>428</v>
      </c>
      <c r="B47" s="405"/>
      <c r="C47" s="405" t="s">
        <v>333</v>
      </c>
      <c r="D47" s="403" t="s">
        <v>687</v>
      </c>
      <c r="E47" s="404" t="s">
        <v>471</v>
      </c>
      <c r="F47" s="405" t="s">
        <v>651</v>
      </c>
      <c r="G47" s="405" t="s">
        <v>104</v>
      </c>
      <c r="H47" s="406">
        <v>3000000</v>
      </c>
      <c r="I47" s="405"/>
    </row>
    <row r="48" spans="1:9">
      <c r="A48" s="401" t="s">
        <v>428</v>
      </c>
      <c r="B48" s="405"/>
      <c r="C48" s="405" t="s">
        <v>333</v>
      </c>
      <c r="D48" s="403" t="s">
        <v>688</v>
      </c>
      <c r="E48" s="404" t="s">
        <v>472</v>
      </c>
      <c r="F48" s="405" t="s">
        <v>623</v>
      </c>
      <c r="G48" s="405" t="s">
        <v>49</v>
      </c>
      <c r="H48" s="406">
        <v>3000000</v>
      </c>
      <c r="I48" s="405"/>
    </row>
    <row r="49" spans="1:9">
      <c r="A49" s="401" t="s">
        <v>428</v>
      </c>
      <c r="B49" s="405"/>
      <c r="C49" s="405" t="s">
        <v>333</v>
      </c>
      <c r="D49" s="403" t="s">
        <v>689</v>
      </c>
      <c r="E49" s="404" t="s">
        <v>473</v>
      </c>
      <c r="F49" s="405" t="s">
        <v>647</v>
      </c>
      <c r="G49" s="405" t="s">
        <v>82</v>
      </c>
      <c r="H49" s="406">
        <v>3000000</v>
      </c>
      <c r="I49" s="405"/>
    </row>
    <row r="50" spans="1:9">
      <c r="A50" s="401" t="s">
        <v>428</v>
      </c>
      <c r="B50" s="405"/>
      <c r="C50" s="405" t="s">
        <v>333</v>
      </c>
      <c r="D50" s="403" t="s">
        <v>690</v>
      </c>
      <c r="E50" s="404" t="s">
        <v>474</v>
      </c>
      <c r="F50" s="405" t="s">
        <v>655</v>
      </c>
      <c r="G50" s="405" t="s">
        <v>70</v>
      </c>
      <c r="H50" s="406">
        <v>3000000</v>
      </c>
      <c r="I50" s="405"/>
    </row>
    <row r="51" spans="1:9">
      <c r="A51" s="401" t="s">
        <v>428</v>
      </c>
      <c r="B51" s="405"/>
      <c r="C51" s="405" t="s">
        <v>333</v>
      </c>
      <c r="D51" s="403" t="s">
        <v>691</v>
      </c>
      <c r="E51" s="404" t="s">
        <v>475</v>
      </c>
      <c r="F51" s="405" t="s">
        <v>645</v>
      </c>
      <c r="G51" s="405" t="s">
        <v>108</v>
      </c>
      <c r="H51" s="406">
        <v>3000000</v>
      </c>
      <c r="I51" s="405"/>
    </row>
    <row r="52" spans="1:9">
      <c r="A52" s="401" t="s">
        <v>428</v>
      </c>
      <c r="B52" s="405"/>
      <c r="C52" s="405" t="s">
        <v>333</v>
      </c>
      <c r="D52" s="403" t="s">
        <v>692</v>
      </c>
      <c r="E52" s="404" t="s">
        <v>476</v>
      </c>
      <c r="F52" s="405" t="s">
        <v>693</v>
      </c>
      <c r="G52" s="405" t="s">
        <v>144</v>
      </c>
      <c r="H52" s="406">
        <v>3000000</v>
      </c>
      <c r="I52" s="405"/>
    </row>
    <row r="53" spans="1:9">
      <c r="A53" s="401" t="s">
        <v>428</v>
      </c>
      <c r="B53" s="405"/>
      <c r="C53" s="405" t="s">
        <v>333</v>
      </c>
      <c r="D53" s="403" t="s">
        <v>694</v>
      </c>
      <c r="E53" s="404" t="s">
        <v>477</v>
      </c>
      <c r="F53" s="405" t="s">
        <v>645</v>
      </c>
      <c r="G53" s="405" t="s">
        <v>108</v>
      </c>
      <c r="H53" s="406">
        <v>3000000</v>
      </c>
      <c r="I53" s="405"/>
    </row>
    <row r="54" spans="1:9">
      <c r="A54" s="401" t="s">
        <v>428</v>
      </c>
      <c r="B54" s="405"/>
      <c r="C54" s="405" t="s">
        <v>333</v>
      </c>
      <c r="D54" s="403" t="s">
        <v>695</v>
      </c>
      <c r="E54" s="404" t="s">
        <v>478</v>
      </c>
      <c r="F54" s="405" t="s">
        <v>645</v>
      </c>
      <c r="G54" s="405" t="s">
        <v>108</v>
      </c>
      <c r="H54" s="406">
        <v>3000000</v>
      </c>
      <c r="I54" s="405"/>
    </row>
    <row r="55" spans="1:9">
      <c r="A55" s="401" t="s">
        <v>428</v>
      </c>
      <c r="B55" s="405"/>
      <c r="C55" s="405" t="s">
        <v>333</v>
      </c>
      <c r="D55" s="403" t="s">
        <v>696</v>
      </c>
      <c r="E55" s="404" t="s">
        <v>479</v>
      </c>
      <c r="F55" s="405" t="s">
        <v>675</v>
      </c>
      <c r="G55" s="405" t="s">
        <v>51</v>
      </c>
      <c r="H55" s="406">
        <v>3000000</v>
      </c>
      <c r="I55" s="405"/>
    </row>
    <row r="56" spans="1:9">
      <c r="A56" s="401" t="s">
        <v>428</v>
      </c>
      <c r="B56" s="405"/>
      <c r="C56" s="405" t="s">
        <v>333</v>
      </c>
      <c r="D56" s="403" t="s">
        <v>697</v>
      </c>
      <c r="E56" s="404" t="s">
        <v>480</v>
      </c>
      <c r="F56" s="405" t="s">
        <v>635</v>
      </c>
      <c r="G56" s="405" t="s">
        <v>67</v>
      </c>
      <c r="H56" s="406">
        <v>3000000</v>
      </c>
      <c r="I56" s="405"/>
    </row>
    <row r="57" spans="1:9">
      <c r="A57" s="401" t="s">
        <v>428</v>
      </c>
      <c r="B57" s="405"/>
      <c r="C57" s="405" t="s">
        <v>333</v>
      </c>
      <c r="D57" s="403" t="s">
        <v>698</v>
      </c>
      <c r="E57" s="404" t="s">
        <v>481</v>
      </c>
      <c r="F57" s="405" t="s">
        <v>647</v>
      </c>
      <c r="G57" s="405" t="s">
        <v>82</v>
      </c>
      <c r="H57" s="406">
        <v>3000000</v>
      </c>
      <c r="I57" s="405"/>
    </row>
    <row r="58" spans="1:9">
      <c r="A58" s="401" t="s">
        <v>428</v>
      </c>
      <c r="B58" s="405"/>
      <c r="C58" s="405" t="s">
        <v>333</v>
      </c>
      <c r="D58" s="403" t="s">
        <v>699</v>
      </c>
      <c r="E58" s="404" t="s">
        <v>482</v>
      </c>
      <c r="F58" s="405" t="s">
        <v>700</v>
      </c>
      <c r="G58" s="405" t="s">
        <v>147</v>
      </c>
      <c r="H58" s="406">
        <v>3000000</v>
      </c>
      <c r="I58" s="405"/>
    </row>
    <row r="59" spans="1:9">
      <c r="A59" s="401" t="s">
        <v>428</v>
      </c>
      <c r="B59" s="405"/>
      <c r="C59" s="405" t="s">
        <v>333</v>
      </c>
      <c r="D59" s="403" t="s">
        <v>701</v>
      </c>
      <c r="E59" s="404" t="s">
        <v>483</v>
      </c>
      <c r="F59" s="405" t="s">
        <v>621</v>
      </c>
      <c r="G59" s="405" t="s">
        <v>119</v>
      </c>
      <c r="H59" s="406">
        <v>3000000</v>
      </c>
      <c r="I59" s="405"/>
    </row>
    <row r="60" spans="1:9">
      <c r="A60" s="401" t="s">
        <v>428</v>
      </c>
      <c r="B60" s="405"/>
      <c r="C60" s="405" t="s">
        <v>333</v>
      </c>
      <c r="D60" s="403" t="s">
        <v>702</v>
      </c>
      <c r="E60" s="404" t="s">
        <v>484</v>
      </c>
      <c r="F60" s="405" t="s">
        <v>647</v>
      </c>
      <c r="G60" s="405" t="s">
        <v>82</v>
      </c>
      <c r="H60" s="406">
        <v>3000000</v>
      </c>
      <c r="I60" s="405"/>
    </row>
    <row r="61" spans="1:9">
      <c r="A61" s="401" t="s">
        <v>428</v>
      </c>
      <c r="B61" s="405"/>
      <c r="C61" s="405" t="s">
        <v>333</v>
      </c>
      <c r="D61" s="403" t="s">
        <v>703</v>
      </c>
      <c r="E61" s="404" t="s">
        <v>485</v>
      </c>
      <c r="F61" s="405" t="s">
        <v>649</v>
      </c>
      <c r="G61" s="405" t="s">
        <v>80</v>
      </c>
      <c r="H61" s="406">
        <v>3000000</v>
      </c>
      <c r="I61" s="405"/>
    </row>
    <row r="62" spans="1:9">
      <c r="A62" s="401" t="s">
        <v>428</v>
      </c>
      <c r="B62" s="405"/>
      <c r="C62" s="405" t="s">
        <v>333</v>
      </c>
      <c r="D62" s="403" t="s">
        <v>704</v>
      </c>
      <c r="E62" s="404" t="s">
        <v>486</v>
      </c>
      <c r="F62" s="405" t="s">
        <v>645</v>
      </c>
      <c r="G62" s="405" t="s">
        <v>108</v>
      </c>
      <c r="H62" s="406">
        <v>3000000</v>
      </c>
      <c r="I62" s="405"/>
    </row>
    <row r="63" spans="1:9">
      <c r="A63" s="401" t="s">
        <v>428</v>
      </c>
      <c r="B63" s="405"/>
      <c r="C63" s="405" t="s">
        <v>333</v>
      </c>
      <c r="D63" s="403" t="s">
        <v>705</v>
      </c>
      <c r="E63" s="404" t="s">
        <v>487</v>
      </c>
      <c r="F63" s="405" t="s">
        <v>645</v>
      </c>
      <c r="G63" s="405" t="s">
        <v>108</v>
      </c>
      <c r="H63" s="406">
        <v>3000000</v>
      </c>
      <c r="I63" s="405"/>
    </row>
    <row r="64" spans="1:9">
      <c r="A64" s="401" t="s">
        <v>428</v>
      </c>
      <c r="B64" s="405"/>
      <c r="C64" s="405" t="s">
        <v>333</v>
      </c>
      <c r="D64" s="403" t="s">
        <v>706</v>
      </c>
      <c r="E64" s="404" t="s">
        <v>488</v>
      </c>
      <c r="F64" s="405" t="s">
        <v>626</v>
      </c>
      <c r="G64" s="405" t="s">
        <v>134</v>
      </c>
      <c r="H64" s="406">
        <v>3000000</v>
      </c>
      <c r="I64" s="405"/>
    </row>
    <row r="65" spans="1:9">
      <c r="A65" s="401" t="s">
        <v>428</v>
      </c>
      <c r="B65" s="405"/>
      <c r="C65" s="405" t="s">
        <v>333</v>
      </c>
      <c r="D65" s="403" t="s">
        <v>707</v>
      </c>
      <c r="E65" s="404" t="s">
        <v>489</v>
      </c>
      <c r="F65" s="405" t="s">
        <v>628</v>
      </c>
      <c r="G65" s="405" t="s">
        <v>57</v>
      </c>
      <c r="H65" s="406">
        <v>3000000</v>
      </c>
      <c r="I65" s="405"/>
    </row>
    <row r="66" spans="1:9">
      <c r="A66" s="401" t="s">
        <v>428</v>
      </c>
      <c r="B66" s="405"/>
      <c r="C66" s="405" t="s">
        <v>333</v>
      </c>
      <c r="D66" s="403" t="s">
        <v>708</v>
      </c>
      <c r="E66" s="404" t="s">
        <v>490</v>
      </c>
      <c r="F66" s="405" t="s">
        <v>662</v>
      </c>
      <c r="G66" s="405" t="s">
        <v>135</v>
      </c>
      <c r="H66" s="406">
        <v>3000000</v>
      </c>
      <c r="I66" s="405"/>
    </row>
    <row r="67" spans="1:9">
      <c r="A67" s="401" t="s">
        <v>428</v>
      </c>
      <c r="B67" s="405"/>
      <c r="C67" s="405" t="s">
        <v>333</v>
      </c>
      <c r="D67" s="403" t="s">
        <v>709</v>
      </c>
      <c r="E67" s="404" t="s">
        <v>491</v>
      </c>
      <c r="F67" s="405" t="s">
        <v>639</v>
      </c>
      <c r="G67" s="405" t="s">
        <v>103</v>
      </c>
      <c r="H67" s="406">
        <v>3000000</v>
      </c>
      <c r="I67" s="405"/>
    </row>
    <row r="68" spans="1:9" s="400" customFormat="1" ht="25.15" hidden="1" customHeight="1">
      <c r="A68" s="556" t="s">
        <v>710</v>
      </c>
      <c r="B68" s="557"/>
      <c r="C68" s="557"/>
      <c r="D68" s="557"/>
      <c r="E68" s="557"/>
      <c r="F68" s="557"/>
      <c r="G68" s="558"/>
      <c r="H68" s="407">
        <v>183000000</v>
      </c>
      <c r="I68" s="408"/>
    </row>
    <row r="69" spans="1:9">
      <c r="A69" s="401" t="s">
        <v>493</v>
      </c>
      <c r="B69" s="405"/>
      <c r="C69" s="405" t="s">
        <v>333</v>
      </c>
      <c r="D69" s="403" t="s">
        <v>711</v>
      </c>
      <c r="E69" s="404" t="s">
        <v>492</v>
      </c>
      <c r="F69" s="405" t="s">
        <v>712</v>
      </c>
      <c r="G69" s="405" t="s">
        <v>96</v>
      </c>
      <c r="H69" s="406">
        <v>3000000</v>
      </c>
      <c r="I69" s="405"/>
    </row>
    <row r="70" spans="1:9">
      <c r="A70" s="401" t="s">
        <v>493</v>
      </c>
      <c r="B70" s="405"/>
      <c r="C70" s="405" t="s">
        <v>333</v>
      </c>
      <c r="D70" s="403" t="s">
        <v>713</v>
      </c>
      <c r="E70" s="404" t="s">
        <v>494</v>
      </c>
      <c r="F70" s="405" t="s">
        <v>645</v>
      </c>
      <c r="G70" s="405" t="s">
        <v>108</v>
      </c>
      <c r="H70" s="406">
        <v>3000000</v>
      </c>
      <c r="I70" s="405"/>
    </row>
    <row r="71" spans="1:9">
      <c r="A71" s="401" t="s">
        <v>493</v>
      </c>
      <c r="B71" s="405"/>
      <c r="C71" s="405" t="s">
        <v>333</v>
      </c>
      <c r="D71" s="403" t="s">
        <v>714</v>
      </c>
      <c r="E71" s="404" t="s">
        <v>495</v>
      </c>
      <c r="F71" s="405" t="s">
        <v>677</v>
      </c>
      <c r="G71" s="405" t="s">
        <v>105</v>
      </c>
      <c r="H71" s="406">
        <v>3000000</v>
      </c>
      <c r="I71" s="405"/>
    </row>
    <row r="72" spans="1:9">
      <c r="A72" s="401" t="s">
        <v>493</v>
      </c>
      <c r="B72" s="405"/>
      <c r="C72" s="405" t="s">
        <v>333</v>
      </c>
      <c r="D72" s="403" t="s">
        <v>715</v>
      </c>
      <c r="E72" s="404" t="s">
        <v>496</v>
      </c>
      <c r="F72" s="405" t="s">
        <v>716</v>
      </c>
      <c r="G72" s="405" t="s">
        <v>72</v>
      </c>
      <c r="H72" s="406">
        <v>3000000</v>
      </c>
      <c r="I72" s="405"/>
    </row>
    <row r="73" spans="1:9">
      <c r="A73" s="401" t="s">
        <v>493</v>
      </c>
      <c r="B73" s="405"/>
      <c r="C73" s="405" t="s">
        <v>333</v>
      </c>
      <c r="D73" s="403" t="s">
        <v>717</v>
      </c>
      <c r="E73" s="404" t="s">
        <v>497</v>
      </c>
      <c r="F73" s="405" t="s">
        <v>681</v>
      </c>
      <c r="G73" s="405" t="s">
        <v>110</v>
      </c>
      <c r="H73" s="406">
        <v>3000000</v>
      </c>
      <c r="I73" s="405"/>
    </row>
    <row r="74" spans="1:9">
      <c r="A74" s="401" t="s">
        <v>493</v>
      </c>
      <c r="B74" s="405"/>
      <c r="C74" s="405" t="s">
        <v>333</v>
      </c>
      <c r="D74" s="403" t="s">
        <v>718</v>
      </c>
      <c r="E74" s="404" t="s">
        <v>498</v>
      </c>
      <c r="F74" s="405" t="s">
        <v>647</v>
      </c>
      <c r="G74" s="405" t="s">
        <v>82</v>
      </c>
      <c r="H74" s="406">
        <v>3000000</v>
      </c>
      <c r="I74" s="405"/>
    </row>
    <row r="75" spans="1:9">
      <c r="A75" s="401" t="s">
        <v>493</v>
      </c>
      <c r="B75" s="405"/>
      <c r="C75" s="405" t="s">
        <v>333</v>
      </c>
      <c r="D75" s="403" t="s">
        <v>719</v>
      </c>
      <c r="E75" s="404" t="s">
        <v>499</v>
      </c>
      <c r="F75" s="405" t="s">
        <v>643</v>
      </c>
      <c r="G75" s="405" t="s">
        <v>86</v>
      </c>
      <c r="H75" s="406">
        <v>3000000</v>
      </c>
      <c r="I75" s="405"/>
    </row>
    <row r="76" spans="1:9">
      <c r="A76" s="401" t="s">
        <v>493</v>
      </c>
      <c r="B76" s="405"/>
      <c r="C76" s="405" t="s">
        <v>333</v>
      </c>
      <c r="D76" s="403" t="s">
        <v>720</v>
      </c>
      <c r="E76" s="404" t="s">
        <v>500</v>
      </c>
      <c r="F76" s="405" t="s">
        <v>645</v>
      </c>
      <c r="G76" s="405" t="s">
        <v>108</v>
      </c>
      <c r="H76" s="406">
        <v>3000000</v>
      </c>
      <c r="I76" s="405"/>
    </row>
    <row r="77" spans="1:9">
      <c r="A77" s="401" t="s">
        <v>493</v>
      </c>
      <c r="B77" s="405"/>
      <c r="C77" s="405" t="s">
        <v>333</v>
      </c>
      <c r="D77" s="403" t="s">
        <v>721</v>
      </c>
      <c r="E77" s="404" t="s">
        <v>501</v>
      </c>
      <c r="F77" s="405" t="s">
        <v>649</v>
      </c>
      <c r="G77" s="405" t="s">
        <v>80</v>
      </c>
      <c r="H77" s="406">
        <v>3000000</v>
      </c>
      <c r="I77" s="405"/>
    </row>
    <row r="78" spans="1:9">
      <c r="A78" s="401" t="s">
        <v>493</v>
      </c>
      <c r="B78" s="405"/>
      <c r="C78" s="405" t="s">
        <v>333</v>
      </c>
      <c r="D78" s="403" t="s">
        <v>722</v>
      </c>
      <c r="E78" s="404" t="s">
        <v>502</v>
      </c>
      <c r="F78" s="405" t="s">
        <v>723</v>
      </c>
      <c r="G78" s="405" t="s">
        <v>120</v>
      </c>
      <c r="H78" s="406">
        <v>3000000</v>
      </c>
      <c r="I78" s="405"/>
    </row>
    <row r="79" spans="1:9">
      <c r="A79" s="401" t="s">
        <v>493</v>
      </c>
      <c r="B79" s="405"/>
      <c r="C79" s="405" t="s">
        <v>333</v>
      </c>
      <c r="D79" s="403" t="s">
        <v>724</v>
      </c>
      <c r="E79" s="404" t="s">
        <v>503</v>
      </c>
      <c r="F79" s="405" t="s">
        <v>725</v>
      </c>
      <c r="G79" s="405" t="s">
        <v>504</v>
      </c>
      <c r="H79" s="406">
        <v>3000000</v>
      </c>
      <c r="I79" s="405"/>
    </row>
    <row r="80" spans="1:9" hidden="1">
      <c r="A80" s="401" t="s">
        <v>493</v>
      </c>
      <c r="B80" s="405"/>
      <c r="C80" s="405" t="s">
        <v>436</v>
      </c>
      <c r="D80" s="403" t="s">
        <v>726</v>
      </c>
      <c r="E80" s="404" t="s">
        <v>505</v>
      </c>
      <c r="F80" s="405" t="s">
        <v>727</v>
      </c>
      <c r="G80" s="405" t="s">
        <v>74</v>
      </c>
      <c r="H80" s="406" t="s">
        <v>615</v>
      </c>
      <c r="I80" s="405" t="s">
        <v>631</v>
      </c>
    </row>
    <row r="81" spans="1:9" hidden="1">
      <c r="A81" s="401" t="s">
        <v>493</v>
      </c>
      <c r="B81" s="405"/>
      <c r="C81" s="405" t="s">
        <v>436</v>
      </c>
      <c r="D81" s="403" t="s">
        <v>728</v>
      </c>
      <c r="E81" s="404" t="s">
        <v>506</v>
      </c>
      <c r="F81" s="405" t="s">
        <v>727</v>
      </c>
      <c r="G81" s="405" t="s">
        <v>74</v>
      </c>
      <c r="H81" s="406" t="s">
        <v>615</v>
      </c>
      <c r="I81" s="405" t="s">
        <v>631</v>
      </c>
    </row>
    <row r="82" spans="1:9">
      <c r="A82" s="401" t="s">
        <v>493</v>
      </c>
      <c r="B82" s="405"/>
      <c r="C82" s="405" t="s">
        <v>333</v>
      </c>
      <c r="D82" s="403" t="s">
        <v>729</v>
      </c>
      <c r="E82" s="404" t="s">
        <v>507</v>
      </c>
      <c r="F82" s="405" t="s">
        <v>723</v>
      </c>
      <c r="G82" s="405" t="s">
        <v>120</v>
      </c>
      <c r="H82" s="406">
        <v>3000000</v>
      </c>
      <c r="I82" s="405"/>
    </row>
    <row r="83" spans="1:9">
      <c r="A83" s="401" t="s">
        <v>493</v>
      </c>
      <c r="B83" s="405"/>
      <c r="C83" s="405" t="s">
        <v>333</v>
      </c>
      <c r="D83" s="403" t="s">
        <v>730</v>
      </c>
      <c r="E83" s="404" t="s">
        <v>508</v>
      </c>
      <c r="F83" s="405" t="s">
        <v>731</v>
      </c>
      <c r="G83" s="405" t="s">
        <v>110</v>
      </c>
      <c r="H83" s="406">
        <v>3000000</v>
      </c>
      <c r="I83" s="405"/>
    </row>
    <row r="84" spans="1:9">
      <c r="A84" s="401" t="s">
        <v>493</v>
      </c>
      <c r="B84" s="405"/>
      <c r="C84" s="405" t="s">
        <v>333</v>
      </c>
      <c r="D84" s="403" t="s">
        <v>732</v>
      </c>
      <c r="E84" s="404" t="s">
        <v>509</v>
      </c>
      <c r="F84" s="405" t="s">
        <v>725</v>
      </c>
      <c r="G84" s="405" t="s">
        <v>116</v>
      </c>
      <c r="H84" s="406">
        <v>3000000</v>
      </c>
      <c r="I84" s="405"/>
    </row>
    <row r="85" spans="1:9">
      <c r="A85" s="401" t="s">
        <v>493</v>
      </c>
      <c r="B85" s="405"/>
      <c r="C85" s="405" t="s">
        <v>333</v>
      </c>
      <c r="D85" s="403" t="s">
        <v>733</v>
      </c>
      <c r="E85" s="404" t="s">
        <v>510</v>
      </c>
      <c r="F85" s="405" t="s">
        <v>645</v>
      </c>
      <c r="G85" s="405" t="s">
        <v>108</v>
      </c>
      <c r="H85" s="406">
        <v>3000000</v>
      </c>
      <c r="I85" s="405"/>
    </row>
    <row r="86" spans="1:9">
      <c r="A86" s="401" t="s">
        <v>493</v>
      </c>
      <c r="B86" s="405"/>
      <c r="C86" s="405" t="s">
        <v>333</v>
      </c>
      <c r="D86" s="403" t="s">
        <v>734</v>
      </c>
      <c r="E86" s="404" t="s">
        <v>511</v>
      </c>
      <c r="F86" s="405" t="s">
        <v>731</v>
      </c>
      <c r="G86" s="405" t="s">
        <v>110</v>
      </c>
      <c r="H86" s="406">
        <v>3000000</v>
      </c>
      <c r="I86" s="405"/>
    </row>
    <row r="87" spans="1:9">
      <c r="A87" s="401" t="s">
        <v>493</v>
      </c>
      <c r="B87" s="405"/>
      <c r="C87" s="405" t="s">
        <v>333</v>
      </c>
      <c r="D87" s="403" t="s">
        <v>735</v>
      </c>
      <c r="E87" s="404" t="s">
        <v>512</v>
      </c>
      <c r="F87" s="405" t="s">
        <v>645</v>
      </c>
      <c r="G87" s="405" t="s">
        <v>108</v>
      </c>
      <c r="H87" s="406">
        <v>3000000</v>
      </c>
      <c r="I87" s="405"/>
    </row>
    <row r="88" spans="1:9">
      <c r="A88" s="401" t="s">
        <v>493</v>
      </c>
      <c r="B88" s="405"/>
      <c r="C88" s="405" t="s">
        <v>333</v>
      </c>
      <c r="D88" s="403" t="s">
        <v>736</v>
      </c>
      <c r="E88" s="404" t="s">
        <v>513</v>
      </c>
      <c r="F88" s="405" t="s">
        <v>700</v>
      </c>
      <c r="G88" s="405" t="s">
        <v>147</v>
      </c>
      <c r="H88" s="406">
        <v>3000000</v>
      </c>
      <c r="I88" s="405"/>
    </row>
    <row r="89" spans="1:9">
      <c r="A89" s="401" t="s">
        <v>493</v>
      </c>
      <c r="B89" s="405"/>
      <c r="C89" s="405" t="s">
        <v>333</v>
      </c>
      <c r="D89" s="403" t="s">
        <v>737</v>
      </c>
      <c r="E89" s="404" t="s">
        <v>514</v>
      </c>
      <c r="F89" s="405" t="s">
        <v>655</v>
      </c>
      <c r="G89" s="405" t="s">
        <v>70</v>
      </c>
      <c r="H89" s="406">
        <v>3000000</v>
      </c>
      <c r="I89" s="405"/>
    </row>
    <row r="90" spans="1:9">
      <c r="A90" s="401" t="s">
        <v>493</v>
      </c>
      <c r="B90" s="405"/>
      <c r="C90" s="405" t="s">
        <v>333</v>
      </c>
      <c r="D90" s="403" t="s">
        <v>738</v>
      </c>
      <c r="E90" s="404" t="s">
        <v>515</v>
      </c>
      <c r="F90" s="405" t="s">
        <v>739</v>
      </c>
      <c r="G90" s="405" t="s">
        <v>87</v>
      </c>
      <c r="H90" s="406">
        <v>3000000</v>
      </c>
      <c r="I90" s="405"/>
    </row>
    <row r="91" spans="1:9">
      <c r="A91" s="401" t="s">
        <v>493</v>
      </c>
      <c r="B91" s="405"/>
      <c r="C91" s="405" t="s">
        <v>333</v>
      </c>
      <c r="D91" s="403" t="s">
        <v>740</v>
      </c>
      <c r="E91" s="404" t="s">
        <v>516</v>
      </c>
      <c r="F91" s="405" t="s">
        <v>723</v>
      </c>
      <c r="G91" s="405" t="s">
        <v>120</v>
      </c>
      <c r="H91" s="406">
        <v>3000000</v>
      </c>
      <c r="I91" s="405"/>
    </row>
    <row r="92" spans="1:9">
      <c r="A92" s="401" t="s">
        <v>493</v>
      </c>
      <c r="B92" s="405"/>
      <c r="C92" s="405" t="s">
        <v>333</v>
      </c>
      <c r="D92" s="403" t="s">
        <v>741</v>
      </c>
      <c r="E92" s="404" t="s">
        <v>517</v>
      </c>
      <c r="F92" s="405" t="s">
        <v>645</v>
      </c>
      <c r="G92" s="405" t="s">
        <v>108</v>
      </c>
      <c r="H92" s="406">
        <v>3000000</v>
      </c>
      <c r="I92" s="405"/>
    </row>
    <row r="93" spans="1:9" hidden="1">
      <c r="A93" s="401" t="s">
        <v>493</v>
      </c>
      <c r="B93" s="405"/>
      <c r="C93" s="405" t="s">
        <v>436</v>
      </c>
      <c r="D93" s="403" t="s">
        <v>742</v>
      </c>
      <c r="E93" s="404" t="s">
        <v>518</v>
      </c>
      <c r="F93" s="405" t="s">
        <v>727</v>
      </c>
      <c r="G93" s="405" t="s">
        <v>74</v>
      </c>
      <c r="H93" s="406" t="s">
        <v>615</v>
      </c>
      <c r="I93" s="405" t="s">
        <v>631</v>
      </c>
    </row>
    <row r="94" spans="1:9">
      <c r="A94" s="401" t="s">
        <v>493</v>
      </c>
      <c r="B94" s="405"/>
      <c r="C94" s="405" t="s">
        <v>333</v>
      </c>
      <c r="D94" s="403" t="s">
        <v>743</v>
      </c>
      <c r="E94" s="404" t="s">
        <v>519</v>
      </c>
      <c r="F94" s="405" t="s">
        <v>649</v>
      </c>
      <c r="G94" s="405" t="s">
        <v>80</v>
      </c>
      <c r="H94" s="406">
        <v>3000000</v>
      </c>
      <c r="I94" s="405"/>
    </row>
    <row r="95" spans="1:9">
      <c r="A95" s="401" t="s">
        <v>493</v>
      </c>
      <c r="B95" s="405"/>
      <c r="C95" s="405" t="s">
        <v>333</v>
      </c>
      <c r="D95" s="403" t="s">
        <v>744</v>
      </c>
      <c r="E95" s="404" t="s">
        <v>520</v>
      </c>
      <c r="F95" s="405" t="s">
        <v>626</v>
      </c>
      <c r="G95" s="405" t="s">
        <v>134</v>
      </c>
      <c r="H95" s="406">
        <v>3000000</v>
      </c>
      <c r="I95" s="405"/>
    </row>
    <row r="96" spans="1:9">
      <c r="A96" s="401" t="s">
        <v>493</v>
      </c>
      <c r="B96" s="405"/>
      <c r="C96" s="405" t="s">
        <v>333</v>
      </c>
      <c r="D96" s="403" t="s">
        <v>745</v>
      </c>
      <c r="E96" s="404" t="s">
        <v>521</v>
      </c>
      <c r="F96" s="405" t="s">
        <v>677</v>
      </c>
      <c r="G96" s="405" t="s">
        <v>105</v>
      </c>
      <c r="H96" s="406">
        <v>3000000</v>
      </c>
      <c r="I96" s="405"/>
    </row>
    <row r="97" spans="1:9">
      <c r="A97" s="401" t="s">
        <v>493</v>
      </c>
      <c r="B97" s="405"/>
      <c r="C97" s="405" t="s">
        <v>333</v>
      </c>
      <c r="D97" s="403" t="s">
        <v>746</v>
      </c>
      <c r="E97" s="404" t="s">
        <v>522</v>
      </c>
      <c r="F97" s="405" t="s">
        <v>645</v>
      </c>
      <c r="G97" s="405" t="s">
        <v>108</v>
      </c>
      <c r="H97" s="406">
        <v>3000000</v>
      </c>
      <c r="I97" s="405"/>
    </row>
    <row r="98" spans="1:9">
      <c r="A98" s="401" t="s">
        <v>493</v>
      </c>
      <c r="B98" s="405"/>
      <c r="C98" s="405" t="s">
        <v>333</v>
      </c>
      <c r="D98" s="403" t="s">
        <v>747</v>
      </c>
      <c r="E98" s="404" t="s">
        <v>523</v>
      </c>
      <c r="F98" s="405" t="s">
        <v>748</v>
      </c>
      <c r="G98" s="405" t="s">
        <v>90</v>
      </c>
      <c r="H98" s="406">
        <v>3000000</v>
      </c>
      <c r="I98" s="405"/>
    </row>
    <row r="99" spans="1:9">
      <c r="A99" s="401" t="s">
        <v>493</v>
      </c>
      <c r="B99" s="405"/>
      <c r="C99" s="405" t="s">
        <v>333</v>
      </c>
      <c r="D99" s="403" t="s">
        <v>749</v>
      </c>
      <c r="E99" s="404" t="s">
        <v>524</v>
      </c>
      <c r="F99" s="405" t="s">
        <v>739</v>
      </c>
      <c r="G99" s="405" t="s">
        <v>87</v>
      </c>
      <c r="H99" s="406">
        <v>3000000</v>
      </c>
      <c r="I99" s="405"/>
    </row>
    <row r="100" spans="1:9">
      <c r="A100" s="401" t="s">
        <v>493</v>
      </c>
      <c r="B100" s="405"/>
      <c r="C100" s="405" t="s">
        <v>333</v>
      </c>
      <c r="D100" s="403" t="s">
        <v>750</v>
      </c>
      <c r="E100" s="404" t="s">
        <v>525</v>
      </c>
      <c r="F100" s="405" t="s">
        <v>645</v>
      </c>
      <c r="G100" s="405" t="s">
        <v>108</v>
      </c>
      <c r="H100" s="406">
        <v>3000000</v>
      </c>
      <c r="I100" s="405"/>
    </row>
    <row r="101" spans="1:9" hidden="1">
      <c r="A101" s="401" t="s">
        <v>493</v>
      </c>
      <c r="B101" s="405"/>
      <c r="C101" s="405" t="s">
        <v>436</v>
      </c>
      <c r="D101" s="403" t="s">
        <v>751</v>
      </c>
      <c r="E101" s="404" t="s">
        <v>526</v>
      </c>
      <c r="F101" s="405" t="s">
        <v>727</v>
      </c>
      <c r="G101" s="405" t="s">
        <v>74</v>
      </c>
      <c r="H101" s="406" t="s">
        <v>615</v>
      </c>
      <c r="I101" s="405" t="s">
        <v>631</v>
      </c>
    </row>
    <row r="102" spans="1:9">
      <c r="A102" s="401" t="s">
        <v>493</v>
      </c>
      <c r="B102" s="405"/>
      <c r="C102" s="405" t="s">
        <v>333</v>
      </c>
      <c r="D102" s="403" t="s">
        <v>752</v>
      </c>
      <c r="E102" s="404" t="s">
        <v>527</v>
      </c>
      <c r="F102" s="405" t="s">
        <v>739</v>
      </c>
      <c r="G102" s="405" t="s">
        <v>87</v>
      </c>
      <c r="H102" s="406">
        <v>3000000</v>
      </c>
      <c r="I102" s="405"/>
    </row>
    <row r="103" spans="1:9">
      <c r="A103" s="401" t="s">
        <v>493</v>
      </c>
      <c r="B103" s="405"/>
      <c r="C103" s="405" t="s">
        <v>333</v>
      </c>
      <c r="D103" s="403" t="s">
        <v>753</v>
      </c>
      <c r="E103" s="404" t="s">
        <v>528</v>
      </c>
      <c r="F103" s="405" t="s">
        <v>716</v>
      </c>
      <c r="G103" s="405" t="s">
        <v>72</v>
      </c>
      <c r="H103" s="406">
        <v>3000000</v>
      </c>
      <c r="I103" s="405"/>
    </row>
    <row r="104" spans="1:9">
      <c r="A104" s="401" t="s">
        <v>493</v>
      </c>
      <c r="B104" s="405"/>
      <c r="C104" s="405" t="s">
        <v>333</v>
      </c>
      <c r="D104" s="403" t="s">
        <v>754</v>
      </c>
      <c r="E104" s="404" t="s">
        <v>529</v>
      </c>
      <c r="F104" s="405" t="s">
        <v>657</v>
      </c>
      <c r="G104" s="405" t="s">
        <v>58</v>
      </c>
      <c r="H104" s="406">
        <v>3000000</v>
      </c>
      <c r="I104" s="405"/>
    </row>
    <row r="105" spans="1:9">
      <c r="A105" s="401" t="s">
        <v>493</v>
      </c>
      <c r="B105" s="405"/>
      <c r="C105" s="405" t="s">
        <v>333</v>
      </c>
      <c r="D105" s="403" t="s">
        <v>755</v>
      </c>
      <c r="E105" s="404" t="s">
        <v>530</v>
      </c>
      <c r="F105" s="405" t="s">
        <v>739</v>
      </c>
      <c r="G105" s="405" t="s">
        <v>87</v>
      </c>
      <c r="H105" s="406">
        <v>3000000</v>
      </c>
      <c r="I105" s="405"/>
    </row>
    <row r="106" spans="1:9">
      <c r="A106" s="401" t="s">
        <v>493</v>
      </c>
      <c r="B106" s="405"/>
      <c r="C106" s="405" t="s">
        <v>333</v>
      </c>
      <c r="D106" s="403" t="s">
        <v>756</v>
      </c>
      <c r="E106" s="404" t="s">
        <v>531</v>
      </c>
      <c r="F106" s="405" t="s">
        <v>716</v>
      </c>
      <c r="G106" s="405" t="s">
        <v>72</v>
      </c>
      <c r="H106" s="406">
        <v>3000000</v>
      </c>
      <c r="I106" s="405"/>
    </row>
    <row r="107" spans="1:9">
      <c r="A107" s="401" t="s">
        <v>493</v>
      </c>
      <c r="B107" s="405"/>
      <c r="C107" s="405" t="s">
        <v>333</v>
      </c>
      <c r="D107" s="403" t="s">
        <v>757</v>
      </c>
      <c r="E107" s="404" t="s">
        <v>532</v>
      </c>
      <c r="F107" s="405" t="s">
        <v>700</v>
      </c>
      <c r="G107" s="405" t="s">
        <v>147</v>
      </c>
      <c r="H107" s="406">
        <v>3000000</v>
      </c>
      <c r="I107" s="405"/>
    </row>
    <row r="108" spans="1:9">
      <c r="A108" s="401" t="s">
        <v>493</v>
      </c>
      <c r="B108" s="405"/>
      <c r="C108" s="405" t="s">
        <v>333</v>
      </c>
      <c r="D108" s="403" t="s">
        <v>758</v>
      </c>
      <c r="E108" s="404" t="s">
        <v>533</v>
      </c>
      <c r="F108" s="405" t="s">
        <v>723</v>
      </c>
      <c r="G108" s="405" t="s">
        <v>120</v>
      </c>
      <c r="H108" s="406">
        <v>3000000</v>
      </c>
      <c r="I108" s="405"/>
    </row>
    <row r="109" spans="1:9">
      <c r="A109" s="401" t="s">
        <v>493</v>
      </c>
      <c r="B109" s="405"/>
      <c r="C109" s="405" t="s">
        <v>333</v>
      </c>
      <c r="D109" s="403" t="s">
        <v>759</v>
      </c>
      <c r="E109" s="404" t="s">
        <v>414</v>
      </c>
      <c r="F109" s="405" t="s">
        <v>739</v>
      </c>
      <c r="G109" s="405" t="s">
        <v>87</v>
      </c>
      <c r="H109" s="406">
        <v>3000000</v>
      </c>
      <c r="I109" s="405"/>
    </row>
    <row r="110" spans="1:9">
      <c r="A110" s="401" t="s">
        <v>493</v>
      </c>
      <c r="B110" s="405"/>
      <c r="C110" s="405" t="s">
        <v>333</v>
      </c>
      <c r="D110" s="403" t="s">
        <v>760</v>
      </c>
      <c r="E110" s="404" t="s">
        <v>534</v>
      </c>
      <c r="F110" s="405" t="s">
        <v>649</v>
      </c>
      <c r="G110" s="405" t="s">
        <v>80</v>
      </c>
      <c r="H110" s="406">
        <v>3000000</v>
      </c>
      <c r="I110" s="405"/>
    </row>
    <row r="111" spans="1:9">
      <c r="A111" s="401" t="s">
        <v>493</v>
      </c>
      <c r="B111" s="405"/>
      <c r="C111" s="405" t="s">
        <v>333</v>
      </c>
      <c r="D111" s="403" t="s">
        <v>761</v>
      </c>
      <c r="E111" s="404" t="s">
        <v>535</v>
      </c>
      <c r="F111" s="405" t="s">
        <v>739</v>
      </c>
      <c r="G111" s="405" t="s">
        <v>87</v>
      </c>
      <c r="H111" s="406">
        <v>3000000</v>
      </c>
      <c r="I111" s="405"/>
    </row>
    <row r="112" spans="1:9">
      <c r="A112" s="401" t="s">
        <v>493</v>
      </c>
      <c r="B112" s="405"/>
      <c r="C112" s="405" t="s">
        <v>333</v>
      </c>
      <c r="D112" s="403" t="s">
        <v>762</v>
      </c>
      <c r="E112" s="404" t="s">
        <v>536</v>
      </c>
      <c r="F112" s="405" t="s">
        <v>723</v>
      </c>
      <c r="G112" s="405" t="s">
        <v>120</v>
      </c>
      <c r="H112" s="406">
        <v>3000000</v>
      </c>
      <c r="I112" s="405"/>
    </row>
    <row r="113" spans="1:9">
      <c r="A113" s="401" t="s">
        <v>493</v>
      </c>
      <c r="B113" s="405"/>
      <c r="C113" s="405" t="s">
        <v>333</v>
      </c>
      <c r="D113" s="403" t="s">
        <v>763</v>
      </c>
      <c r="E113" s="404" t="s">
        <v>537</v>
      </c>
      <c r="F113" s="405" t="s">
        <v>645</v>
      </c>
      <c r="G113" s="405" t="s">
        <v>108</v>
      </c>
      <c r="H113" s="406">
        <v>3000000</v>
      </c>
      <c r="I113" s="405"/>
    </row>
    <row r="114" spans="1:9">
      <c r="A114" s="401" t="s">
        <v>493</v>
      </c>
      <c r="B114" s="405"/>
      <c r="C114" s="405" t="s">
        <v>333</v>
      </c>
      <c r="D114" s="403" t="s">
        <v>764</v>
      </c>
      <c r="E114" s="404" t="s">
        <v>538</v>
      </c>
      <c r="F114" s="405" t="s">
        <v>649</v>
      </c>
      <c r="G114" s="405" t="s">
        <v>80</v>
      </c>
      <c r="H114" s="406">
        <v>3000000</v>
      </c>
      <c r="I114" s="405"/>
    </row>
    <row r="115" spans="1:9">
      <c r="A115" s="401" t="s">
        <v>493</v>
      </c>
      <c r="B115" s="405"/>
      <c r="C115" s="405" t="s">
        <v>333</v>
      </c>
      <c r="D115" s="403" t="s">
        <v>765</v>
      </c>
      <c r="E115" s="404" t="s">
        <v>539</v>
      </c>
      <c r="F115" s="405" t="s">
        <v>619</v>
      </c>
      <c r="G115" s="405" t="s">
        <v>81</v>
      </c>
      <c r="H115" s="406">
        <v>3000000</v>
      </c>
      <c r="I115" s="405"/>
    </row>
    <row r="116" spans="1:9">
      <c r="A116" s="401" t="s">
        <v>493</v>
      </c>
      <c r="B116" s="405"/>
      <c r="C116" s="405" t="s">
        <v>333</v>
      </c>
      <c r="D116" s="403" t="s">
        <v>766</v>
      </c>
      <c r="E116" s="404" t="s">
        <v>540</v>
      </c>
      <c r="F116" s="405" t="s">
        <v>649</v>
      </c>
      <c r="G116" s="405" t="s">
        <v>80</v>
      </c>
      <c r="H116" s="406">
        <v>3000000</v>
      </c>
      <c r="I116" s="405"/>
    </row>
    <row r="117" spans="1:9" hidden="1">
      <c r="A117" s="401" t="s">
        <v>493</v>
      </c>
      <c r="B117" s="405"/>
      <c r="C117" s="405" t="s">
        <v>436</v>
      </c>
      <c r="D117" s="403" t="s">
        <v>767</v>
      </c>
      <c r="E117" s="404" t="s">
        <v>541</v>
      </c>
      <c r="F117" s="405" t="s">
        <v>727</v>
      </c>
      <c r="G117" s="405" t="s">
        <v>74</v>
      </c>
      <c r="H117" s="406" t="s">
        <v>615</v>
      </c>
      <c r="I117" s="405" t="s">
        <v>631</v>
      </c>
    </row>
    <row r="118" spans="1:9">
      <c r="A118" s="401" t="s">
        <v>493</v>
      </c>
      <c r="B118" s="405"/>
      <c r="C118" s="405" t="s">
        <v>333</v>
      </c>
      <c r="D118" s="403" t="s">
        <v>768</v>
      </c>
      <c r="E118" s="404" t="s">
        <v>542</v>
      </c>
      <c r="F118" s="405" t="s">
        <v>677</v>
      </c>
      <c r="G118" s="405" t="s">
        <v>105</v>
      </c>
      <c r="H118" s="406">
        <v>3000000</v>
      </c>
      <c r="I118" s="405"/>
    </row>
    <row r="119" spans="1:9">
      <c r="A119" s="401" t="s">
        <v>493</v>
      </c>
      <c r="B119" s="405"/>
      <c r="C119" s="405" t="s">
        <v>333</v>
      </c>
      <c r="D119" s="403" t="s">
        <v>769</v>
      </c>
      <c r="E119" s="404" t="s">
        <v>543</v>
      </c>
      <c r="F119" s="405" t="s">
        <v>677</v>
      </c>
      <c r="G119" s="405" t="s">
        <v>105</v>
      </c>
      <c r="H119" s="406">
        <v>3000000</v>
      </c>
      <c r="I119" s="405"/>
    </row>
    <row r="120" spans="1:9">
      <c r="A120" s="401" t="s">
        <v>493</v>
      </c>
      <c r="B120" s="405"/>
      <c r="C120" s="405" t="s">
        <v>333</v>
      </c>
      <c r="D120" s="403" t="s">
        <v>770</v>
      </c>
      <c r="E120" s="404" t="s">
        <v>544</v>
      </c>
      <c r="F120" s="405" t="s">
        <v>725</v>
      </c>
      <c r="G120" s="405" t="s">
        <v>116</v>
      </c>
      <c r="H120" s="406">
        <v>3000000</v>
      </c>
      <c r="I120" s="405"/>
    </row>
    <row r="121" spans="1:9">
      <c r="A121" s="401" t="s">
        <v>493</v>
      </c>
      <c r="B121" s="405"/>
      <c r="C121" s="405" t="s">
        <v>333</v>
      </c>
      <c r="D121" s="403" t="s">
        <v>771</v>
      </c>
      <c r="E121" s="404" t="s">
        <v>545</v>
      </c>
      <c r="F121" s="405" t="s">
        <v>739</v>
      </c>
      <c r="G121" s="405" t="s">
        <v>87</v>
      </c>
      <c r="H121" s="406">
        <v>3000000</v>
      </c>
      <c r="I121" s="405"/>
    </row>
    <row r="122" spans="1:9">
      <c r="A122" s="401" t="s">
        <v>493</v>
      </c>
      <c r="B122" s="405"/>
      <c r="C122" s="405" t="s">
        <v>333</v>
      </c>
      <c r="D122" s="403" t="s">
        <v>772</v>
      </c>
      <c r="E122" s="404" t="s">
        <v>546</v>
      </c>
      <c r="F122" s="405" t="s">
        <v>655</v>
      </c>
      <c r="G122" s="405" t="s">
        <v>70</v>
      </c>
      <c r="H122" s="406">
        <v>3000000</v>
      </c>
      <c r="I122" s="405"/>
    </row>
    <row r="123" spans="1:9">
      <c r="A123" s="401" t="s">
        <v>493</v>
      </c>
      <c r="B123" s="405"/>
      <c r="C123" s="405" t="s">
        <v>333</v>
      </c>
      <c r="D123" s="403" t="s">
        <v>773</v>
      </c>
      <c r="E123" s="404" t="s">
        <v>547</v>
      </c>
      <c r="F123" s="405" t="s">
        <v>645</v>
      </c>
      <c r="G123" s="405" t="s">
        <v>108</v>
      </c>
      <c r="H123" s="406">
        <v>3000000</v>
      </c>
      <c r="I123" s="405"/>
    </row>
    <row r="124" spans="1:9">
      <c r="A124" s="401" t="s">
        <v>493</v>
      </c>
      <c r="B124" s="405"/>
      <c r="C124" s="405" t="s">
        <v>333</v>
      </c>
      <c r="D124" s="403" t="s">
        <v>774</v>
      </c>
      <c r="E124" s="404" t="s">
        <v>548</v>
      </c>
      <c r="F124" s="405" t="s">
        <v>712</v>
      </c>
      <c r="G124" s="405" t="s">
        <v>96</v>
      </c>
      <c r="H124" s="406">
        <v>3000000</v>
      </c>
      <c r="I124" s="405"/>
    </row>
    <row r="125" spans="1:9" s="400" customFormat="1" ht="25.15" hidden="1" customHeight="1">
      <c r="A125" s="556" t="s">
        <v>775</v>
      </c>
      <c r="B125" s="557"/>
      <c r="C125" s="557"/>
      <c r="D125" s="557"/>
      <c r="E125" s="557"/>
      <c r="F125" s="557"/>
      <c r="G125" s="558"/>
      <c r="H125" s="407">
        <v>153000000</v>
      </c>
      <c r="I125" s="408"/>
    </row>
    <row r="126" spans="1:9" hidden="1">
      <c r="A126" s="401" t="s">
        <v>776</v>
      </c>
      <c r="B126" s="405"/>
      <c r="C126" s="405" t="s">
        <v>333</v>
      </c>
      <c r="D126" s="403" t="s">
        <v>777</v>
      </c>
      <c r="E126" s="404" t="s">
        <v>549</v>
      </c>
      <c r="F126" s="405" t="s">
        <v>626</v>
      </c>
      <c r="G126" s="405" t="s">
        <v>134</v>
      </c>
      <c r="H126" s="406">
        <v>2000000</v>
      </c>
      <c r="I126" s="405"/>
    </row>
    <row r="127" spans="1:9" hidden="1">
      <c r="A127" s="401" t="s">
        <v>776</v>
      </c>
      <c r="B127" s="405"/>
      <c r="C127" s="405" t="s">
        <v>333</v>
      </c>
      <c r="D127" s="403" t="s">
        <v>778</v>
      </c>
      <c r="E127" s="404" t="s">
        <v>550</v>
      </c>
      <c r="F127" s="405" t="s">
        <v>621</v>
      </c>
      <c r="G127" s="405" t="s">
        <v>119</v>
      </c>
      <c r="H127" s="406">
        <v>2000000</v>
      </c>
      <c r="I127" s="405"/>
    </row>
    <row r="128" spans="1:9" hidden="1">
      <c r="A128" s="401" t="s">
        <v>776</v>
      </c>
      <c r="B128" s="405"/>
      <c r="C128" s="405" t="s">
        <v>201</v>
      </c>
      <c r="D128" s="403" t="s">
        <v>779</v>
      </c>
      <c r="E128" s="404" t="s">
        <v>551</v>
      </c>
      <c r="F128" s="405" t="s">
        <v>221</v>
      </c>
      <c r="G128" s="405" t="s">
        <v>97</v>
      </c>
      <c r="H128" s="406" t="s">
        <v>615</v>
      </c>
      <c r="I128" s="405"/>
    </row>
    <row r="129" spans="1:9" hidden="1">
      <c r="A129" s="401" t="s">
        <v>776</v>
      </c>
      <c r="B129" s="405"/>
      <c r="C129" s="405" t="s">
        <v>333</v>
      </c>
      <c r="D129" s="403" t="s">
        <v>780</v>
      </c>
      <c r="E129" s="404" t="s">
        <v>552</v>
      </c>
      <c r="F129" s="405" t="s">
        <v>626</v>
      </c>
      <c r="G129" s="405" t="s">
        <v>134</v>
      </c>
      <c r="H129" s="406">
        <v>2000000</v>
      </c>
      <c r="I129" s="405"/>
    </row>
    <row r="130" spans="1:9" hidden="1">
      <c r="A130" s="401" t="s">
        <v>776</v>
      </c>
      <c r="B130" s="405"/>
      <c r="C130" s="405" t="s">
        <v>333</v>
      </c>
      <c r="D130" s="403" t="s">
        <v>781</v>
      </c>
      <c r="E130" s="404" t="s">
        <v>553</v>
      </c>
      <c r="F130" s="405" t="s">
        <v>628</v>
      </c>
      <c r="G130" s="405" t="s">
        <v>57</v>
      </c>
      <c r="H130" s="406">
        <v>2000000</v>
      </c>
      <c r="I130" s="405"/>
    </row>
    <row r="131" spans="1:9" hidden="1">
      <c r="A131" s="401" t="s">
        <v>776</v>
      </c>
      <c r="B131" s="405"/>
      <c r="C131" s="405" t="s">
        <v>333</v>
      </c>
      <c r="D131" s="403" t="s">
        <v>782</v>
      </c>
      <c r="E131" s="404" t="s">
        <v>554</v>
      </c>
      <c r="F131" s="405" t="s">
        <v>626</v>
      </c>
      <c r="G131" s="405" t="s">
        <v>134</v>
      </c>
      <c r="H131" s="406">
        <v>2000000</v>
      </c>
      <c r="I131" s="405"/>
    </row>
    <row r="132" spans="1:9" hidden="1">
      <c r="A132" s="401" t="s">
        <v>776</v>
      </c>
      <c r="B132" s="405"/>
      <c r="C132" s="405" t="s">
        <v>333</v>
      </c>
      <c r="D132" s="403" t="s">
        <v>783</v>
      </c>
      <c r="E132" s="404" t="s">
        <v>555</v>
      </c>
      <c r="F132" s="405" t="s">
        <v>657</v>
      </c>
      <c r="G132" s="405" t="s">
        <v>58</v>
      </c>
      <c r="H132" s="406">
        <v>2000000</v>
      </c>
      <c r="I132" s="405"/>
    </row>
    <row r="133" spans="1:9" hidden="1">
      <c r="A133" s="401" t="s">
        <v>776</v>
      </c>
      <c r="B133" s="405"/>
      <c r="C133" s="405" t="s">
        <v>436</v>
      </c>
      <c r="D133" s="403" t="s">
        <v>784</v>
      </c>
      <c r="E133" s="404" t="s">
        <v>556</v>
      </c>
      <c r="F133" s="405" t="s">
        <v>785</v>
      </c>
      <c r="G133" s="405" t="s">
        <v>54</v>
      </c>
      <c r="H133" s="406" t="s">
        <v>615</v>
      </c>
      <c r="I133" s="405" t="s">
        <v>631</v>
      </c>
    </row>
    <row r="134" spans="1:9" hidden="1">
      <c r="A134" s="401" t="s">
        <v>776</v>
      </c>
      <c r="B134" s="405"/>
      <c r="C134" s="405" t="s">
        <v>333</v>
      </c>
      <c r="D134" s="403" t="s">
        <v>786</v>
      </c>
      <c r="E134" s="404" t="s">
        <v>557</v>
      </c>
      <c r="F134" s="405" t="s">
        <v>628</v>
      </c>
      <c r="G134" s="405" t="s">
        <v>57</v>
      </c>
      <c r="H134" s="406">
        <v>2000000</v>
      </c>
      <c r="I134" s="405"/>
    </row>
    <row r="135" spans="1:9" hidden="1">
      <c r="A135" s="401" t="s">
        <v>776</v>
      </c>
      <c r="B135" s="405"/>
      <c r="C135" s="405" t="s">
        <v>333</v>
      </c>
      <c r="D135" s="403" t="s">
        <v>787</v>
      </c>
      <c r="E135" s="404" t="s">
        <v>558</v>
      </c>
      <c r="F135" s="405" t="s">
        <v>651</v>
      </c>
      <c r="G135" s="405" t="s">
        <v>104</v>
      </c>
      <c r="H135" s="406">
        <v>2000000</v>
      </c>
      <c r="I135" s="405"/>
    </row>
    <row r="136" spans="1:9" hidden="1">
      <c r="A136" s="401" t="s">
        <v>776</v>
      </c>
      <c r="B136" s="405"/>
      <c r="C136" s="405" t="s">
        <v>333</v>
      </c>
      <c r="D136" s="403" t="s">
        <v>788</v>
      </c>
      <c r="E136" s="404" t="s">
        <v>559</v>
      </c>
      <c r="F136" s="405" t="s">
        <v>789</v>
      </c>
      <c r="G136" s="405" t="s">
        <v>74</v>
      </c>
      <c r="H136" s="406">
        <v>2000000</v>
      </c>
      <c r="I136" s="405"/>
    </row>
    <row r="137" spans="1:9" hidden="1">
      <c r="A137" s="401" t="s">
        <v>776</v>
      </c>
      <c r="B137" s="405"/>
      <c r="C137" s="405" t="s">
        <v>333</v>
      </c>
      <c r="D137" s="403" t="s">
        <v>790</v>
      </c>
      <c r="E137" s="404" t="s">
        <v>560</v>
      </c>
      <c r="F137" s="405" t="s">
        <v>657</v>
      </c>
      <c r="G137" s="405" t="s">
        <v>58</v>
      </c>
      <c r="H137" s="406">
        <v>2000000</v>
      </c>
      <c r="I137" s="405"/>
    </row>
    <row r="138" spans="1:9" hidden="1">
      <c r="A138" s="401" t="s">
        <v>776</v>
      </c>
      <c r="B138" s="405"/>
      <c r="C138" s="405" t="s">
        <v>333</v>
      </c>
      <c r="D138" s="403" t="s">
        <v>791</v>
      </c>
      <c r="E138" s="404" t="s">
        <v>561</v>
      </c>
      <c r="F138" s="405" t="s">
        <v>651</v>
      </c>
      <c r="G138" s="405" t="s">
        <v>104</v>
      </c>
      <c r="H138" s="406">
        <v>2000000</v>
      </c>
      <c r="I138" s="405"/>
    </row>
    <row r="139" spans="1:9" hidden="1">
      <c r="A139" s="401" t="s">
        <v>776</v>
      </c>
      <c r="B139" s="405"/>
      <c r="C139" s="405" t="s">
        <v>333</v>
      </c>
      <c r="D139" s="403" t="s">
        <v>792</v>
      </c>
      <c r="E139" s="404" t="s">
        <v>562</v>
      </c>
      <c r="F139" s="405" t="s">
        <v>628</v>
      </c>
      <c r="G139" s="405" t="s">
        <v>57</v>
      </c>
      <c r="H139" s="406">
        <v>2000000</v>
      </c>
      <c r="I139" s="405"/>
    </row>
    <row r="140" spans="1:9" hidden="1">
      <c r="A140" s="401" t="s">
        <v>776</v>
      </c>
      <c r="B140" s="405"/>
      <c r="C140" s="405" t="s">
        <v>333</v>
      </c>
      <c r="D140" s="403" t="s">
        <v>793</v>
      </c>
      <c r="E140" s="404" t="s">
        <v>563</v>
      </c>
      <c r="F140" s="405" t="s">
        <v>723</v>
      </c>
      <c r="G140" s="405" t="s">
        <v>120</v>
      </c>
      <c r="H140" s="406">
        <v>2000000</v>
      </c>
      <c r="I140" s="405"/>
    </row>
    <row r="141" spans="1:9" hidden="1">
      <c r="A141" s="401" t="s">
        <v>776</v>
      </c>
      <c r="B141" s="405"/>
      <c r="C141" s="405" t="s">
        <v>333</v>
      </c>
      <c r="D141" s="403" t="s">
        <v>794</v>
      </c>
      <c r="E141" s="404" t="s">
        <v>564</v>
      </c>
      <c r="F141" s="405" t="s">
        <v>675</v>
      </c>
      <c r="G141" s="405" t="s">
        <v>51</v>
      </c>
      <c r="H141" s="406">
        <v>2000000</v>
      </c>
      <c r="I141" s="405"/>
    </row>
    <row r="142" spans="1:9" hidden="1">
      <c r="A142" s="401" t="s">
        <v>776</v>
      </c>
      <c r="B142" s="405"/>
      <c r="C142" s="405" t="s">
        <v>333</v>
      </c>
      <c r="D142" s="403" t="s">
        <v>795</v>
      </c>
      <c r="E142" s="404" t="s">
        <v>565</v>
      </c>
      <c r="F142" s="405" t="s">
        <v>621</v>
      </c>
      <c r="G142" s="405" t="s">
        <v>119</v>
      </c>
      <c r="H142" s="406">
        <v>2000000</v>
      </c>
      <c r="I142" s="405"/>
    </row>
    <row r="143" spans="1:9" hidden="1">
      <c r="A143" s="401" t="s">
        <v>776</v>
      </c>
      <c r="B143" s="405"/>
      <c r="C143" s="405" t="s">
        <v>333</v>
      </c>
      <c r="D143" s="403" t="s">
        <v>796</v>
      </c>
      <c r="E143" s="404" t="s">
        <v>566</v>
      </c>
      <c r="F143" s="405" t="s">
        <v>643</v>
      </c>
      <c r="G143" s="405" t="s">
        <v>86</v>
      </c>
      <c r="H143" s="406">
        <v>2000000</v>
      </c>
      <c r="I143" s="405"/>
    </row>
    <row r="144" spans="1:9" hidden="1">
      <c r="A144" s="401" t="s">
        <v>776</v>
      </c>
      <c r="B144" s="405"/>
      <c r="C144" s="405" t="s">
        <v>333</v>
      </c>
      <c r="D144" s="403" t="s">
        <v>797</v>
      </c>
      <c r="E144" s="404" t="s">
        <v>567</v>
      </c>
      <c r="F144" s="405" t="s">
        <v>789</v>
      </c>
      <c r="G144" s="405" t="s">
        <v>98</v>
      </c>
      <c r="H144" s="406">
        <v>2000000</v>
      </c>
      <c r="I144" s="405"/>
    </row>
    <row r="145" spans="1:9" hidden="1">
      <c r="A145" s="401" t="s">
        <v>776</v>
      </c>
      <c r="B145" s="405"/>
      <c r="C145" s="405" t="s">
        <v>333</v>
      </c>
      <c r="D145" s="403" t="s">
        <v>798</v>
      </c>
      <c r="E145" s="404" t="s">
        <v>568</v>
      </c>
      <c r="F145" s="405" t="s">
        <v>626</v>
      </c>
      <c r="G145" s="405" t="s">
        <v>134</v>
      </c>
      <c r="H145" s="406">
        <v>2000000</v>
      </c>
      <c r="I145" s="405"/>
    </row>
    <row r="146" spans="1:9" hidden="1">
      <c r="A146" s="401" t="s">
        <v>776</v>
      </c>
      <c r="B146" s="405"/>
      <c r="C146" s="405" t="s">
        <v>333</v>
      </c>
      <c r="D146" s="403" t="s">
        <v>799</v>
      </c>
      <c r="E146" s="404" t="s">
        <v>569</v>
      </c>
      <c r="F146" s="405" t="s">
        <v>800</v>
      </c>
      <c r="G146" s="405" t="s">
        <v>78</v>
      </c>
      <c r="H146" s="406">
        <v>2000000</v>
      </c>
      <c r="I146" s="405"/>
    </row>
    <row r="147" spans="1:9" hidden="1">
      <c r="A147" s="401" t="s">
        <v>776</v>
      </c>
      <c r="B147" s="405"/>
      <c r="C147" s="405" t="s">
        <v>333</v>
      </c>
      <c r="D147" s="403" t="s">
        <v>801</v>
      </c>
      <c r="E147" s="404" t="s">
        <v>570</v>
      </c>
      <c r="F147" s="405" t="s">
        <v>712</v>
      </c>
      <c r="G147" s="405" t="s">
        <v>96</v>
      </c>
      <c r="H147" s="406">
        <v>2000000</v>
      </c>
      <c r="I147" s="405"/>
    </row>
    <row r="148" spans="1:9" hidden="1">
      <c r="A148" s="401" t="s">
        <v>776</v>
      </c>
      <c r="B148" s="405"/>
      <c r="C148" s="405" t="s">
        <v>333</v>
      </c>
      <c r="D148" s="403" t="s">
        <v>802</v>
      </c>
      <c r="E148" s="404" t="s">
        <v>571</v>
      </c>
      <c r="F148" s="405" t="s">
        <v>803</v>
      </c>
      <c r="G148" s="405" t="s">
        <v>92</v>
      </c>
      <c r="H148" s="406">
        <v>2000000</v>
      </c>
      <c r="I148" s="405"/>
    </row>
    <row r="149" spans="1:9" hidden="1">
      <c r="A149" s="401" t="s">
        <v>776</v>
      </c>
      <c r="B149" s="405"/>
      <c r="C149" s="405" t="s">
        <v>333</v>
      </c>
      <c r="D149" s="403" t="s">
        <v>804</v>
      </c>
      <c r="E149" s="404" t="s">
        <v>572</v>
      </c>
      <c r="F149" s="405" t="s">
        <v>643</v>
      </c>
      <c r="G149" s="405" t="s">
        <v>86</v>
      </c>
      <c r="H149" s="406">
        <v>2000000</v>
      </c>
      <c r="I149" s="405"/>
    </row>
    <row r="150" spans="1:9" hidden="1">
      <c r="A150" s="401" t="s">
        <v>776</v>
      </c>
      <c r="B150" s="405"/>
      <c r="C150" s="405" t="s">
        <v>333</v>
      </c>
      <c r="D150" s="403" t="s">
        <v>805</v>
      </c>
      <c r="E150" s="404" t="s">
        <v>573</v>
      </c>
      <c r="F150" s="405" t="s">
        <v>800</v>
      </c>
      <c r="G150" s="405" t="s">
        <v>78</v>
      </c>
      <c r="H150" s="406">
        <v>2000000</v>
      </c>
      <c r="I150" s="405"/>
    </row>
    <row r="151" spans="1:9" hidden="1">
      <c r="A151" s="401" t="s">
        <v>776</v>
      </c>
      <c r="B151" s="405"/>
      <c r="C151" s="405" t="s">
        <v>333</v>
      </c>
      <c r="D151" s="403" t="s">
        <v>806</v>
      </c>
      <c r="E151" s="404" t="s">
        <v>574</v>
      </c>
      <c r="F151" s="405" t="s">
        <v>675</v>
      </c>
      <c r="G151" s="405" t="s">
        <v>51</v>
      </c>
      <c r="H151" s="406">
        <v>2000000</v>
      </c>
      <c r="I151" s="405"/>
    </row>
    <row r="152" spans="1:9" hidden="1">
      <c r="A152" s="401" t="s">
        <v>776</v>
      </c>
      <c r="B152" s="405"/>
      <c r="C152" s="405" t="s">
        <v>333</v>
      </c>
      <c r="D152" s="403" t="s">
        <v>807</v>
      </c>
      <c r="E152" s="404" t="s">
        <v>575</v>
      </c>
      <c r="F152" s="405" t="s">
        <v>800</v>
      </c>
      <c r="G152" s="405" t="s">
        <v>78</v>
      </c>
      <c r="H152" s="406">
        <v>2000000</v>
      </c>
      <c r="I152" s="405"/>
    </row>
    <row r="153" spans="1:9" hidden="1">
      <c r="A153" s="401" t="s">
        <v>776</v>
      </c>
      <c r="B153" s="405"/>
      <c r="C153" s="405" t="s">
        <v>333</v>
      </c>
      <c r="D153" s="403" t="s">
        <v>808</v>
      </c>
      <c r="E153" s="404" t="s">
        <v>576</v>
      </c>
      <c r="F153" s="405" t="s">
        <v>789</v>
      </c>
      <c r="G153" s="405" t="s">
        <v>98</v>
      </c>
      <c r="H153" s="406">
        <v>2000000</v>
      </c>
      <c r="I153" s="405"/>
    </row>
    <row r="154" spans="1:9" hidden="1">
      <c r="A154" s="401" t="s">
        <v>776</v>
      </c>
      <c r="B154" s="405"/>
      <c r="C154" s="405" t="s">
        <v>201</v>
      </c>
      <c r="D154" s="403" t="s">
        <v>809</v>
      </c>
      <c r="E154" s="404" t="s">
        <v>577</v>
      </c>
      <c r="F154" s="405" t="s">
        <v>221</v>
      </c>
      <c r="G154" s="405" t="s">
        <v>97</v>
      </c>
      <c r="H154" s="406" t="s">
        <v>615</v>
      </c>
      <c r="I154" s="405"/>
    </row>
    <row r="155" spans="1:9" hidden="1">
      <c r="A155" s="401" t="s">
        <v>776</v>
      </c>
      <c r="B155" s="405"/>
      <c r="C155" s="405" t="s">
        <v>436</v>
      </c>
      <c r="D155" s="403" t="s">
        <v>810</v>
      </c>
      <c r="E155" s="404" t="s">
        <v>578</v>
      </c>
      <c r="F155" s="405" t="s">
        <v>637</v>
      </c>
      <c r="G155" s="405" t="s">
        <v>97</v>
      </c>
      <c r="H155" s="406" t="s">
        <v>615</v>
      </c>
      <c r="I155" s="405" t="s">
        <v>631</v>
      </c>
    </row>
    <row r="156" spans="1:9" hidden="1">
      <c r="A156" s="401" t="s">
        <v>776</v>
      </c>
      <c r="B156" s="405"/>
      <c r="C156" s="405" t="s">
        <v>333</v>
      </c>
      <c r="D156" s="403" t="s">
        <v>811</v>
      </c>
      <c r="E156" s="404" t="s">
        <v>579</v>
      </c>
      <c r="F156" s="405" t="s">
        <v>677</v>
      </c>
      <c r="G156" s="405" t="s">
        <v>105</v>
      </c>
      <c r="H156" s="406">
        <v>2000000</v>
      </c>
      <c r="I156" s="405"/>
    </row>
    <row r="157" spans="1:9" hidden="1">
      <c r="A157" s="401" t="s">
        <v>776</v>
      </c>
      <c r="B157" s="405"/>
      <c r="C157" s="405" t="s">
        <v>333</v>
      </c>
      <c r="D157" s="403" t="s">
        <v>812</v>
      </c>
      <c r="E157" s="404" t="s">
        <v>580</v>
      </c>
      <c r="F157" s="405" t="s">
        <v>813</v>
      </c>
      <c r="G157" s="405" t="s">
        <v>61</v>
      </c>
      <c r="H157" s="406">
        <v>2000000</v>
      </c>
      <c r="I157" s="405"/>
    </row>
    <row r="158" spans="1:9" hidden="1">
      <c r="A158" s="401" t="s">
        <v>776</v>
      </c>
      <c r="B158" s="405"/>
      <c r="C158" s="405" t="s">
        <v>333</v>
      </c>
      <c r="D158" s="403" t="s">
        <v>814</v>
      </c>
      <c r="E158" s="404" t="s">
        <v>581</v>
      </c>
      <c r="F158" s="405" t="s">
        <v>789</v>
      </c>
      <c r="G158" s="405" t="s">
        <v>98</v>
      </c>
      <c r="H158" s="406">
        <v>2000000</v>
      </c>
      <c r="I158" s="405"/>
    </row>
    <row r="159" spans="1:9" hidden="1">
      <c r="A159" s="401" t="s">
        <v>776</v>
      </c>
      <c r="B159" s="405"/>
      <c r="C159" s="405" t="s">
        <v>333</v>
      </c>
      <c r="D159" s="403" t="s">
        <v>815</v>
      </c>
      <c r="E159" s="404" t="s">
        <v>419</v>
      </c>
      <c r="F159" s="405" t="s">
        <v>657</v>
      </c>
      <c r="G159" s="405" t="s">
        <v>58</v>
      </c>
      <c r="H159" s="406">
        <v>2000000</v>
      </c>
      <c r="I159" s="405" t="s">
        <v>624</v>
      </c>
    </row>
    <row r="160" spans="1:9" hidden="1">
      <c r="A160" s="401" t="s">
        <v>776</v>
      </c>
      <c r="B160" s="405"/>
      <c r="C160" s="405" t="s">
        <v>333</v>
      </c>
      <c r="D160" s="403" t="s">
        <v>816</v>
      </c>
      <c r="E160" s="404" t="s">
        <v>582</v>
      </c>
      <c r="F160" s="405" t="s">
        <v>723</v>
      </c>
      <c r="G160" s="405" t="s">
        <v>120</v>
      </c>
      <c r="H160" s="406">
        <v>2000000</v>
      </c>
      <c r="I160" s="405"/>
    </row>
    <row r="161" spans="1:9" hidden="1">
      <c r="A161" s="401" t="s">
        <v>776</v>
      </c>
      <c r="B161" s="405"/>
      <c r="C161" s="405" t="s">
        <v>333</v>
      </c>
      <c r="D161" s="403" t="s">
        <v>817</v>
      </c>
      <c r="E161" s="404" t="s">
        <v>583</v>
      </c>
      <c r="F161" s="405" t="s">
        <v>641</v>
      </c>
      <c r="G161" s="405" t="s">
        <v>65</v>
      </c>
      <c r="H161" s="406">
        <v>2000000</v>
      </c>
      <c r="I161" s="405"/>
    </row>
    <row r="162" spans="1:9" hidden="1">
      <c r="A162" s="401" t="s">
        <v>776</v>
      </c>
      <c r="B162" s="405"/>
      <c r="C162" s="405" t="s">
        <v>333</v>
      </c>
      <c r="D162" s="403" t="s">
        <v>818</v>
      </c>
      <c r="E162" s="404" t="s">
        <v>420</v>
      </c>
      <c r="F162" s="405" t="s">
        <v>657</v>
      </c>
      <c r="G162" s="405" t="s">
        <v>58</v>
      </c>
      <c r="H162" s="406">
        <v>2000000</v>
      </c>
      <c r="I162" s="405" t="s">
        <v>624</v>
      </c>
    </row>
    <row r="163" spans="1:9" hidden="1">
      <c r="A163" s="401" t="s">
        <v>776</v>
      </c>
      <c r="B163" s="405"/>
      <c r="C163" s="405" t="s">
        <v>436</v>
      </c>
      <c r="D163" s="403" t="s">
        <v>819</v>
      </c>
      <c r="E163" s="404" t="s">
        <v>584</v>
      </c>
      <c r="F163" s="405" t="s">
        <v>820</v>
      </c>
      <c r="G163" s="405" t="s">
        <v>117</v>
      </c>
      <c r="H163" s="406" t="s">
        <v>615</v>
      </c>
      <c r="I163" s="405" t="s">
        <v>631</v>
      </c>
    </row>
    <row r="164" spans="1:9" hidden="1">
      <c r="A164" s="401" t="s">
        <v>776</v>
      </c>
      <c r="B164" s="405"/>
      <c r="C164" s="405" t="s">
        <v>333</v>
      </c>
      <c r="D164" s="403" t="s">
        <v>821</v>
      </c>
      <c r="E164" s="404" t="s">
        <v>585</v>
      </c>
      <c r="F164" s="405" t="s">
        <v>655</v>
      </c>
      <c r="G164" s="405" t="s">
        <v>70</v>
      </c>
      <c r="H164" s="406">
        <v>2000000</v>
      </c>
      <c r="I164" s="405"/>
    </row>
    <row r="165" spans="1:9" hidden="1">
      <c r="A165" s="401" t="s">
        <v>776</v>
      </c>
      <c r="B165" s="405"/>
      <c r="C165" s="405" t="s">
        <v>333</v>
      </c>
      <c r="D165" s="403" t="s">
        <v>822</v>
      </c>
      <c r="E165" s="404" t="s">
        <v>586</v>
      </c>
      <c r="F165" s="405" t="s">
        <v>628</v>
      </c>
      <c r="G165" s="405" t="s">
        <v>57</v>
      </c>
      <c r="H165" s="406">
        <v>2000000</v>
      </c>
      <c r="I165" s="405"/>
    </row>
    <row r="166" spans="1:9" hidden="1">
      <c r="A166" s="401" t="s">
        <v>776</v>
      </c>
      <c r="B166" s="405"/>
      <c r="C166" s="405" t="s">
        <v>333</v>
      </c>
      <c r="D166" s="403" t="s">
        <v>823</v>
      </c>
      <c r="E166" s="404" t="s">
        <v>418</v>
      </c>
      <c r="F166" s="405" t="s">
        <v>657</v>
      </c>
      <c r="G166" s="405" t="s">
        <v>58</v>
      </c>
      <c r="H166" s="406">
        <v>2000000</v>
      </c>
      <c r="I166" s="405" t="s">
        <v>624</v>
      </c>
    </row>
    <row r="167" spans="1:9" hidden="1">
      <c r="A167" s="401" t="s">
        <v>776</v>
      </c>
      <c r="B167" s="405"/>
      <c r="C167" s="405" t="s">
        <v>333</v>
      </c>
      <c r="D167" s="403" t="s">
        <v>824</v>
      </c>
      <c r="E167" s="404" t="s">
        <v>587</v>
      </c>
      <c r="F167" s="405" t="s">
        <v>628</v>
      </c>
      <c r="G167" s="405" t="s">
        <v>109</v>
      </c>
      <c r="H167" s="406">
        <v>2000000</v>
      </c>
      <c r="I167" s="405"/>
    </row>
    <row r="168" spans="1:9" hidden="1">
      <c r="A168" s="401" t="s">
        <v>776</v>
      </c>
      <c r="B168" s="405"/>
      <c r="C168" s="405" t="s">
        <v>333</v>
      </c>
      <c r="D168" s="403" t="s">
        <v>825</v>
      </c>
      <c r="E168" s="404" t="s">
        <v>588</v>
      </c>
      <c r="F168" s="405" t="s">
        <v>800</v>
      </c>
      <c r="G168" s="405" t="s">
        <v>78</v>
      </c>
      <c r="H168" s="406">
        <v>2000000</v>
      </c>
      <c r="I168" s="405"/>
    </row>
    <row r="169" spans="1:9" hidden="1">
      <c r="A169" s="401" t="s">
        <v>776</v>
      </c>
      <c r="B169" s="405"/>
      <c r="C169" s="405" t="s">
        <v>333</v>
      </c>
      <c r="D169" s="403" t="s">
        <v>826</v>
      </c>
      <c r="E169" s="404" t="s">
        <v>589</v>
      </c>
      <c r="F169" s="405" t="s">
        <v>723</v>
      </c>
      <c r="G169" s="405" t="s">
        <v>120</v>
      </c>
      <c r="H169" s="406">
        <v>2000000</v>
      </c>
      <c r="I169" s="405"/>
    </row>
    <row r="170" spans="1:9" hidden="1">
      <c r="A170" s="401" t="s">
        <v>776</v>
      </c>
      <c r="B170" s="405"/>
      <c r="C170" s="405" t="s">
        <v>333</v>
      </c>
      <c r="D170" s="403" t="s">
        <v>827</v>
      </c>
      <c r="E170" s="404" t="s">
        <v>590</v>
      </c>
      <c r="F170" s="405" t="s">
        <v>626</v>
      </c>
      <c r="G170" s="405" t="s">
        <v>134</v>
      </c>
      <c r="H170" s="406">
        <v>2000000</v>
      </c>
      <c r="I170" s="405"/>
    </row>
    <row r="171" spans="1:9" hidden="1">
      <c r="A171" s="401" t="s">
        <v>776</v>
      </c>
      <c r="B171" s="405"/>
      <c r="C171" s="405" t="s">
        <v>333</v>
      </c>
      <c r="D171" s="403" t="s">
        <v>828</v>
      </c>
      <c r="E171" s="404" t="s">
        <v>591</v>
      </c>
      <c r="F171" s="405" t="s">
        <v>712</v>
      </c>
      <c r="G171" s="405" t="s">
        <v>96</v>
      </c>
      <c r="H171" s="406">
        <v>2000000</v>
      </c>
      <c r="I171" s="405"/>
    </row>
    <row r="172" spans="1:9" hidden="1">
      <c r="A172" s="401" t="s">
        <v>776</v>
      </c>
      <c r="B172" s="405"/>
      <c r="C172" s="405" t="s">
        <v>333</v>
      </c>
      <c r="D172" s="403" t="s">
        <v>829</v>
      </c>
      <c r="E172" s="404" t="s">
        <v>592</v>
      </c>
      <c r="F172" s="405" t="s">
        <v>628</v>
      </c>
      <c r="G172" s="405" t="s">
        <v>109</v>
      </c>
      <c r="H172" s="406">
        <v>2000000</v>
      </c>
      <c r="I172" s="405"/>
    </row>
    <row r="173" spans="1:9" hidden="1">
      <c r="A173" s="401" t="s">
        <v>776</v>
      </c>
      <c r="B173" s="405"/>
      <c r="C173" s="405" t="s">
        <v>333</v>
      </c>
      <c r="D173" s="403" t="s">
        <v>830</v>
      </c>
      <c r="E173" s="404" t="s">
        <v>593</v>
      </c>
      <c r="F173" s="405" t="s">
        <v>789</v>
      </c>
      <c r="G173" s="405" t="s">
        <v>98</v>
      </c>
      <c r="H173" s="406">
        <v>2000000</v>
      </c>
      <c r="I173" s="405"/>
    </row>
    <row r="174" spans="1:9" hidden="1">
      <c r="A174" s="401" t="s">
        <v>776</v>
      </c>
      <c r="B174" s="405"/>
      <c r="C174" s="405" t="s">
        <v>333</v>
      </c>
      <c r="D174" s="403" t="s">
        <v>831</v>
      </c>
      <c r="E174" s="404" t="s">
        <v>594</v>
      </c>
      <c r="F174" s="405" t="s">
        <v>657</v>
      </c>
      <c r="G174" s="405" t="s">
        <v>58</v>
      </c>
      <c r="H174" s="406">
        <v>2000000</v>
      </c>
      <c r="I174" s="405"/>
    </row>
    <row r="175" spans="1:9" hidden="1">
      <c r="A175" s="401" t="s">
        <v>776</v>
      </c>
      <c r="B175" s="405"/>
      <c r="C175" s="405" t="s">
        <v>333</v>
      </c>
      <c r="D175" s="403" t="s">
        <v>832</v>
      </c>
      <c r="E175" s="404" t="s">
        <v>415</v>
      </c>
      <c r="F175" s="405" t="s">
        <v>833</v>
      </c>
      <c r="G175" s="405" t="s">
        <v>53</v>
      </c>
      <c r="H175" s="406">
        <v>2000000</v>
      </c>
      <c r="I175" s="405"/>
    </row>
    <row r="176" spans="1:9" hidden="1">
      <c r="A176" s="401" t="s">
        <v>776</v>
      </c>
      <c r="B176" s="405"/>
      <c r="C176" s="405" t="s">
        <v>333</v>
      </c>
      <c r="D176" s="403" t="s">
        <v>834</v>
      </c>
      <c r="E176" s="404" t="s">
        <v>595</v>
      </c>
      <c r="F176" s="405" t="s">
        <v>651</v>
      </c>
      <c r="G176" s="405" t="s">
        <v>104</v>
      </c>
      <c r="H176" s="406">
        <v>2000000</v>
      </c>
      <c r="I176" s="405"/>
    </row>
    <row r="177" spans="1:9" hidden="1">
      <c r="A177" s="401" t="s">
        <v>776</v>
      </c>
      <c r="B177" s="405"/>
      <c r="C177" s="405" t="s">
        <v>436</v>
      </c>
      <c r="D177" s="403" t="s">
        <v>835</v>
      </c>
      <c r="E177" s="404" t="s">
        <v>596</v>
      </c>
      <c r="F177" s="405" t="s">
        <v>836</v>
      </c>
      <c r="G177" s="405" t="s">
        <v>55</v>
      </c>
      <c r="H177" s="406" t="s">
        <v>615</v>
      </c>
      <c r="I177" s="405" t="s">
        <v>631</v>
      </c>
    </row>
    <row r="178" spans="1:9" hidden="1">
      <c r="A178" s="401" t="s">
        <v>776</v>
      </c>
      <c r="B178" s="405"/>
      <c r="C178" s="405" t="s">
        <v>333</v>
      </c>
      <c r="D178" s="403" t="s">
        <v>837</v>
      </c>
      <c r="E178" s="404" t="s">
        <v>412</v>
      </c>
      <c r="F178" s="405" t="s">
        <v>838</v>
      </c>
      <c r="G178" s="405" t="s">
        <v>96</v>
      </c>
      <c r="H178" s="406">
        <v>2000000</v>
      </c>
      <c r="I178" s="405"/>
    </row>
    <row r="179" spans="1:9" hidden="1">
      <c r="A179" s="401" t="s">
        <v>776</v>
      </c>
      <c r="B179" s="405"/>
      <c r="C179" s="405" t="s">
        <v>333</v>
      </c>
      <c r="D179" s="403" t="s">
        <v>839</v>
      </c>
      <c r="E179" s="404" t="s">
        <v>597</v>
      </c>
      <c r="F179" s="405" t="s">
        <v>840</v>
      </c>
      <c r="G179" s="405" t="s">
        <v>74</v>
      </c>
      <c r="H179" s="406">
        <v>2000000</v>
      </c>
      <c r="I179" s="405"/>
    </row>
    <row r="180" spans="1:9" hidden="1">
      <c r="A180" s="401" t="s">
        <v>776</v>
      </c>
      <c r="B180" s="405"/>
      <c r="C180" s="405" t="s">
        <v>333</v>
      </c>
      <c r="D180" s="403" t="s">
        <v>841</v>
      </c>
      <c r="E180" s="404" t="s">
        <v>598</v>
      </c>
      <c r="F180" s="405" t="s">
        <v>813</v>
      </c>
      <c r="G180" s="405" t="s">
        <v>61</v>
      </c>
      <c r="H180" s="406">
        <v>2000000</v>
      </c>
      <c r="I180" s="405"/>
    </row>
    <row r="181" spans="1:9" hidden="1">
      <c r="A181" s="401" t="s">
        <v>776</v>
      </c>
      <c r="B181" s="405"/>
      <c r="C181" s="405" t="s">
        <v>333</v>
      </c>
      <c r="D181" s="403" t="s">
        <v>842</v>
      </c>
      <c r="E181" s="404" t="s">
        <v>599</v>
      </c>
      <c r="F181" s="405" t="s">
        <v>628</v>
      </c>
      <c r="G181" s="405" t="s">
        <v>109</v>
      </c>
      <c r="H181" s="406">
        <v>2000000</v>
      </c>
      <c r="I181" s="405"/>
    </row>
    <row r="182" spans="1:9" hidden="1">
      <c r="A182" s="401" t="s">
        <v>776</v>
      </c>
      <c r="B182" s="405"/>
      <c r="C182" s="405" t="s">
        <v>333</v>
      </c>
      <c r="D182" s="403" t="s">
        <v>843</v>
      </c>
      <c r="E182" s="404" t="s">
        <v>600</v>
      </c>
      <c r="F182" s="405" t="s">
        <v>840</v>
      </c>
      <c r="G182" s="405" t="s">
        <v>74</v>
      </c>
      <c r="H182" s="406">
        <v>2000000</v>
      </c>
      <c r="I182" s="405"/>
    </row>
    <row r="183" spans="1:9" hidden="1">
      <c r="A183" s="401" t="s">
        <v>776</v>
      </c>
      <c r="B183" s="405"/>
      <c r="C183" s="405" t="s">
        <v>436</v>
      </c>
      <c r="D183" s="403" t="s">
        <v>844</v>
      </c>
      <c r="E183" s="404" t="s">
        <v>601</v>
      </c>
      <c r="F183" s="405" t="s">
        <v>820</v>
      </c>
      <c r="G183" s="405" t="s">
        <v>117</v>
      </c>
      <c r="H183" s="406" t="s">
        <v>615</v>
      </c>
      <c r="I183" s="405" t="s">
        <v>631</v>
      </c>
    </row>
    <row r="184" spans="1:9" hidden="1">
      <c r="A184" s="401" t="s">
        <v>776</v>
      </c>
      <c r="B184" s="405"/>
      <c r="C184" s="405" t="s">
        <v>333</v>
      </c>
      <c r="D184" s="403" t="s">
        <v>845</v>
      </c>
      <c r="E184" s="404" t="s">
        <v>602</v>
      </c>
      <c r="F184" s="405" t="s">
        <v>789</v>
      </c>
      <c r="G184" s="405" t="s">
        <v>98</v>
      </c>
      <c r="H184" s="406">
        <v>2000000</v>
      </c>
      <c r="I184" s="405"/>
    </row>
    <row r="185" spans="1:9" hidden="1">
      <c r="A185" s="401" t="s">
        <v>776</v>
      </c>
      <c r="B185" s="405"/>
      <c r="C185" s="405" t="s">
        <v>333</v>
      </c>
      <c r="D185" s="403" t="s">
        <v>846</v>
      </c>
      <c r="E185" s="404" t="s">
        <v>603</v>
      </c>
      <c r="F185" s="405" t="s">
        <v>840</v>
      </c>
      <c r="G185" s="405" t="s">
        <v>74</v>
      </c>
      <c r="H185" s="406">
        <v>2000000</v>
      </c>
      <c r="I185" s="405"/>
    </row>
    <row r="186" spans="1:9" ht="25.15" hidden="1" customHeight="1">
      <c r="A186" s="556" t="s">
        <v>775</v>
      </c>
      <c r="B186" s="557"/>
      <c r="C186" s="557"/>
      <c r="D186" s="557"/>
      <c r="E186" s="557"/>
      <c r="F186" s="557"/>
      <c r="G186" s="558"/>
      <c r="H186" s="407">
        <v>100000000</v>
      </c>
      <c r="I186" s="405"/>
    </row>
    <row r="187" spans="1:9" s="400" customFormat="1" ht="28.15" hidden="1" customHeight="1">
      <c r="A187" s="727" t="s">
        <v>847</v>
      </c>
      <c r="B187" s="728"/>
      <c r="C187" s="728"/>
      <c r="D187" s="728"/>
      <c r="E187" s="728"/>
      <c r="F187" s="728"/>
      <c r="G187" s="729"/>
      <c r="H187" s="407">
        <v>436000000</v>
      </c>
      <c r="I187" s="408"/>
    </row>
  </sheetData>
  <autoFilter ref="A2:I187" xr:uid="{B829A04A-313A-4BA3-938A-861985F17639}">
    <filterColumn colId="7">
      <filters>
        <filter val="3,000,000"/>
      </filters>
    </filterColumn>
    <filterColumn colId="8">
      <filters blank="1"/>
    </filterColumn>
  </autoFilter>
  <mergeCells count="2">
    <mergeCell ref="A1:I1"/>
    <mergeCell ref="A187:G18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00FDC-B07B-409C-AB04-147D745D6E19}">
  <sheetPr>
    <pageSetUpPr fitToPage="1"/>
  </sheetPr>
  <dimension ref="A1:IO57"/>
  <sheetViews>
    <sheetView zoomScaleNormal="100" workbookViewId="0">
      <selection activeCell="G9" sqref="G9:H9"/>
    </sheetView>
  </sheetViews>
  <sheetFormatPr defaultColWidth="8.28515625" defaultRowHeight="15"/>
  <cols>
    <col min="1" max="1" width="3.42578125" style="507" customWidth="1"/>
    <col min="2" max="2" width="20.140625" style="528" customWidth="1"/>
    <col min="3" max="3" width="10.28515625" style="507" customWidth="1"/>
    <col min="4" max="4" width="11.28515625" style="507" customWidth="1"/>
    <col min="5" max="5" width="10.5703125" style="507" customWidth="1"/>
    <col min="6" max="6" width="10.140625" style="507" customWidth="1"/>
    <col min="7" max="7" width="10.28515625" style="507" customWidth="1"/>
    <col min="8" max="9" width="9.85546875" style="507" hidden="1" customWidth="1"/>
    <col min="10" max="10" width="13" style="507" bestFit="1" customWidth="1"/>
    <col min="11" max="249" width="8.140625" style="507" customWidth="1"/>
    <col min="250" max="253" width="8.140625" style="504" customWidth="1"/>
    <col min="254" max="254" width="4.28515625" style="504" customWidth="1"/>
    <col min="255" max="255" width="24.5703125" style="504" customWidth="1"/>
    <col min="256" max="256" width="8.28515625" style="504"/>
    <col min="257" max="257" width="3.42578125" style="504" customWidth="1"/>
    <col min="258" max="258" width="20.140625" style="504" customWidth="1"/>
    <col min="259" max="259" width="10.28515625" style="504" customWidth="1"/>
    <col min="260" max="260" width="11.28515625" style="504" customWidth="1"/>
    <col min="261" max="261" width="10.5703125" style="504" customWidth="1"/>
    <col min="262" max="262" width="10.140625" style="504" customWidth="1"/>
    <col min="263" max="263" width="10.28515625" style="504" customWidth="1"/>
    <col min="264" max="265" width="0" style="504" hidden="1" customWidth="1"/>
    <col min="266" max="266" width="13" style="504" bestFit="1" customWidth="1"/>
    <col min="267" max="509" width="8.140625" style="504" customWidth="1"/>
    <col min="510" max="510" width="4.28515625" style="504" customWidth="1"/>
    <col min="511" max="511" width="24.5703125" style="504" customWidth="1"/>
    <col min="512" max="512" width="8.28515625" style="504"/>
    <col min="513" max="513" width="3.42578125" style="504" customWidth="1"/>
    <col min="514" max="514" width="20.140625" style="504" customWidth="1"/>
    <col min="515" max="515" width="10.28515625" style="504" customWidth="1"/>
    <col min="516" max="516" width="11.28515625" style="504" customWidth="1"/>
    <col min="517" max="517" width="10.5703125" style="504" customWidth="1"/>
    <col min="518" max="518" width="10.140625" style="504" customWidth="1"/>
    <col min="519" max="519" width="10.28515625" style="504" customWidth="1"/>
    <col min="520" max="521" width="0" style="504" hidden="1" customWidth="1"/>
    <col min="522" max="522" width="13" style="504" bestFit="1" customWidth="1"/>
    <col min="523" max="765" width="8.140625" style="504" customWidth="1"/>
    <col min="766" max="766" width="4.28515625" style="504" customWidth="1"/>
    <col min="767" max="767" width="24.5703125" style="504" customWidth="1"/>
    <col min="768" max="768" width="8.28515625" style="504"/>
    <col min="769" max="769" width="3.42578125" style="504" customWidth="1"/>
    <col min="770" max="770" width="20.140625" style="504" customWidth="1"/>
    <col min="771" max="771" width="10.28515625" style="504" customWidth="1"/>
    <col min="772" max="772" width="11.28515625" style="504" customWidth="1"/>
    <col min="773" max="773" width="10.5703125" style="504" customWidth="1"/>
    <col min="774" max="774" width="10.140625" style="504" customWidth="1"/>
    <col min="775" max="775" width="10.28515625" style="504" customWidth="1"/>
    <col min="776" max="777" width="0" style="504" hidden="1" customWidth="1"/>
    <col min="778" max="778" width="13" style="504" bestFit="1" customWidth="1"/>
    <col min="779" max="1021" width="8.140625" style="504" customWidth="1"/>
    <col min="1022" max="1022" width="4.28515625" style="504" customWidth="1"/>
    <col min="1023" max="1023" width="24.5703125" style="504" customWidth="1"/>
    <col min="1024" max="1024" width="8.28515625" style="504"/>
    <col min="1025" max="1025" width="3.42578125" style="504" customWidth="1"/>
    <col min="1026" max="1026" width="20.140625" style="504" customWidth="1"/>
    <col min="1027" max="1027" width="10.28515625" style="504" customWidth="1"/>
    <col min="1028" max="1028" width="11.28515625" style="504" customWidth="1"/>
    <col min="1029" max="1029" width="10.5703125" style="504" customWidth="1"/>
    <col min="1030" max="1030" width="10.140625" style="504" customWidth="1"/>
    <col min="1031" max="1031" width="10.28515625" style="504" customWidth="1"/>
    <col min="1032" max="1033" width="0" style="504" hidden="1" customWidth="1"/>
    <col min="1034" max="1034" width="13" style="504" bestFit="1" customWidth="1"/>
    <col min="1035" max="1277" width="8.140625" style="504" customWidth="1"/>
    <col min="1278" max="1278" width="4.28515625" style="504" customWidth="1"/>
    <col min="1279" max="1279" width="24.5703125" style="504" customWidth="1"/>
    <col min="1280" max="1280" width="8.28515625" style="504"/>
    <col min="1281" max="1281" width="3.42578125" style="504" customWidth="1"/>
    <col min="1282" max="1282" width="20.140625" style="504" customWidth="1"/>
    <col min="1283" max="1283" width="10.28515625" style="504" customWidth="1"/>
    <col min="1284" max="1284" width="11.28515625" style="504" customWidth="1"/>
    <col min="1285" max="1285" width="10.5703125" style="504" customWidth="1"/>
    <col min="1286" max="1286" width="10.140625" style="504" customWidth="1"/>
    <col min="1287" max="1287" width="10.28515625" style="504" customWidth="1"/>
    <col min="1288" max="1289" width="0" style="504" hidden="1" customWidth="1"/>
    <col min="1290" max="1290" width="13" style="504" bestFit="1" customWidth="1"/>
    <col min="1291" max="1533" width="8.140625" style="504" customWidth="1"/>
    <col min="1534" max="1534" width="4.28515625" style="504" customWidth="1"/>
    <col min="1535" max="1535" width="24.5703125" style="504" customWidth="1"/>
    <col min="1536" max="1536" width="8.28515625" style="504"/>
    <col min="1537" max="1537" width="3.42578125" style="504" customWidth="1"/>
    <col min="1538" max="1538" width="20.140625" style="504" customWidth="1"/>
    <col min="1539" max="1539" width="10.28515625" style="504" customWidth="1"/>
    <col min="1540" max="1540" width="11.28515625" style="504" customWidth="1"/>
    <col min="1541" max="1541" width="10.5703125" style="504" customWidth="1"/>
    <col min="1542" max="1542" width="10.140625" style="504" customWidth="1"/>
    <col min="1543" max="1543" width="10.28515625" style="504" customWidth="1"/>
    <col min="1544" max="1545" width="0" style="504" hidden="1" customWidth="1"/>
    <col min="1546" max="1546" width="13" style="504" bestFit="1" customWidth="1"/>
    <col min="1547" max="1789" width="8.140625" style="504" customWidth="1"/>
    <col min="1790" max="1790" width="4.28515625" style="504" customWidth="1"/>
    <col min="1791" max="1791" width="24.5703125" style="504" customWidth="1"/>
    <col min="1792" max="1792" width="8.28515625" style="504"/>
    <col min="1793" max="1793" width="3.42578125" style="504" customWidth="1"/>
    <col min="1794" max="1794" width="20.140625" style="504" customWidth="1"/>
    <col min="1795" max="1795" width="10.28515625" style="504" customWidth="1"/>
    <col min="1796" max="1796" width="11.28515625" style="504" customWidth="1"/>
    <col min="1797" max="1797" width="10.5703125" style="504" customWidth="1"/>
    <col min="1798" max="1798" width="10.140625" style="504" customWidth="1"/>
    <col min="1799" max="1799" width="10.28515625" style="504" customWidth="1"/>
    <col min="1800" max="1801" width="0" style="504" hidden="1" customWidth="1"/>
    <col min="1802" max="1802" width="13" style="504" bestFit="1" customWidth="1"/>
    <col min="1803" max="2045" width="8.140625" style="504" customWidth="1"/>
    <col min="2046" max="2046" width="4.28515625" style="504" customWidth="1"/>
    <col min="2047" max="2047" width="24.5703125" style="504" customWidth="1"/>
    <col min="2048" max="2048" width="8.28515625" style="504"/>
    <col min="2049" max="2049" width="3.42578125" style="504" customWidth="1"/>
    <col min="2050" max="2050" width="20.140625" style="504" customWidth="1"/>
    <col min="2051" max="2051" width="10.28515625" style="504" customWidth="1"/>
    <col min="2052" max="2052" width="11.28515625" style="504" customWidth="1"/>
    <col min="2053" max="2053" width="10.5703125" style="504" customWidth="1"/>
    <col min="2054" max="2054" width="10.140625" style="504" customWidth="1"/>
    <col min="2055" max="2055" width="10.28515625" style="504" customWidth="1"/>
    <col min="2056" max="2057" width="0" style="504" hidden="1" customWidth="1"/>
    <col min="2058" max="2058" width="13" style="504" bestFit="1" customWidth="1"/>
    <col min="2059" max="2301" width="8.140625" style="504" customWidth="1"/>
    <col min="2302" max="2302" width="4.28515625" style="504" customWidth="1"/>
    <col min="2303" max="2303" width="24.5703125" style="504" customWidth="1"/>
    <col min="2304" max="2304" width="8.28515625" style="504"/>
    <col min="2305" max="2305" width="3.42578125" style="504" customWidth="1"/>
    <col min="2306" max="2306" width="20.140625" style="504" customWidth="1"/>
    <col min="2307" max="2307" width="10.28515625" style="504" customWidth="1"/>
    <col min="2308" max="2308" width="11.28515625" style="504" customWidth="1"/>
    <col min="2309" max="2309" width="10.5703125" style="504" customWidth="1"/>
    <col min="2310" max="2310" width="10.140625" style="504" customWidth="1"/>
    <col min="2311" max="2311" width="10.28515625" style="504" customWidth="1"/>
    <col min="2312" max="2313" width="0" style="504" hidden="1" customWidth="1"/>
    <col min="2314" max="2314" width="13" style="504" bestFit="1" customWidth="1"/>
    <col min="2315" max="2557" width="8.140625" style="504" customWidth="1"/>
    <col min="2558" max="2558" width="4.28515625" style="504" customWidth="1"/>
    <col min="2559" max="2559" width="24.5703125" style="504" customWidth="1"/>
    <col min="2560" max="2560" width="8.28515625" style="504"/>
    <col min="2561" max="2561" width="3.42578125" style="504" customWidth="1"/>
    <col min="2562" max="2562" width="20.140625" style="504" customWidth="1"/>
    <col min="2563" max="2563" width="10.28515625" style="504" customWidth="1"/>
    <col min="2564" max="2564" width="11.28515625" style="504" customWidth="1"/>
    <col min="2565" max="2565" width="10.5703125" style="504" customWidth="1"/>
    <col min="2566" max="2566" width="10.140625" style="504" customWidth="1"/>
    <col min="2567" max="2567" width="10.28515625" style="504" customWidth="1"/>
    <col min="2568" max="2569" width="0" style="504" hidden="1" customWidth="1"/>
    <col min="2570" max="2570" width="13" style="504" bestFit="1" customWidth="1"/>
    <col min="2571" max="2813" width="8.140625" style="504" customWidth="1"/>
    <col min="2814" max="2814" width="4.28515625" style="504" customWidth="1"/>
    <col min="2815" max="2815" width="24.5703125" style="504" customWidth="1"/>
    <col min="2816" max="2816" width="8.28515625" style="504"/>
    <col min="2817" max="2817" width="3.42578125" style="504" customWidth="1"/>
    <col min="2818" max="2818" width="20.140625" style="504" customWidth="1"/>
    <col min="2819" max="2819" width="10.28515625" style="504" customWidth="1"/>
    <col min="2820" max="2820" width="11.28515625" style="504" customWidth="1"/>
    <col min="2821" max="2821" width="10.5703125" style="504" customWidth="1"/>
    <col min="2822" max="2822" width="10.140625" style="504" customWidth="1"/>
    <col min="2823" max="2823" width="10.28515625" style="504" customWidth="1"/>
    <col min="2824" max="2825" width="0" style="504" hidden="1" customWidth="1"/>
    <col min="2826" max="2826" width="13" style="504" bestFit="1" customWidth="1"/>
    <col min="2827" max="3069" width="8.140625" style="504" customWidth="1"/>
    <col min="3070" max="3070" width="4.28515625" style="504" customWidth="1"/>
    <col min="3071" max="3071" width="24.5703125" style="504" customWidth="1"/>
    <col min="3072" max="3072" width="8.28515625" style="504"/>
    <col min="3073" max="3073" width="3.42578125" style="504" customWidth="1"/>
    <col min="3074" max="3074" width="20.140625" style="504" customWidth="1"/>
    <col min="3075" max="3075" width="10.28515625" style="504" customWidth="1"/>
    <col min="3076" max="3076" width="11.28515625" style="504" customWidth="1"/>
    <col min="3077" max="3077" width="10.5703125" style="504" customWidth="1"/>
    <col min="3078" max="3078" width="10.140625" style="504" customWidth="1"/>
    <col min="3079" max="3079" width="10.28515625" style="504" customWidth="1"/>
    <col min="3080" max="3081" width="0" style="504" hidden="1" customWidth="1"/>
    <col min="3082" max="3082" width="13" style="504" bestFit="1" customWidth="1"/>
    <col min="3083" max="3325" width="8.140625" style="504" customWidth="1"/>
    <col min="3326" max="3326" width="4.28515625" style="504" customWidth="1"/>
    <col min="3327" max="3327" width="24.5703125" style="504" customWidth="1"/>
    <col min="3328" max="3328" width="8.28515625" style="504"/>
    <col min="3329" max="3329" width="3.42578125" style="504" customWidth="1"/>
    <col min="3330" max="3330" width="20.140625" style="504" customWidth="1"/>
    <col min="3331" max="3331" width="10.28515625" style="504" customWidth="1"/>
    <col min="3332" max="3332" width="11.28515625" style="504" customWidth="1"/>
    <col min="3333" max="3333" width="10.5703125" style="504" customWidth="1"/>
    <col min="3334" max="3334" width="10.140625" style="504" customWidth="1"/>
    <col min="3335" max="3335" width="10.28515625" style="504" customWidth="1"/>
    <col min="3336" max="3337" width="0" style="504" hidden="1" customWidth="1"/>
    <col min="3338" max="3338" width="13" style="504" bestFit="1" customWidth="1"/>
    <col min="3339" max="3581" width="8.140625" style="504" customWidth="1"/>
    <col min="3582" max="3582" width="4.28515625" style="504" customWidth="1"/>
    <col min="3583" max="3583" width="24.5703125" style="504" customWidth="1"/>
    <col min="3584" max="3584" width="8.28515625" style="504"/>
    <col min="3585" max="3585" width="3.42578125" style="504" customWidth="1"/>
    <col min="3586" max="3586" width="20.140625" style="504" customWidth="1"/>
    <col min="3587" max="3587" width="10.28515625" style="504" customWidth="1"/>
    <col min="3588" max="3588" width="11.28515625" style="504" customWidth="1"/>
    <col min="3589" max="3589" width="10.5703125" style="504" customWidth="1"/>
    <col min="3590" max="3590" width="10.140625" style="504" customWidth="1"/>
    <col min="3591" max="3591" width="10.28515625" style="504" customWidth="1"/>
    <col min="3592" max="3593" width="0" style="504" hidden="1" customWidth="1"/>
    <col min="3594" max="3594" width="13" style="504" bestFit="1" customWidth="1"/>
    <col min="3595" max="3837" width="8.140625" style="504" customWidth="1"/>
    <col min="3838" max="3838" width="4.28515625" style="504" customWidth="1"/>
    <col min="3839" max="3839" width="24.5703125" style="504" customWidth="1"/>
    <col min="3840" max="3840" width="8.28515625" style="504"/>
    <col min="3841" max="3841" width="3.42578125" style="504" customWidth="1"/>
    <col min="3842" max="3842" width="20.140625" style="504" customWidth="1"/>
    <col min="3843" max="3843" width="10.28515625" style="504" customWidth="1"/>
    <col min="3844" max="3844" width="11.28515625" style="504" customWidth="1"/>
    <col min="3845" max="3845" width="10.5703125" style="504" customWidth="1"/>
    <col min="3846" max="3846" width="10.140625" style="504" customWidth="1"/>
    <col min="3847" max="3847" width="10.28515625" style="504" customWidth="1"/>
    <col min="3848" max="3849" width="0" style="504" hidden="1" customWidth="1"/>
    <col min="3850" max="3850" width="13" style="504" bestFit="1" customWidth="1"/>
    <col min="3851" max="4093" width="8.140625" style="504" customWidth="1"/>
    <col min="4094" max="4094" width="4.28515625" style="504" customWidth="1"/>
    <col min="4095" max="4095" width="24.5703125" style="504" customWidth="1"/>
    <col min="4096" max="4096" width="8.28515625" style="504"/>
    <col min="4097" max="4097" width="3.42578125" style="504" customWidth="1"/>
    <col min="4098" max="4098" width="20.140625" style="504" customWidth="1"/>
    <col min="4099" max="4099" width="10.28515625" style="504" customWidth="1"/>
    <col min="4100" max="4100" width="11.28515625" style="504" customWidth="1"/>
    <col min="4101" max="4101" width="10.5703125" style="504" customWidth="1"/>
    <col min="4102" max="4102" width="10.140625" style="504" customWidth="1"/>
    <col min="4103" max="4103" width="10.28515625" style="504" customWidth="1"/>
    <col min="4104" max="4105" width="0" style="504" hidden="1" customWidth="1"/>
    <col min="4106" max="4106" width="13" style="504" bestFit="1" customWidth="1"/>
    <col min="4107" max="4349" width="8.140625" style="504" customWidth="1"/>
    <col min="4350" max="4350" width="4.28515625" style="504" customWidth="1"/>
    <col min="4351" max="4351" width="24.5703125" style="504" customWidth="1"/>
    <col min="4352" max="4352" width="8.28515625" style="504"/>
    <col min="4353" max="4353" width="3.42578125" style="504" customWidth="1"/>
    <col min="4354" max="4354" width="20.140625" style="504" customWidth="1"/>
    <col min="4355" max="4355" width="10.28515625" style="504" customWidth="1"/>
    <col min="4356" max="4356" width="11.28515625" style="504" customWidth="1"/>
    <col min="4357" max="4357" width="10.5703125" style="504" customWidth="1"/>
    <col min="4358" max="4358" width="10.140625" style="504" customWidth="1"/>
    <col min="4359" max="4359" width="10.28515625" style="504" customWidth="1"/>
    <col min="4360" max="4361" width="0" style="504" hidden="1" customWidth="1"/>
    <col min="4362" max="4362" width="13" style="504" bestFit="1" customWidth="1"/>
    <col min="4363" max="4605" width="8.140625" style="504" customWidth="1"/>
    <col min="4606" max="4606" width="4.28515625" style="504" customWidth="1"/>
    <col min="4607" max="4607" width="24.5703125" style="504" customWidth="1"/>
    <col min="4608" max="4608" width="8.28515625" style="504"/>
    <col min="4609" max="4609" width="3.42578125" style="504" customWidth="1"/>
    <col min="4610" max="4610" width="20.140625" style="504" customWidth="1"/>
    <col min="4611" max="4611" width="10.28515625" style="504" customWidth="1"/>
    <col min="4612" max="4612" width="11.28515625" style="504" customWidth="1"/>
    <col min="4613" max="4613" width="10.5703125" style="504" customWidth="1"/>
    <col min="4614" max="4614" width="10.140625" style="504" customWidth="1"/>
    <col min="4615" max="4615" width="10.28515625" style="504" customWidth="1"/>
    <col min="4616" max="4617" width="0" style="504" hidden="1" customWidth="1"/>
    <col min="4618" max="4618" width="13" style="504" bestFit="1" customWidth="1"/>
    <col min="4619" max="4861" width="8.140625" style="504" customWidth="1"/>
    <col min="4862" max="4862" width="4.28515625" style="504" customWidth="1"/>
    <col min="4863" max="4863" width="24.5703125" style="504" customWidth="1"/>
    <col min="4864" max="4864" width="8.28515625" style="504"/>
    <col min="4865" max="4865" width="3.42578125" style="504" customWidth="1"/>
    <col min="4866" max="4866" width="20.140625" style="504" customWidth="1"/>
    <col min="4867" max="4867" width="10.28515625" style="504" customWidth="1"/>
    <col min="4868" max="4868" width="11.28515625" style="504" customWidth="1"/>
    <col min="4869" max="4869" width="10.5703125" style="504" customWidth="1"/>
    <col min="4870" max="4870" width="10.140625" style="504" customWidth="1"/>
    <col min="4871" max="4871" width="10.28515625" style="504" customWidth="1"/>
    <col min="4872" max="4873" width="0" style="504" hidden="1" customWidth="1"/>
    <col min="4874" max="4874" width="13" style="504" bestFit="1" customWidth="1"/>
    <col min="4875" max="5117" width="8.140625" style="504" customWidth="1"/>
    <col min="5118" max="5118" width="4.28515625" style="504" customWidth="1"/>
    <col min="5119" max="5119" width="24.5703125" style="504" customWidth="1"/>
    <col min="5120" max="5120" width="8.28515625" style="504"/>
    <col min="5121" max="5121" width="3.42578125" style="504" customWidth="1"/>
    <col min="5122" max="5122" width="20.140625" style="504" customWidth="1"/>
    <col min="5123" max="5123" width="10.28515625" style="504" customWidth="1"/>
    <col min="5124" max="5124" width="11.28515625" style="504" customWidth="1"/>
    <col min="5125" max="5125" width="10.5703125" style="504" customWidth="1"/>
    <col min="5126" max="5126" width="10.140625" style="504" customWidth="1"/>
    <col min="5127" max="5127" width="10.28515625" style="504" customWidth="1"/>
    <col min="5128" max="5129" width="0" style="504" hidden="1" customWidth="1"/>
    <col min="5130" max="5130" width="13" style="504" bestFit="1" customWidth="1"/>
    <col min="5131" max="5373" width="8.140625" style="504" customWidth="1"/>
    <col min="5374" max="5374" width="4.28515625" style="504" customWidth="1"/>
    <col min="5375" max="5375" width="24.5703125" style="504" customWidth="1"/>
    <col min="5376" max="5376" width="8.28515625" style="504"/>
    <col min="5377" max="5377" width="3.42578125" style="504" customWidth="1"/>
    <col min="5378" max="5378" width="20.140625" style="504" customWidth="1"/>
    <col min="5379" max="5379" width="10.28515625" style="504" customWidth="1"/>
    <col min="5380" max="5380" width="11.28515625" style="504" customWidth="1"/>
    <col min="5381" max="5381" width="10.5703125" style="504" customWidth="1"/>
    <col min="5382" max="5382" width="10.140625" style="504" customWidth="1"/>
    <col min="5383" max="5383" width="10.28515625" style="504" customWidth="1"/>
    <col min="5384" max="5385" width="0" style="504" hidden="1" customWidth="1"/>
    <col min="5386" max="5386" width="13" style="504" bestFit="1" customWidth="1"/>
    <col min="5387" max="5629" width="8.140625" style="504" customWidth="1"/>
    <col min="5630" max="5630" width="4.28515625" style="504" customWidth="1"/>
    <col min="5631" max="5631" width="24.5703125" style="504" customWidth="1"/>
    <col min="5632" max="5632" width="8.28515625" style="504"/>
    <col min="5633" max="5633" width="3.42578125" style="504" customWidth="1"/>
    <col min="5634" max="5634" width="20.140625" style="504" customWidth="1"/>
    <col min="5635" max="5635" width="10.28515625" style="504" customWidth="1"/>
    <col min="5636" max="5636" width="11.28515625" style="504" customWidth="1"/>
    <col min="5637" max="5637" width="10.5703125" style="504" customWidth="1"/>
    <col min="5638" max="5638" width="10.140625" style="504" customWidth="1"/>
    <col min="5639" max="5639" width="10.28515625" style="504" customWidth="1"/>
    <col min="5640" max="5641" width="0" style="504" hidden="1" customWidth="1"/>
    <col min="5642" max="5642" width="13" style="504" bestFit="1" customWidth="1"/>
    <col min="5643" max="5885" width="8.140625" style="504" customWidth="1"/>
    <col min="5886" max="5886" width="4.28515625" style="504" customWidth="1"/>
    <col min="5887" max="5887" width="24.5703125" style="504" customWidth="1"/>
    <col min="5888" max="5888" width="8.28515625" style="504"/>
    <col min="5889" max="5889" width="3.42578125" style="504" customWidth="1"/>
    <col min="5890" max="5890" width="20.140625" style="504" customWidth="1"/>
    <col min="5891" max="5891" width="10.28515625" style="504" customWidth="1"/>
    <col min="5892" max="5892" width="11.28515625" style="504" customWidth="1"/>
    <col min="5893" max="5893" width="10.5703125" style="504" customWidth="1"/>
    <col min="5894" max="5894" width="10.140625" style="504" customWidth="1"/>
    <col min="5895" max="5895" width="10.28515625" style="504" customWidth="1"/>
    <col min="5896" max="5897" width="0" style="504" hidden="1" customWidth="1"/>
    <col min="5898" max="5898" width="13" style="504" bestFit="1" customWidth="1"/>
    <col min="5899" max="6141" width="8.140625" style="504" customWidth="1"/>
    <col min="6142" max="6142" width="4.28515625" style="504" customWidth="1"/>
    <col min="6143" max="6143" width="24.5703125" style="504" customWidth="1"/>
    <col min="6144" max="6144" width="8.28515625" style="504"/>
    <col min="6145" max="6145" width="3.42578125" style="504" customWidth="1"/>
    <col min="6146" max="6146" width="20.140625" style="504" customWidth="1"/>
    <col min="6147" max="6147" width="10.28515625" style="504" customWidth="1"/>
    <col min="6148" max="6148" width="11.28515625" style="504" customWidth="1"/>
    <col min="6149" max="6149" width="10.5703125" style="504" customWidth="1"/>
    <col min="6150" max="6150" width="10.140625" style="504" customWidth="1"/>
    <col min="6151" max="6151" width="10.28515625" style="504" customWidth="1"/>
    <col min="6152" max="6153" width="0" style="504" hidden="1" customWidth="1"/>
    <col min="6154" max="6154" width="13" style="504" bestFit="1" customWidth="1"/>
    <col min="6155" max="6397" width="8.140625" style="504" customWidth="1"/>
    <col min="6398" max="6398" width="4.28515625" style="504" customWidth="1"/>
    <col min="6399" max="6399" width="24.5703125" style="504" customWidth="1"/>
    <col min="6400" max="6400" width="8.28515625" style="504"/>
    <col min="6401" max="6401" width="3.42578125" style="504" customWidth="1"/>
    <col min="6402" max="6402" width="20.140625" style="504" customWidth="1"/>
    <col min="6403" max="6403" width="10.28515625" style="504" customWidth="1"/>
    <col min="6404" max="6404" width="11.28515625" style="504" customWidth="1"/>
    <col min="6405" max="6405" width="10.5703125" style="504" customWidth="1"/>
    <col min="6406" max="6406" width="10.140625" style="504" customWidth="1"/>
    <col min="6407" max="6407" width="10.28515625" style="504" customWidth="1"/>
    <col min="6408" max="6409" width="0" style="504" hidden="1" customWidth="1"/>
    <col min="6410" max="6410" width="13" style="504" bestFit="1" customWidth="1"/>
    <col min="6411" max="6653" width="8.140625" style="504" customWidth="1"/>
    <col min="6654" max="6654" width="4.28515625" style="504" customWidth="1"/>
    <col min="6655" max="6655" width="24.5703125" style="504" customWidth="1"/>
    <col min="6656" max="6656" width="8.28515625" style="504"/>
    <col min="6657" max="6657" width="3.42578125" style="504" customWidth="1"/>
    <col min="6658" max="6658" width="20.140625" style="504" customWidth="1"/>
    <col min="6659" max="6659" width="10.28515625" style="504" customWidth="1"/>
    <col min="6660" max="6660" width="11.28515625" style="504" customWidth="1"/>
    <col min="6661" max="6661" width="10.5703125" style="504" customWidth="1"/>
    <col min="6662" max="6662" width="10.140625" style="504" customWidth="1"/>
    <col min="6663" max="6663" width="10.28515625" style="504" customWidth="1"/>
    <col min="6664" max="6665" width="0" style="504" hidden="1" customWidth="1"/>
    <col min="6666" max="6666" width="13" style="504" bestFit="1" customWidth="1"/>
    <col min="6667" max="6909" width="8.140625" style="504" customWidth="1"/>
    <col min="6910" max="6910" width="4.28515625" style="504" customWidth="1"/>
    <col min="6911" max="6911" width="24.5703125" style="504" customWidth="1"/>
    <col min="6912" max="6912" width="8.28515625" style="504"/>
    <col min="6913" max="6913" width="3.42578125" style="504" customWidth="1"/>
    <col min="6914" max="6914" width="20.140625" style="504" customWidth="1"/>
    <col min="6915" max="6915" width="10.28515625" style="504" customWidth="1"/>
    <col min="6916" max="6916" width="11.28515625" style="504" customWidth="1"/>
    <col min="6917" max="6917" width="10.5703125" style="504" customWidth="1"/>
    <col min="6918" max="6918" width="10.140625" style="504" customWidth="1"/>
    <col min="6919" max="6919" width="10.28515625" style="504" customWidth="1"/>
    <col min="6920" max="6921" width="0" style="504" hidden="1" customWidth="1"/>
    <col min="6922" max="6922" width="13" style="504" bestFit="1" customWidth="1"/>
    <col min="6923" max="7165" width="8.140625" style="504" customWidth="1"/>
    <col min="7166" max="7166" width="4.28515625" style="504" customWidth="1"/>
    <col min="7167" max="7167" width="24.5703125" style="504" customWidth="1"/>
    <col min="7168" max="7168" width="8.28515625" style="504"/>
    <col min="7169" max="7169" width="3.42578125" style="504" customWidth="1"/>
    <col min="7170" max="7170" width="20.140625" style="504" customWidth="1"/>
    <col min="7171" max="7171" width="10.28515625" style="504" customWidth="1"/>
    <col min="7172" max="7172" width="11.28515625" style="504" customWidth="1"/>
    <col min="7173" max="7173" width="10.5703125" style="504" customWidth="1"/>
    <col min="7174" max="7174" width="10.140625" style="504" customWidth="1"/>
    <col min="7175" max="7175" width="10.28515625" style="504" customWidth="1"/>
    <col min="7176" max="7177" width="0" style="504" hidden="1" customWidth="1"/>
    <col min="7178" max="7178" width="13" style="504" bestFit="1" customWidth="1"/>
    <col min="7179" max="7421" width="8.140625" style="504" customWidth="1"/>
    <col min="7422" max="7422" width="4.28515625" style="504" customWidth="1"/>
    <col min="7423" max="7423" width="24.5703125" style="504" customWidth="1"/>
    <col min="7424" max="7424" width="8.28515625" style="504"/>
    <col min="7425" max="7425" width="3.42578125" style="504" customWidth="1"/>
    <col min="7426" max="7426" width="20.140625" style="504" customWidth="1"/>
    <col min="7427" max="7427" width="10.28515625" style="504" customWidth="1"/>
    <col min="7428" max="7428" width="11.28515625" style="504" customWidth="1"/>
    <col min="7429" max="7429" width="10.5703125" style="504" customWidth="1"/>
    <col min="7430" max="7430" width="10.140625" style="504" customWidth="1"/>
    <col min="7431" max="7431" width="10.28515625" style="504" customWidth="1"/>
    <col min="7432" max="7433" width="0" style="504" hidden="1" customWidth="1"/>
    <col min="7434" max="7434" width="13" style="504" bestFit="1" customWidth="1"/>
    <col min="7435" max="7677" width="8.140625" style="504" customWidth="1"/>
    <col min="7678" max="7678" width="4.28515625" style="504" customWidth="1"/>
    <col min="7679" max="7679" width="24.5703125" style="504" customWidth="1"/>
    <col min="7680" max="7680" width="8.28515625" style="504"/>
    <col min="7681" max="7681" width="3.42578125" style="504" customWidth="1"/>
    <col min="7682" max="7682" width="20.140625" style="504" customWidth="1"/>
    <col min="7683" max="7683" width="10.28515625" style="504" customWidth="1"/>
    <col min="7684" max="7684" width="11.28515625" style="504" customWidth="1"/>
    <col min="7685" max="7685" width="10.5703125" style="504" customWidth="1"/>
    <col min="7686" max="7686" width="10.140625" style="504" customWidth="1"/>
    <col min="7687" max="7687" width="10.28515625" style="504" customWidth="1"/>
    <col min="7688" max="7689" width="0" style="504" hidden="1" customWidth="1"/>
    <col min="7690" max="7690" width="13" style="504" bestFit="1" customWidth="1"/>
    <col min="7691" max="7933" width="8.140625" style="504" customWidth="1"/>
    <col min="7934" max="7934" width="4.28515625" style="504" customWidth="1"/>
    <col min="7935" max="7935" width="24.5703125" style="504" customWidth="1"/>
    <col min="7936" max="7936" width="8.28515625" style="504"/>
    <col min="7937" max="7937" width="3.42578125" style="504" customWidth="1"/>
    <col min="7938" max="7938" width="20.140625" style="504" customWidth="1"/>
    <col min="7939" max="7939" width="10.28515625" style="504" customWidth="1"/>
    <col min="7940" max="7940" width="11.28515625" style="504" customWidth="1"/>
    <col min="7941" max="7941" width="10.5703125" style="504" customWidth="1"/>
    <col min="7942" max="7942" width="10.140625" style="504" customWidth="1"/>
    <col min="7943" max="7943" width="10.28515625" style="504" customWidth="1"/>
    <col min="7944" max="7945" width="0" style="504" hidden="1" customWidth="1"/>
    <col min="7946" max="7946" width="13" style="504" bestFit="1" customWidth="1"/>
    <col min="7947" max="8189" width="8.140625" style="504" customWidth="1"/>
    <col min="8190" max="8190" width="4.28515625" style="504" customWidth="1"/>
    <col min="8191" max="8191" width="24.5703125" style="504" customWidth="1"/>
    <col min="8192" max="8192" width="8.28515625" style="504"/>
    <col min="8193" max="8193" width="3.42578125" style="504" customWidth="1"/>
    <col min="8194" max="8194" width="20.140625" style="504" customWidth="1"/>
    <col min="8195" max="8195" width="10.28515625" style="504" customWidth="1"/>
    <col min="8196" max="8196" width="11.28515625" style="504" customWidth="1"/>
    <col min="8197" max="8197" width="10.5703125" style="504" customWidth="1"/>
    <col min="8198" max="8198" width="10.140625" style="504" customWidth="1"/>
    <col min="8199" max="8199" width="10.28515625" style="504" customWidth="1"/>
    <col min="8200" max="8201" width="0" style="504" hidden="1" customWidth="1"/>
    <col min="8202" max="8202" width="13" style="504" bestFit="1" customWidth="1"/>
    <col min="8203" max="8445" width="8.140625" style="504" customWidth="1"/>
    <col min="8446" max="8446" width="4.28515625" style="504" customWidth="1"/>
    <col min="8447" max="8447" width="24.5703125" style="504" customWidth="1"/>
    <col min="8448" max="8448" width="8.28515625" style="504"/>
    <col min="8449" max="8449" width="3.42578125" style="504" customWidth="1"/>
    <col min="8450" max="8450" width="20.140625" style="504" customWidth="1"/>
    <col min="8451" max="8451" width="10.28515625" style="504" customWidth="1"/>
    <col min="8452" max="8452" width="11.28515625" style="504" customWidth="1"/>
    <col min="8453" max="8453" width="10.5703125" style="504" customWidth="1"/>
    <col min="8454" max="8454" width="10.140625" style="504" customWidth="1"/>
    <col min="8455" max="8455" width="10.28515625" style="504" customWidth="1"/>
    <col min="8456" max="8457" width="0" style="504" hidden="1" customWidth="1"/>
    <col min="8458" max="8458" width="13" style="504" bestFit="1" customWidth="1"/>
    <col min="8459" max="8701" width="8.140625" style="504" customWidth="1"/>
    <col min="8702" max="8702" width="4.28515625" style="504" customWidth="1"/>
    <col min="8703" max="8703" width="24.5703125" style="504" customWidth="1"/>
    <col min="8704" max="8704" width="8.28515625" style="504"/>
    <col min="8705" max="8705" width="3.42578125" style="504" customWidth="1"/>
    <col min="8706" max="8706" width="20.140625" style="504" customWidth="1"/>
    <col min="8707" max="8707" width="10.28515625" style="504" customWidth="1"/>
    <col min="8708" max="8708" width="11.28515625" style="504" customWidth="1"/>
    <col min="8709" max="8709" width="10.5703125" style="504" customWidth="1"/>
    <col min="8710" max="8710" width="10.140625" style="504" customWidth="1"/>
    <col min="8711" max="8711" width="10.28515625" style="504" customWidth="1"/>
    <col min="8712" max="8713" width="0" style="504" hidden="1" customWidth="1"/>
    <col min="8714" max="8714" width="13" style="504" bestFit="1" customWidth="1"/>
    <col min="8715" max="8957" width="8.140625" style="504" customWidth="1"/>
    <col min="8958" max="8958" width="4.28515625" style="504" customWidth="1"/>
    <col min="8959" max="8959" width="24.5703125" style="504" customWidth="1"/>
    <col min="8960" max="8960" width="8.28515625" style="504"/>
    <col min="8961" max="8961" width="3.42578125" style="504" customWidth="1"/>
    <col min="8962" max="8962" width="20.140625" style="504" customWidth="1"/>
    <col min="8963" max="8963" width="10.28515625" style="504" customWidth="1"/>
    <col min="8964" max="8964" width="11.28515625" style="504" customWidth="1"/>
    <col min="8965" max="8965" width="10.5703125" style="504" customWidth="1"/>
    <col min="8966" max="8966" width="10.140625" style="504" customWidth="1"/>
    <col min="8967" max="8967" width="10.28515625" style="504" customWidth="1"/>
    <col min="8968" max="8969" width="0" style="504" hidden="1" customWidth="1"/>
    <col min="8970" max="8970" width="13" style="504" bestFit="1" customWidth="1"/>
    <col min="8971" max="9213" width="8.140625" style="504" customWidth="1"/>
    <col min="9214" max="9214" width="4.28515625" style="504" customWidth="1"/>
    <col min="9215" max="9215" width="24.5703125" style="504" customWidth="1"/>
    <col min="9216" max="9216" width="8.28515625" style="504"/>
    <col min="9217" max="9217" width="3.42578125" style="504" customWidth="1"/>
    <col min="9218" max="9218" width="20.140625" style="504" customWidth="1"/>
    <col min="9219" max="9219" width="10.28515625" style="504" customWidth="1"/>
    <col min="9220" max="9220" width="11.28515625" style="504" customWidth="1"/>
    <col min="9221" max="9221" width="10.5703125" style="504" customWidth="1"/>
    <col min="9222" max="9222" width="10.140625" style="504" customWidth="1"/>
    <col min="9223" max="9223" width="10.28515625" style="504" customWidth="1"/>
    <col min="9224" max="9225" width="0" style="504" hidden="1" customWidth="1"/>
    <col min="9226" max="9226" width="13" style="504" bestFit="1" customWidth="1"/>
    <col min="9227" max="9469" width="8.140625" style="504" customWidth="1"/>
    <col min="9470" max="9470" width="4.28515625" style="504" customWidth="1"/>
    <col min="9471" max="9471" width="24.5703125" style="504" customWidth="1"/>
    <col min="9472" max="9472" width="8.28515625" style="504"/>
    <col min="9473" max="9473" width="3.42578125" style="504" customWidth="1"/>
    <col min="9474" max="9474" width="20.140625" style="504" customWidth="1"/>
    <col min="9475" max="9475" width="10.28515625" style="504" customWidth="1"/>
    <col min="9476" max="9476" width="11.28515625" style="504" customWidth="1"/>
    <col min="9477" max="9477" width="10.5703125" style="504" customWidth="1"/>
    <col min="9478" max="9478" width="10.140625" style="504" customWidth="1"/>
    <col min="9479" max="9479" width="10.28515625" style="504" customWidth="1"/>
    <col min="9480" max="9481" width="0" style="504" hidden="1" customWidth="1"/>
    <col min="9482" max="9482" width="13" style="504" bestFit="1" customWidth="1"/>
    <col min="9483" max="9725" width="8.140625" style="504" customWidth="1"/>
    <col min="9726" max="9726" width="4.28515625" style="504" customWidth="1"/>
    <col min="9727" max="9727" width="24.5703125" style="504" customWidth="1"/>
    <col min="9728" max="9728" width="8.28515625" style="504"/>
    <col min="9729" max="9729" width="3.42578125" style="504" customWidth="1"/>
    <col min="9730" max="9730" width="20.140625" style="504" customWidth="1"/>
    <col min="9731" max="9731" width="10.28515625" style="504" customWidth="1"/>
    <col min="9732" max="9732" width="11.28515625" style="504" customWidth="1"/>
    <col min="9733" max="9733" width="10.5703125" style="504" customWidth="1"/>
    <col min="9734" max="9734" width="10.140625" style="504" customWidth="1"/>
    <col min="9735" max="9735" width="10.28515625" style="504" customWidth="1"/>
    <col min="9736" max="9737" width="0" style="504" hidden="1" customWidth="1"/>
    <col min="9738" max="9738" width="13" style="504" bestFit="1" customWidth="1"/>
    <col min="9739" max="9981" width="8.140625" style="504" customWidth="1"/>
    <col min="9982" max="9982" width="4.28515625" style="504" customWidth="1"/>
    <col min="9983" max="9983" width="24.5703125" style="504" customWidth="1"/>
    <col min="9984" max="9984" width="8.28515625" style="504"/>
    <col min="9985" max="9985" width="3.42578125" style="504" customWidth="1"/>
    <col min="9986" max="9986" width="20.140625" style="504" customWidth="1"/>
    <col min="9987" max="9987" width="10.28515625" style="504" customWidth="1"/>
    <col min="9988" max="9988" width="11.28515625" style="504" customWidth="1"/>
    <col min="9989" max="9989" width="10.5703125" style="504" customWidth="1"/>
    <col min="9990" max="9990" width="10.140625" style="504" customWidth="1"/>
    <col min="9991" max="9991" width="10.28515625" style="504" customWidth="1"/>
    <col min="9992" max="9993" width="0" style="504" hidden="1" customWidth="1"/>
    <col min="9994" max="9994" width="13" style="504" bestFit="1" customWidth="1"/>
    <col min="9995" max="10237" width="8.140625" style="504" customWidth="1"/>
    <col min="10238" max="10238" width="4.28515625" style="504" customWidth="1"/>
    <col min="10239" max="10239" width="24.5703125" style="504" customWidth="1"/>
    <col min="10240" max="10240" width="8.28515625" style="504"/>
    <col min="10241" max="10241" width="3.42578125" style="504" customWidth="1"/>
    <col min="10242" max="10242" width="20.140625" style="504" customWidth="1"/>
    <col min="10243" max="10243" width="10.28515625" style="504" customWidth="1"/>
    <col min="10244" max="10244" width="11.28515625" style="504" customWidth="1"/>
    <col min="10245" max="10245" width="10.5703125" style="504" customWidth="1"/>
    <col min="10246" max="10246" width="10.140625" style="504" customWidth="1"/>
    <col min="10247" max="10247" width="10.28515625" style="504" customWidth="1"/>
    <col min="10248" max="10249" width="0" style="504" hidden="1" customWidth="1"/>
    <col min="10250" max="10250" width="13" style="504" bestFit="1" customWidth="1"/>
    <col min="10251" max="10493" width="8.140625" style="504" customWidth="1"/>
    <col min="10494" max="10494" width="4.28515625" style="504" customWidth="1"/>
    <col min="10495" max="10495" width="24.5703125" style="504" customWidth="1"/>
    <col min="10496" max="10496" width="8.28515625" style="504"/>
    <col min="10497" max="10497" width="3.42578125" style="504" customWidth="1"/>
    <col min="10498" max="10498" width="20.140625" style="504" customWidth="1"/>
    <col min="10499" max="10499" width="10.28515625" style="504" customWidth="1"/>
    <col min="10500" max="10500" width="11.28515625" style="504" customWidth="1"/>
    <col min="10501" max="10501" width="10.5703125" style="504" customWidth="1"/>
    <col min="10502" max="10502" width="10.140625" style="504" customWidth="1"/>
    <col min="10503" max="10503" width="10.28515625" style="504" customWidth="1"/>
    <col min="10504" max="10505" width="0" style="504" hidden="1" customWidth="1"/>
    <col min="10506" max="10506" width="13" style="504" bestFit="1" customWidth="1"/>
    <col min="10507" max="10749" width="8.140625" style="504" customWidth="1"/>
    <col min="10750" max="10750" width="4.28515625" style="504" customWidth="1"/>
    <col min="10751" max="10751" width="24.5703125" style="504" customWidth="1"/>
    <col min="10752" max="10752" width="8.28515625" style="504"/>
    <col min="10753" max="10753" width="3.42578125" style="504" customWidth="1"/>
    <col min="10754" max="10754" width="20.140625" style="504" customWidth="1"/>
    <col min="10755" max="10755" width="10.28515625" style="504" customWidth="1"/>
    <col min="10756" max="10756" width="11.28515625" style="504" customWidth="1"/>
    <col min="10757" max="10757" width="10.5703125" style="504" customWidth="1"/>
    <col min="10758" max="10758" width="10.140625" style="504" customWidth="1"/>
    <col min="10759" max="10759" width="10.28515625" style="504" customWidth="1"/>
    <col min="10760" max="10761" width="0" style="504" hidden="1" customWidth="1"/>
    <col min="10762" max="10762" width="13" style="504" bestFit="1" customWidth="1"/>
    <col min="10763" max="11005" width="8.140625" style="504" customWidth="1"/>
    <col min="11006" max="11006" width="4.28515625" style="504" customWidth="1"/>
    <col min="11007" max="11007" width="24.5703125" style="504" customWidth="1"/>
    <col min="11008" max="11008" width="8.28515625" style="504"/>
    <col min="11009" max="11009" width="3.42578125" style="504" customWidth="1"/>
    <col min="11010" max="11010" width="20.140625" style="504" customWidth="1"/>
    <col min="11011" max="11011" width="10.28515625" style="504" customWidth="1"/>
    <col min="11012" max="11012" width="11.28515625" style="504" customWidth="1"/>
    <col min="11013" max="11013" width="10.5703125" style="504" customWidth="1"/>
    <col min="11014" max="11014" width="10.140625" style="504" customWidth="1"/>
    <col min="11015" max="11015" width="10.28515625" style="504" customWidth="1"/>
    <col min="11016" max="11017" width="0" style="504" hidden="1" customWidth="1"/>
    <col min="11018" max="11018" width="13" style="504" bestFit="1" customWidth="1"/>
    <col min="11019" max="11261" width="8.140625" style="504" customWidth="1"/>
    <col min="11262" max="11262" width="4.28515625" style="504" customWidth="1"/>
    <col min="11263" max="11263" width="24.5703125" style="504" customWidth="1"/>
    <col min="11264" max="11264" width="8.28515625" style="504"/>
    <col min="11265" max="11265" width="3.42578125" style="504" customWidth="1"/>
    <col min="11266" max="11266" width="20.140625" style="504" customWidth="1"/>
    <col min="11267" max="11267" width="10.28515625" style="504" customWidth="1"/>
    <col min="11268" max="11268" width="11.28515625" style="504" customWidth="1"/>
    <col min="11269" max="11269" width="10.5703125" style="504" customWidth="1"/>
    <col min="11270" max="11270" width="10.140625" style="504" customWidth="1"/>
    <col min="11271" max="11271" width="10.28515625" style="504" customWidth="1"/>
    <col min="11272" max="11273" width="0" style="504" hidden="1" customWidth="1"/>
    <col min="11274" max="11274" width="13" style="504" bestFit="1" customWidth="1"/>
    <col min="11275" max="11517" width="8.140625" style="504" customWidth="1"/>
    <col min="11518" max="11518" width="4.28515625" style="504" customWidth="1"/>
    <col min="11519" max="11519" width="24.5703125" style="504" customWidth="1"/>
    <col min="11520" max="11520" width="8.28515625" style="504"/>
    <col min="11521" max="11521" width="3.42578125" style="504" customWidth="1"/>
    <col min="11522" max="11522" width="20.140625" style="504" customWidth="1"/>
    <col min="11523" max="11523" width="10.28515625" style="504" customWidth="1"/>
    <col min="11524" max="11524" width="11.28515625" style="504" customWidth="1"/>
    <col min="11525" max="11525" width="10.5703125" style="504" customWidth="1"/>
    <col min="11526" max="11526" width="10.140625" style="504" customWidth="1"/>
    <col min="11527" max="11527" width="10.28515625" style="504" customWidth="1"/>
    <col min="11528" max="11529" width="0" style="504" hidden="1" customWidth="1"/>
    <col min="11530" max="11530" width="13" style="504" bestFit="1" customWidth="1"/>
    <col min="11531" max="11773" width="8.140625" style="504" customWidth="1"/>
    <col min="11774" max="11774" width="4.28515625" style="504" customWidth="1"/>
    <col min="11775" max="11775" width="24.5703125" style="504" customWidth="1"/>
    <col min="11776" max="11776" width="8.28515625" style="504"/>
    <col min="11777" max="11777" width="3.42578125" style="504" customWidth="1"/>
    <col min="11778" max="11778" width="20.140625" style="504" customWidth="1"/>
    <col min="11779" max="11779" width="10.28515625" style="504" customWidth="1"/>
    <col min="11780" max="11780" width="11.28515625" style="504" customWidth="1"/>
    <col min="11781" max="11781" width="10.5703125" style="504" customWidth="1"/>
    <col min="11782" max="11782" width="10.140625" style="504" customWidth="1"/>
    <col min="11783" max="11783" width="10.28515625" style="504" customWidth="1"/>
    <col min="11784" max="11785" width="0" style="504" hidden="1" customWidth="1"/>
    <col min="11786" max="11786" width="13" style="504" bestFit="1" customWidth="1"/>
    <col min="11787" max="12029" width="8.140625" style="504" customWidth="1"/>
    <col min="12030" max="12030" width="4.28515625" style="504" customWidth="1"/>
    <col min="12031" max="12031" width="24.5703125" style="504" customWidth="1"/>
    <col min="12032" max="12032" width="8.28515625" style="504"/>
    <col min="12033" max="12033" width="3.42578125" style="504" customWidth="1"/>
    <col min="12034" max="12034" width="20.140625" style="504" customWidth="1"/>
    <col min="12035" max="12035" width="10.28515625" style="504" customWidth="1"/>
    <col min="12036" max="12036" width="11.28515625" style="504" customWidth="1"/>
    <col min="12037" max="12037" width="10.5703125" style="504" customWidth="1"/>
    <col min="12038" max="12038" width="10.140625" style="504" customWidth="1"/>
    <col min="12039" max="12039" width="10.28515625" style="504" customWidth="1"/>
    <col min="12040" max="12041" width="0" style="504" hidden="1" customWidth="1"/>
    <col min="12042" max="12042" width="13" style="504" bestFit="1" customWidth="1"/>
    <col min="12043" max="12285" width="8.140625" style="504" customWidth="1"/>
    <col min="12286" max="12286" width="4.28515625" style="504" customWidth="1"/>
    <col min="12287" max="12287" width="24.5703125" style="504" customWidth="1"/>
    <col min="12288" max="12288" width="8.28515625" style="504"/>
    <col min="12289" max="12289" width="3.42578125" style="504" customWidth="1"/>
    <col min="12290" max="12290" width="20.140625" style="504" customWidth="1"/>
    <col min="12291" max="12291" width="10.28515625" style="504" customWidth="1"/>
    <col min="12292" max="12292" width="11.28515625" style="504" customWidth="1"/>
    <col min="12293" max="12293" width="10.5703125" style="504" customWidth="1"/>
    <col min="12294" max="12294" width="10.140625" style="504" customWidth="1"/>
    <col min="12295" max="12295" width="10.28515625" style="504" customWidth="1"/>
    <col min="12296" max="12297" width="0" style="504" hidden="1" customWidth="1"/>
    <col min="12298" max="12298" width="13" style="504" bestFit="1" customWidth="1"/>
    <col min="12299" max="12541" width="8.140625" style="504" customWidth="1"/>
    <col min="12542" max="12542" width="4.28515625" style="504" customWidth="1"/>
    <col min="12543" max="12543" width="24.5703125" style="504" customWidth="1"/>
    <col min="12544" max="12544" width="8.28515625" style="504"/>
    <col min="12545" max="12545" width="3.42578125" style="504" customWidth="1"/>
    <col min="12546" max="12546" width="20.140625" style="504" customWidth="1"/>
    <col min="12547" max="12547" width="10.28515625" style="504" customWidth="1"/>
    <col min="12548" max="12548" width="11.28515625" style="504" customWidth="1"/>
    <col min="12549" max="12549" width="10.5703125" style="504" customWidth="1"/>
    <col min="12550" max="12550" width="10.140625" style="504" customWidth="1"/>
    <col min="12551" max="12551" width="10.28515625" style="504" customWidth="1"/>
    <col min="12552" max="12553" width="0" style="504" hidden="1" customWidth="1"/>
    <col min="12554" max="12554" width="13" style="504" bestFit="1" customWidth="1"/>
    <col min="12555" max="12797" width="8.140625" style="504" customWidth="1"/>
    <col min="12798" max="12798" width="4.28515625" style="504" customWidth="1"/>
    <col min="12799" max="12799" width="24.5703125" style="504" customWidth="1"/>
    <col min="12800" max="12800" width="8.28515625" style="504"/>
    <col min="12801" max="12801" width="3.42578125" style="504" customWidth="1"/>
    <col min="12802" max="12802" width="20.140625" style="504" customWidth="1"/>
    <col min="12803" max="12803" width="10.28515625" style="504" customWidth="1"/>
    <col min="12804" max="12804" width="11.28515625" style="504" customWidth="1"/>
    <col min="12805" max="12805" width="10.5703125" style="504" customWidth="1"/>
    <col min="12806" max="12806" width="10.140625" style="504" customWidth="1"/>
    <col min="12807" max="12807" width="10.28515625" style="504" customWidth="1"/>
    <col min="12808" max="12809" width="0" style="504" hidden="1" customWidth="1"/>
    <col min="12810" max="12810" width="13" style="504" bestFit="1" customWidth="1"/>
    <col min="12811" max="13053" width="8.140625" style="504" customWidth="1"/>
    <col min="13054" max="13054" width="4.28515625" style="504" customWidth="1"/>
    <col min="13055" max="13055" width="24.5703125" style="504" customWidth="1"/>
    <col min="13056" max="13056" width="8.28515625" style="504"/>
    <col min="13057" max="13057" width="3.42578125" style="504" customWidth="1"/>
    <col min="13058" max="13058" width="20.140625" style="504" customWidth="1"/>
    <col min="13059" max="13059" width="10.28515625" style="504" customWidth="1"/>
    <col min="13060" max="13060" width="11.28515625" style="504" customWidth="1"/>
    <col min="13061" max="13061" width="10.5703125" style="504" customWidth="1"/>
    <col min="13062" max="13062" width="10.140625" style="504" customWidth="1"/>
    <col min="13063" max="13063" width="10.28515625" style="504" customWidth="1"/>
    <col min="13064" max="13065" width="0" style="504" hidden="1" customWidth="1"/>
    <col min="13066" max="13066" width="13" style="504" bestFit="1" customWidth="1"/>
    <col min="13067" max="13309" width="8.140625" style="504" customWidth="1"/>
    <col min="13310" max="13310" width="4.28515625" style="504" customWidth="1"/>
    <col min="13311" max="13311" width="24.5703125" style="504" customWidth="1"/>
    <col min="13312" max="13312" width="8.28515625" style="504"/>
    <col min="13313" max="13313" width="3.42578125" style="504" customWidth="1"/>
    <col min="13314" max="13314" width="20.140625" style="504" customWidth="1"/>
    <col min="13315" max="13315" width="10.28515625" style="504" customWidth="1"/>
    <col min="13316" max="13316" width="11.28515625" style="504" customWidth="1"/>
    <col min="13317" max="13317" width="10.5703125" style="504" customWidth="1"/>
    <col min="13318" max="13318" width="10.140625" style="504" customWidth="1"/>
    <col min="13319" max="13319" width="10.28515625" style="504" customWidth="1"/>
    <col min="13320" max="13321" width="0" style="504" hidden="1" customWidth="1"/>
    <col min="13322" max="13322" width="13" style="504" bestFit="1" customWidth="1"/>
    <col min="13323" max="13565" width="8.140625" style="504" customWidth="1"/>
    <col min="13566" max="13566" width="4.28515625" style="504" customWidth="1"/>
    <col min="13567" max="13567" width="24.5703125" style="504" customWidth="1"/>
    <col min="13568" max="13568" width="8.28515625" style="504"/>
    <col min="13569" max="13569" width="3.42578125" style="504" customWidth="1"/>
    <col min="13570" max="13570" width="20.140625" style="504" customWidth="1"/>
    <col min="13571" max="13571" width="10.28515625" style="504" customWidth="1"/>
    <col min="13572" max="13572" width="11.28515625" style="504" customWidth="1"/>
    <col min="13573" max="13573" width="10.5703125" style="504" customWidth="1"/>
    <col min="13574" max="13574" width="10.140625" style="504" customWidth="1"/>
    <col min="13575" max="13575" width="10.28515625" style="504" customWidth="1"/>
    <col min="13576" max="13577" width="0" style="504" hidden="1" customWidth="1"/>
    <col min="13578" max="13578" width="13" style="504" bestFit="1" customWidth="1"/>
    <col min="13579" max="13821" width="8.140625" style="504" customWidth="1"/>
    <col min="13822" max="13822" width="4.28515625" style="504" customWidth="1"/>
    <col min="13823" max="13823" width="24.5703125" style="504" customWidth="1"/>
    <col min="13824" max="13824" width="8.28515625" style="504"/>
    <col min="13825" max="13825" width="3.42578125" style="504" customWidth="1"/>
    <col min="13826" max="13826" width="20.140625" style="504" customWidth="1"/>
    <col min="13827" max="13827" width="10.28515625" style="504" customWidth="1"/>
    <col min="13828" max="13828" width="11.28515625" style="504" customWidth="1"/>
    <col min="13829" max="13829" width="10.5703125" style="504" customWidth="1"/>
    <col min="13830" max="13830" width="10.140625" style="504" customWidth="1"/>
    <col min="13831" max="13831" width="10.28515625" style="504" customWidth="1"/>
    <col min="13832" max="13833" width="0" style="504" hidden="1" customWidth="1"/>
    <col min="13834" max="13834" width="13" style="504" bestFit="1" customWidth="1"/>
    <col min="13835" max="14077" width="8.140625" style="504" customWidth="1"/>
    <col min="14078" max="14078" width="4.28515625" style="504" customWidth="1"/>
    <col min="14079" max="14079" width="24.5703125" style="504" customWidth="1"/>
    <col min="14080" max="14080" width="8.28515625" style="504"/>
    <col min="14081" max="14081" width="3.42578125" style="504" customWidth="1"/>
    <col min="14082" max="14082" width="20.140625" style="504" customWidth="1"/>
    <col min="14083" max="14083" width="10.28515625" style="504" customWidth="1"/>
    <col min="14084" max="14084" width="11.28515625" style="504" customWidth="1"/>
    <col min="14085" max="14085" width="10.5703125" style="504" customWidth="1"/>
    <col min="14086" max="14086" width="10.140625" style="504" customWidth="1"/>
    <col min="14087" max="14087" width="10.28515625" style="504" customWidth="1"/>
    <col min="14088" max="14089" width="0" style="504" hidden="1" customWidth="1"/>
    <col min="14090" max="14090" width="13" style="504" bestFit="1" customWidth="1"/>
    <col min="14091" max="14333" width="8.140625" style="504" customWidth="1"/>
    <col min="14334" max="14334" width="4.28515625" style="504" customWidth="1"/>
    <col min="14335" max="14335" width="24.5703125" style="504" customWidth="1"/>
    <col min="14336" max="14336" width="8.28515625" style="504"/>
    <col min="14337" max="14337" width="3.42578125" style="504" customWidth="1"/>
    <col min="14338" max="14338" width="20.140625" style="504" customWidth="1"/>
    <col min="14339" max="14339" width="10.28515625" style="504" customWidth="1"/>
    <col min="14340" max="14340" width="11.28515625" style="504" customWidth="1"/>
    <col min="14341" max="14341" width="10.5703125" style="504" customWidth="1"/>
    <col min="14342" max="14342" width="10.140625" style="504" customWidth="1"/>
    <col min="14343" max="14343" width="10.28515625" style="504" customWidth="1"/>
    <col min="14344" max="14345" width="0" style="504" hidden="1" customWidth="1"/>
    <col min="14346" max="14346" width="13" style="504" bestFit="1" customWidth="1"/>
    <col min="14347" max="14589" width="8.140625" style="504" customWidth="1"/>
    <col min="14590" max="14590" width="4.28515625" style="504" customWidth="1"/>
    <col min="14591" max="14591" width="24.5703125" style="504" customWidth="1"/>
    <col min="14592" max="14592" width="8.28515625" style="504"/>
    <col min="14593" max="14593" width="3.42578125" style="504" customWidth="1"/>
    <col min="14594" max="14594" width="20.140625" style="504" customWidth="1"/>
    <col min="14595" max="14595" width="10.28515625" style="504" customWidth="1"/>
    <col min="14596" max="14596" width="11.28515625" style="504" customWidth="1"/>
    <col min="14597" max="14597" width="10.5703125" style="504" customWidth="1"/>
    <col min="14598" max="14598" width="10.140625" style="504" customWidth="1"/>
    <col min="14599" max="14599" width="10.28515625" style="504" customWidth="1"/>
    <col min="14600" max="14601" width="0" style="504" hidden="1" customWidth="1"/>
    <col min="14602" max="14602" width="13" style="504" bestFit="1" customWidth="1"/>
    <col min="14603" max="14845" width="8.140625" style="504" customWidth="1"/>
    <col min="14846" max="14846" width="4.28515625" style="504" customWidth="1"/>
    <col min="14847" max="14847" width="24.5703125" style="504" customWidth="1"/>
    <col min="14848" max="14848" width="8.28515625" style="504"/>
    <col min="14849" max="14849" width="3.42578125" style="504" customWidth="1"/>
    <col min="14850" max="14850" width="20.140625" style="504" customWidth="1"/>
    <col min="14851" max="14851" width="10.28515625" style="504" customWidth="1"/>
    <col min="14852" max="14852" width="11.28515625" style="504" customWidth="1"/>
    <col min="14853" max="14853" width="10.5703125" style="504" customWidth="1"/>
    <col min="14854" max="14854" width="10.140625" style="504" customWidth="1"/>
    <col min="14855" max="14855" width="10.28515625" style="504" customWidth="1"/>
    <col min="14856" max="14857" width="0" style="504" hidden="1" customWidth="1"/>
    <col min="14858" max="14858" width="13" style="504" bestFit="1" customWidth="1"/>
    <col min="14859" max="15101" width="8.140625" style="504" customWidth="1"/>
    <col min="15102" max="15102" width="4.28515625" style="504" customWidth="1"/>
    <col min="15103" max="15103" width="24.5703125" style="504" customWidth="1"/>
    <col min="15104" max="15104" width="8.28515625" style="504"/>
    <col min="15105" max="15105" width="3.42578125" style="504" customWidth="1"/>
    <col min="15106" max="15106" width="20.140625" style="504" customWidth="1"/>
    <col min="15107" max="15107" width="10.28515625" style="504" customWidth="1"/>
    <col min="15108" max="15108" width="11.28515625" style="504" customWidth="1"/>
    <col min="15109" max="15109" width="10.5703125" style="504" customWidth="1"/>
    <col min="15110" max="15110" width="10.140625" style="504" customWidth="1"/>
    <col min="15111" max="15111" width="10.28515625" style="504" customWidth="1"/>
    <col min="15112" max="15113" width="0" style="504" hidden="1" customWidth="1"/>
    <col min="15114" max="15114" width="13" style="504" bestFit="1" customWidth="1"/>
    <col min="15115" max="15357" width="8.140625" style="504" customWidth="1"/>
    <col min="15358" max="15358" width="4.28515625" style="504" customWidth="1"/>
    <col min="15359" max="15359" width="24.5703125" style="504" customWidth="1"/>
    <col min="15360" max="15360" width="8.28515625" style="504"/>
    <col min="15361" max="15361" width="3.42578125" style="504" customWidth="1"/>
    <col min="15362" max="15362" width="20.140625" style="504" customWidth="1"/>
    <col min="15363" max="15363" width="10.28515625" style="504" customWidth="1"/>
    <col min="15364" max="15364" width="11.28515625" style="504" customWidth="1"/>
    <col min="15365" max="15365" width="10.5703125" style="504" customWidth="1"/>
    <col min="15366" max="15366" width="10.140625" style="504" customWidth="1"/>
    <col min="15367" max="15367" width="10.28515625" style="504" customWidth="1"/>
    <col min="15368" max="15369" width="0" style="504" hidden="1" customWidth="1"/>
    <col min="15370" max="15370" width="13" style="504" bestFit="1" customWidth="1"/>
    <col min="15371" max="15613" width="8.140625" style="504" customWidth="1"/>
    <col min="15614" max="15614" width="4.28515625" style="504" customWidth="1"/>
    <col min="15615" max="15615" width="24.5703125" style="504" customWidth="1"/>
    <col min="15616" max="15616" width="8.28515625" style="504"/>
    <col min="15617" max="15617" width="3.42578125" style="504" customWidth="1"/>
    <col min="15618" max="15618" width="20.140625" style="504" customWidth="1"/>
    <col min="15619" max="15619" width="10.28515625" style="504" customWidth="1"/>
    <col min="15620" max="15620" width="11.28515625" style="504" customWidth="1"/>
    <col min="15621" max="15621" width="10.5703125" style="504" customWidth="1"/>
    <col min="15622" max="15622" width="10.140625" style="504" customWidth="1"/>
    <col min="15623" max="15623" width="10.28515625" style="504" customWidth="1"/>
    <col min="15624" max="15625" width="0" style="504" hidden="1" customWidth="1"/>
    <col min="15626" max="15626" width="13" style="504" bestFit="1" customWidth="1"/>
    <col min="15627" max="15869" width="8.140625" style="504" customWidth="1"/>
    <col min="15870" max="15870" width="4.28515625" style="504" customWidth="1"/>
    <col min="15871" max="15871" width="24.5703125" style="504" customWidth="1"/>
    <col min="15872" max="15872" width="8.28515625" style="504"/>
    <col min="15873" max="15873" width="3.42578125" style="504" customWidth="1"/>
    <col min="15874" max="15874" width="20.140625" style="504" customWidth="1"/>
    <col min="15875" max="15875" width="10.28515625" style="504" customWidth="1"/>
    <col min="15876" max="15876" width="11.28515625" style="504" customWidth="1"/>
    <col min="15877" max="15877" width="10.5703125" style="504" customWidth="1"/>
    <col min="15878" max="15878" width="10.140625" style="504" customWidth="1"/>
    <col min="15879" max="15879" width="10.28515625" style="504" customWidth="1"/>
    <col min="15880" max="15881" width="0" style="504" hidden="1" customWidth="1"/>
    <col min="15882" max="15882" width="13" style="504" bestFit="1" customWidth="1"/>
    <col min="15883" max="16125" width="8.140625" style="504" customWidth="1"/>
    <col min="16126" max="16126" width="4.28515625" style="504" customWidth="1"/>
    <col min="16127" max="16127" width="24.5703125" style="504" customWidth="1"/>
    <col min="16128" max="16128" width="8.28515625" style="504"/>
    <col min="16129" max="16129" width="3.42578125" style="504" customWidth="1"/>
    <col min="16130" max="16130" width="20.140625" style="504" customWidth="1"/>
    <col min="16131" max="16131" width="10.28515625" style="504" customWidth="1"/>
    <col min="16132" max="16132" width="11.28515625" style="504" customWidth="1"/>
    <col min="16133" max="16133" width="10.5703125" style="504" customWidth="1"/>
    <col min="16134" max="16134" width="10.140625" style="504" customWidth="1"/>
    <col min="16135" max="16135" width="10.28515625" style="504" customWidth="1"/>
    <col min="16136" max="16137" width="0" style="504" hidden="1" customWidth="1"/>
    <col min="16138" max="16138" width="13" style="504" bestFit="1" customWidth="1"/>
    <col min="16139" max="16381" width="8.140625" style="504" customWidth="1"/>
    <col min="16382" max="16382" width="4.28515625" style="504" customWidth="1"/>
    <col min="16383" max="16383" width="24.5703125" style="504" customWidth="1"/>
    <col min="16384" max="16384" width="8.28515625" style="504"/>
  </cols>
  <sheetData>
    <row r="1" spans="1:249" ht="18.75">
      <c r="A1" s="500" t="s">
        <v>1</v>
      </c>
      <c r="B1" s="501"/>
      <c r="C1" s="502"/>
      <c r="D1" s="502"/>
      <c r="E1" s="502"/>
      <c r="F1" s="502"/>
      <c r="G1" s="502"/>
      <c r="H1" s="502"/>
      <c r="I1" s="503"/>
      <c r="J1" s="502"/>
      <c r="K1" s="502"/>
      <c r="L1" s="502"/>
      <c r="M1" s="502"/>
      <c r="N1" s="502"/>
      <c r="O1" s="502"/>
      <c r="P1" s="502"/>
      <c r="Q1" s="502"/>
      <c r="R1" s="502"/>
      <c r="S1" s="502"/>
      <c r="T1" s="502"/>
      <c r="U1" s="502"/>
      <c r="V1" s="502"/>
      <c r="W1" s="502"/>
      <c r="X1" s="502"/>
      <c r="Y1" s="502"/>
      <c r="Z1" s="502"/>
      <c r="AA1" s="502"/>
      <c r="AB1" s="502"/>
      <c r="AC1" s="502"/>
      <c r="AD1" s="502"/>
      <c r="AE1" s="502"/>
      <c r="AF1" s="502"/>
      <c r="AG1" s="502"/>
      <c r="AH1" s="502"/>
      <c r="AI1" s="502"/>
      <c r="AJ1" s="502"/>
      <c r="AK1" s="502"/>
      <c r="AL1" s="502"/>
      <c r="AM1" s="502"/>
      <c r="AN1" s="502"/>
      <c r="AO1" s="502"/>
      <c r="AP1" s="502"/>
      <c r="AQ1" s="502"/>
      <c r="AR1" s="502"/>
      <c r="AS1" s="502"/>
      <c r="AT1" s="502"/>
      <c r="AU1" s="502"/>
      <c r="AV1" s="502"/>
      <c r="AW1" s="502"/>
      <c r="AX1" s="502"/>
      <c r="AY1" s="502"/>
      <c r="AZ1" s="502"/>
      <c r="BA1" s="502"/>
      <c r="BB1" s="502"/>
      <c r="BC1" s="502"/>
      <c r="BD1" s="502"/>
      <c r="BE1" s="502"/>
      <c r="BF1" s="502"/>
      <c r="BG1" s="502"/>
      <c r="BH1" s="502"/>
      <c r="BI1" s="502"/>
      <c r="BJ1" s="502"/>
      <c r="BK1" s="502"/>
      <c r="BL1" s="502"/>
      <c r="BM1" s="502"/>
      <c r="BN1" s="502"/>
      <c r="BO1" s="502"/>
      <c r="BP1" s="502"/>
      <c r="BQ1" s="502"/>
      <c r="BR1" s="502"/>
      <c r="BS1" s="502"/>
      <c r="BT1" s="502"/>
      <c r="BU1" s="502"/>
      <c r="BV1" s="502"/>
      <c r="BW1" s="502"/>
      <c r="BX1" s="502"/>
      <c r="BY1" s="502"/>
      <c r="BZ1" s="502"/>
      <c r="CA1" s="502"/>
      <c r="CB1" s="502"/>
      <c r="CC1" s="502"/>
      <c r="CD1" s="502"/>
      <c r="CE1" s="502"/>
      <c r="CF1" s="502"/>
      <c r="CG1" s="502"/>
      <c r="CH1" s="502"/>
      <c r="CI1" s="502"/>
      <c r="CJ1" s="502"/>
      <c r="CK1" s="502"/>
      <c r="CL1" s="502"/>
      <c r="CM1" s="502"/>
      <c r="CN1" s="502"/>
      <c r="CO1" s="502"/>
      <c r="CP1" s="502"/>
      <c r="CQ1" s="502"/>
      <c r="CR1" s="502"/>
      <c r="CS1" s="502"/>
      <c r="CT1" s="502"/>
      <c r="CU1" s="502"/>
      <c r="CV1" s="502"/>
      <c r="CW1" s="502"/>
      <c r="CX1" s="502"/>
      <c r="CY1" s="502"/>
      <c r="CZ1" s="502"/>
      <c r="DA1" s="502"/>
      <c r="DB1" s="502"/>
      <c r="DC1" s="502"/>
      <c r="DD1" s="502"/>
      <c r="DE1" s="502"/>
      <c r="DF1" s="502"/>
      <c r="DG1" s="502"/>
      <c r="DH1" s="502"/>
      <c r="DI1" s="502"/>
      <c r="DJ1" s="502"/>
      <c r="DK1" s="502"/>
      <c r="DL1" s="502"/>
      <c r="DM1" s="502"/>
      <c r="DN1" s="502"/>
      <c r="DO1" s="502"/>
      <c r="DP1" s="502"/>
      <c r="DQ1" s="502"/>
      <c r="DR1" s="502"/>
      <c r="DS1" s="502"/>
      <c r="DT1" s="502"/>
      <c r="DU1" s="502"/>
      <c r="DV1" s="502"/>
      <c r="DW1" s="502"/>
      <c r="DX1" s="502"/>
      <c r="DY1" s="502"/>
      <c r="DZ1" s="502"/>
      <c r="EA1" s="502"/>
      <c r="EB1" s="502"/>
      <c r="EC1" s="502"/>
      <c r="ED1" s="502"/>
      <c r="EE1" s="502"/>
      <c r="EF1" s="502"/>
      <c r="EG1" s="502"/>
      <c r="EH1" s="502"/>
      <c r="EI1" s="502"/>
      <c r="EJ1" s="502"/>
      <c r="EK1" s="502"/>
      <c r="EL1" s="502"/>
      <c r="EM1" s="502"/>
      <c r="EN1" s="502"/>
      <c r="EO1" s="502"/>
      <c r="EP1" s="502"/>
      <c r="EQ1" s="502"/>
      <c r="ER1" s="502"/>
      <c r="ES1" s="502"/>
      <c r="ET1" s="502"/>
      <c r="EU1" s="502"/>
      <c r="EV1" s="502"/>
      <c r="EW1" s="502"/>
      <c r="EX1" s="502"/>
      <c r="EY1" s="502"/>
      <c r="EZ1" s="502"/>
      <c r="FA1" s="502"/>
      <c r="FB1" s="502"/>
      <c r="FC1" s="502"/>
      <c r="FD1" s="502"/>
      <c r="FE1" s="502"/>
      <c r="FF1" s="502"/>
      <c r="FG1" s="502"/>
      <c r="FH1" s="502"/>
      <c r="FI1" s="502"/>
      <c r="FJ1" s="502"/>
      <c r="FK1" s="502"/>
      <c r="FL1" s="502"/>
      <c r="FM1" s="502"/>
      <c r="FN1" s="502"/>
      <c r="FO1" s="502"/>
      <c r="FP1" s="502"/>
      <c r="FQ1" s="502"/>
      <c r="FR1" s="502"/>
      <c r="FS1" s="502"/>
      <c r="FT1" s="502"/>
      <c r="FU1" s="502"/>
      <c r="FV1" s="502"/>
      <c r="FW1" s="502"/>
      <c r="FX1" s="502"/>
      <c r="FY1" s="502"/>
      <c r="FZ1" s="502"/>
      <c r="GA1" s="502"/>
      <c r="GB1" s="502"/>
      <c r="GC1" s="502"/>
      <c r="GD1" s="502"/>
      <c r="GE1" s="502"/>
      <c r="GF1" s="502"/>
      <c r="GG1" s="502"/>
      <c r="GH1" s="502"/>
      <c r="GI1" s="502"/>
      <c r="GJ1" s="502"/>
      <c r="GK1" s="502"/>
      <c r="GL1" s="502"/>
      <c r="GM1" s="502"/>
      <c r="GN1" s="502"/>
      <c r="GO1" s="502"/>
      <c r="GP1" s="502"/>
      <c r="GQ1" s="502"/>
      <c r="GR1" s="502"/>
      <c r="GS1" s="502"/>
      <c r="GT1" s="502"/>
      <c r="GU1" s="502"/>
      <c r="GV1" s="502"/>
      <c r="GW1" s="502"/>
      <c r="GX1" s="502"/>
      <c r="GY1" s="502"/>
      <c r="GZ1" s="502"/>
      <c r="HA1" s="502"/>
      <c r="HB1" s="502"/>
      <c r="HC1" s="502"/>
      <c r="HD1" s="502"/>
      <c r="HE1" s="502"/>
      <c r="HF1" s="502"/>
      <c r="HG1" s="502"/>
      <c r="HH1" s="502"/>
      <c r="HI1" s="502"/>
      <c r="HJ1" s="502"/>
      <c r="HK1" s="502"/>
      <c r="HL1" s="502"/>
      <c r="HM1" s="502"/>
      <c r="HN1" s="502"/>
      <c r="HO1" s="502"/>
      <c r="HP1" s="502"/>
      <c r="HQ1" s="502"/>
      <c r="HR1" s="502"/>
      <c r="HS1" s="502"/>
      <c r="HT1" s="502"/>
      <c r="HU1" s="502"/>
      <c r="HV1" s="502"/>
      <c r="HW1" s="502"/>
      <c r="HX1" s="502"/>
      <c r="HY1" s="502"/>
      <c r="HZ1" s="502"/>
      <c r="IA1" s="502"/>
      <c r="IB1" s="502"/>
      <c r="IC1" s="502"/>
      <c r="ID1" s="502"/>
      <c r="IE1" s="502"/>
      <c r="IF1" s="502"/>
      <c r="IG1" s="502"/>
      <c r="IH1" s="502"/>
      <c r="II1" s="502"/>
      <c r="IJ1" s="502"/>
      <c r="IK1" s="502"/>
      <c r="IL1" s="502"/>
      <c r="IM1" s="502"/>
      <c r="IN1" s="502"/>
      <c r="IO1" s="502"/>
    </row>
    <row r="2" spans="1:249" ht="13.7" customHeight="1">
      <c r="A2" s="500"/>
      <c r="B2" s="501"/>
      <c r="C2" s="502"/>
      <c r="D2" s="502"/>
      <c r="E2" s="502"/>
      <c r="F2" s="502"/>
      <c r="G2" s="502"/>
      <c r="H2" s="502"/>
      <c r="I2" s="503"/>
      <c r="J2" s="502"/>
      <c r="K2" s="502"/>
      <c r="L2" s="502"/>
      <c r="M2" s="502"/>
      <c r="N2" s="502"/>
      <c r="O2" s="502"/>
      <c r="P2" s="502"/>
      <c r="Q2" s="502"/>
      <c r="R2" s="502"/>
      <c r="S2" s="502"/>
      <c r="T2" s="502"/>
      <c r="U2" s="502"/>
      <c r="V2" s="502"/>
      <c r="W2" s="502"/>
      <c r="X2" s="502"/>
      <c r="Y2" s="502"/>
      <c r="Z2" s="502"/>
      <c r="AA2" s="502"/>
      <c r="AB2" s="502"/>
      <c r="AC2" s="502"/>
      <c r="AD2" s="502"/>
      <c r="AE2" s="502"/>
      <c r="AF2" s="502"/>
      <c r="AG2" s="502"/>
      <c r="AH2" s="502"/>
      <c r="AI2" s="502"/>
      <c r="AJ2" s="502"/>
      <c r="AK2" s="502"/>
      <c r="AL2" s="502"/>
      <c r="AM2" s="502"/>
      <c r="AN2" s="502"/>
      <c r="AO2" s="502"/>
      <c r="AP2" s="502"/>
      <c r="AQ2" s="502"/>
      <c r="AR2" s="502"/>
      <c r="AS2" s="502"/>
      <c r="AT2" s="502"/>
      <c r="AU2" s="502"/>
      <c r="AV2" s="502"/>
      <c r="AW2" s="502"/>
      <c r="AX2" s="502"/>
      <c r="AY2" s="502"/>
      <c r="AZ2" s="502"/>
      <c r="BA2" s="502"/>
      <c r="BB2" s="502"/>
      <c r="BC2" s="502"/>
      <c r="BD2" s="502"/>
      <c r="BE2" s="502"/>
      <c r="BF2" s="502"/>
      <c r="BG2" s="502"/>
      <c r="BH2" s="502"/>
      <c r="BI2" s="502"/>
      <c r="BJ2" s="502"/>
      <c r="BK2" s="502"/>
      <c r="BL2" s="502"/>
      <c r="BM2" s="502"/>
      <c r="BN2" s="502"/>
      <c r="BO2" s="502"/>
      <c r="BP2" s="502"/>
      <c r="BQ2" s="502"/>
      <c r="BR2" s="502"/>
      <c r="BS2" s="502"/>
      <c r="BT2" s="502"/>
      <c r="BU2" s="502"/>
      <c r="BV2" s="502"/>
      <c r="BW2" s="502"/>
      <c r="BX2" s="502"/>
      <c r="BY2" s="502"/>
      <c r="BZ2" s="502"/>
      <c r="CA2" s="502"/>
      <c r="CB2" s="502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502"/>
      <c r="DC2" s="502"/>
      <c r="DD2" s="502"/>
      <c r="DE2" s="502"/>
      <c r="DF2" s="502"/>
      <c r="DG2" s="502"/>
      <c r="DH2" s="502"/>
      <c r="DI2" s="502"/>
      <c r="DJ2" s="502"/>
      <c r="DK2" s="502"/>
      <c r="DL2" s="502"/>
      <c r="DM2" s="502"/>
      <c r="DN2" s="502"/>
      <c r="DO2" s="502"/>
      <c r="DP2" s="502"/>
      <c r="DQ2" s="502"/>
      <c r="DR2" s="502"/>
      <c r="DS2" s="502"/>
      <c r="DT2" s="502"/>
      <c r="DU2" s="502"/>
      <c r="DV2" s="502"/>
      <c r="DW2" s="502"/>
      <c r="DX2" s="502"/>
      <c r="DY2" s="502"/>
      <c r="DZ2" s="502"/>
      <c r="EA2" s="502"/>
      <c r="EB2" s="502"/>
      <c r="EC2" s="502"/>
      <c r="ED2" s="502"/>
      <c r="EE2" s="502"/>
      <c r="EF2" s="502"/>
      <c r="EG2" s="502"/>
      <c r="EH2" s="502"/>
      <c r="EI2" s="502"/>
      <c r="EJ2" s="502"/>
      <c r="EK2" s="502"/>
      <c r="EL2" s="502"/>
      <c r="EM2" s="502"/>
      <c r="EN2" s="502"/>
      <c r="EO2" s="502"/>
      <c r="EP2" s="502"/>
      <c r="EQ2" s="502"/>
      <c r="ER2" s="502"/>
      <c r="ES2" s="502"/>
      <c r="ET2" s="502"/>
      <c r="EU2" s="502"/>
      <c r="EV2" s="502"/>
      <c r="EW2" s="502"/>
      <c r="EX2" s="502"/>
      <c r="EY2" s="502"/>
      <c r="EZ2" s="502"/>
      <c r="FA2" s="502"/>
      <c r="FB2" s="502"/>
      <c r="FC2" s="502"/>
      <c r="FD2" s="502"/>
      <c r="FE2" s="502"/>
      <c r="FF2" s="502"/>
      <c r="FG2" s="502"/>
      <c r="FH2" s="502"/>
      <c r="FI2" s="502"/>
      <c r="FJ2" s="502"/>
      <c r="FK2" s="502"/>
      <c r="FL2" s="502"/>
      <c r="FM2" s="502"/>
      <c r="FN2" s="502"/>
      <c r="FO2" s="502"/>
      <c r="FP2" s="502"/>
      <c r="FQ2" s="502"/>
      <c r="FR2" s="502"/>
      <c r="FS2" s="502"/>
      <c r="FT2" s="502"/>
      <c r="FU2" s="502"/>
      <c r="FV2" s="502"/>
      <c r="FW2" s="502"/>
      <c r="FX2" s="502"/>
      <c r="FY2" s="502"/>
      <c r="FZ2" s="502"/>
      <c r="GA2" s="502"/>
      <c r="GB2" s="502"/>
      <c r="GC2" s="502"/>
      <c r="GD2" s="502"/>
      <c r="GE2" s="502"/>
      <c r="GF2" s="502"/>
      <c r="GG2" s="502"/>
      <c r="GH2" s="502"/>
      <c r="GI2" s="502"/>
      <c r="GJ2" s="502"/>
      <c r="GK2" s="502"/>
      <c r="GL2" s="502"/>
      <c r="GM2" s="502"/>
      <c r="GN2" s="502"/>
      <c r="GO2" s="502"/>
      <c r="GP2" s="502"/>
      <c r="GQ2" s="502"/>
      <c r="GR2" s="502"/>
      <c r="GS2" s="502"/>
      <c r="GT2" s="502"/>
      <c r="GU2" s="502"/>
      <c r="GV2" s="502"/>
      <c r="GW2" s="502"/>
      <c r="GX2" s="502"/>
      <c r="GY2" s="502"/>
      <c r="GZ2" s="502"/>
      <c r="HA2" s="502"/>
      <c r="HB2" s="502"/>
      <c r="HC2" s="502"/>
      <c r="HD2" s="502"/>
      <c r="HE2" s="502"/>
      <c r="HF2" s="502"/>
      <c r="HG2" s="502"/>
      <c r="HH2" s="502"/>
      <c r="HI2" s="502"/>
      <c r="HJ2" s="502"/>
      <c r="HK2" s="502"/>
      <c r="HL2" s="502"/>
      <c r="HM2" s="502"/>
      <c r="HN2" s="502"/>
      <c r="HO2" s="502"/>
      <c r="HP2" s="502"/>
      <c r="HQ2" s="502"/>
      <c r="HR2" s="502"/>
      <c r="HS2" s="502"/>
      <c r="HT2" s="502"/>
      <c r="HU2" s="502"/>
      <c r="HV2" s="502"/>
      <c r="HW2" s="502"/>
      <c r="HX2" s="502"/>
      <c r="HY2" s="502"/>
      <c r="HZ2" s="502"/>
      <c r="IA2" s="502"/>
      <c r="IB2" s="502"/>
      <c r="IC2" s="502"/>
      <c r="ID2" s="502"/>
      <c r="IE2" s="502"/>
      <c r="IF2" s="502"/>
      <c r="IG2" s="502"/>
      <c r="IH2" s="502"/>
      <c r="II2" s="502"/>
      <c r="IJ2" s="502"/>
      <c r="IK2" s="502"/>
      <c r="IL2" s="502"/>
      <c r="IM2" s="502"/>
      <c r="IN2" s="502"/>
      <c r="IO2" s="502"/>
    </row>
    <row r="3" spans="1:249" ht="39.75" customHeight="1">
      <c r="A3" s="743" t="s">
        <v>852</v>
      </c>
      <c r="B3" s="743"/>
      <c r="C3" s="743"/>
      <c r="D3" s="743"/>
      <c r="E3" s="743"/>
      <c r="F3" s="743"/>
      <c r="G3" s="743"/>
      <c r="H3" s="743"/>
      <c r="I3" s="743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505"/>
      <c r="AC3" s="505"/>
      <c r="AD3" s="505"/>
      <c r="AE3" s="505"/>
      <c r="AF3" s="505"/>
      <c r="AG3" s="505"/>
      <c r="AH3" s="505"/>
      <c r="AI3" s="505"/>
      <c r="AJ3" s="505"/>
      <c r="AK3" s="505"/>
      <c r="AL3" s="505"/>
      <c r="AM3" s="505"/>
      <c r="AN3" s="505"/>
      <c r="AO3" s="505"/>
      <c r="AP3" s="505"/>
      <c r="AQ3" s="505"/>
      <c r="AR3" s="505"/>
      <c r="AS3" s="505"/>
      <c r="AT3" s="505"/>
      <c r="AU3" s="505"/>
      <c r="AV3" s="505"/>
      <c r="AW3" s="505"/>
      <c r="AX3" s="505"/>
      <c r="AY3" s="505"/>
      <c r="AZ3" s="505"/>
      <c r="BA3" s="505"/>
      <c r="BB3" s="505"/>
      <c r="BC3" s="505"/>
      <c r="BD3" s="505"/>
      <c r="BE3" s="505"/>
      <c r="BF3" s="505"/>
      <c r="BG3" s="505"/>
      <c r="BH3" s="505"/>
      <c r="BI3" s="505"/>
      <c r="BJ3" s="505"/>
      <c r="BK3" s="505"/>
      <c r="BL3" s="505"/>
      <c r="BM3" s="505"/>
      <c r="BN3" s="505"/>
      <c r="BO3" s="505"/>
      <c r="BP3" s="505"/>
      <c r="BQ3" s="505"/>
      <c r="BR3" s="505"/>
      <c r="BS3" s="505"/>
      <c r="BT3" s="505"/>
      <c r="BU3" s="505"/>
      <c r="BV3" s="505"/>
      <c r="BW3" s="505"/>
      <c r="BX3" s="505"/>
      <c r="BY3" s="505"/>
      <c r="BZ3" s="505"/>
      <c r="CA3" s="505"/>
      <c r="CB3" s="505"/>
      <c r="CC3" s="505"/>
      <c r="CD3" s="505"/>
      <c r="CE3" s="505"/>
      <c r="CF3" s="505"/>
      <c r="CG3" s="505"/>
      <c r="CH3" s="505"/>
      <c r="CI3" s="505"/>
      <c r="CJ3" s="505"/>
      <c r="CK3" s="505"/>
      <c r="CL3" s="505"/>
      <c r="CM3" s="505"/>
      <c r="CN3" s="505"/>
      <c r="CO3" s="505"/>
      <c r="CP3" s="505"/>
      <c r="CQ3" s="505"/>
      <c r="CR3" s="505"/>
      <c r="CS3" s="505"/>
      <c r="CT3" s="505"/>
      <c r="CU3" s="505"/>
      <c r="CV3" s="505"/>
      <c r="CW3" s="505"/>
      <c r="CX3" s="505"/>
      <c r="CY3" s="505"/>
      <c r="CZ3" s="505"/>
      <c r="DA3" s="505"/>
      <c r="DB3" s="505"/>
      <c r="DC3" s="505"/>
      <c r="DD3" s="505"/>
      <c r="DE3" s="505"/>
      <c r="DF3" s="505"/>
      <c r="DG3" s="505"/>
      <c r="DH3" s="505"/>
      <c r="DI3" s="505"/>
      <c r="DJ3" s="505"/>
      <c r="DK3" s="505"/>
      <c r="DL3" s="505"/>
      <c r="DM3" s="505"/>
      <c r="DN3" s="505"/>
      <c r="DO3" s="505"/>
      <c r="DP3" s="505"/>
      <c r="DQ3" s="505"/>
      <c r="DR3" s="505"/>
      <c r="DS3" s="505"/>
      <c r="DT3" s="505"/>
      <c r="DU3" s="505"/>
      <c r="DV3" s="505"/>
      <c r="DW3" s="505"/>
      <c r="DX3" s="505"/>
      <c r="DY3" s="505"/>
      <c r="DZ3" s="505"/>
      <c r="EA3" s="505"/>
      <c r="EB3" s="505"/>
      <c r="EC3" s="505"/>
      <c r="ED3" s="505"/>
      <c r="EE3" s="505"/>
      <c r="EF3" s="505"/>
      <c r="EG3" s="505"/>
      <c r="EH3" s="505"/>
      <c r="EI3" s="505"/>
      <c r="EJ3" s="505"/>
      <c r="EK3" s="505"/>
      <c r="EL3" s="505"/>
      <c r="EM3" s="505"/>
      <c r="EN3" s="505"/>
      <c r="EO3" s="505"/>
      <c r="EP3" s="505"/>
      <c r="EQ3" s="505"/>
      <c r="ER3" s="505"/>
      <c r="ES3" s="505"/>
      <c r="ET3" s="505"/>
      <c r="EU3" s="505"/>
      <c r="EV3" s="505"/>
      <c r="EW3" s="505"/>
      <c r="EX3" s="505"/>
      <c r="EY3" s="505"/>
      <c r="EZ3" s="505"/>
      <c r="FA3" s="505"/>
      <c r="FB3" s="505"/>
      <c r="FC3" s="505"/>
      <c r="FD3" s="505"/>
      <c r="FE3" s="505"/>
      <c r="FF3" s="505"/>
      <c r="FG3" s="505"/>
      <c r="FH3" s="505"/>
      <c r="FI3" s="505"/>
      <c r="FJ3" s="505"/>
      <c r="FK3" s="505"/>
      <c r="FL3" s="505"/>
      <c r="FM3" s="505"/>
      <c r="FN3" s="505"/>
      <c r="FO3" s="505"/>
      <c r="FP3" s="505"/>
      <c r="FQ3" s="505"/>
      <c r="FR3" s="505"/>
      <c r="FS3" s="505"/>
      <c r="FT3" s="505"/>
      <c r="FU3" s="505"/>
      <c r="FV3" s="505"/>
      <c r="FW3" s="505"/>
      <c r="FX3" s="505"/>
      <c r="FY3" s="505"/>
      <c r="FZ3" s="505"/>
      <c r="GA3" s="505"/>
      <c r="GB3" s="505"/>
      <c r="GC3" s="505"/>
      <c r="GD3" s="505"/>
      <c r="GE3" s="505"/>
      <c r="GF3" s="505"/>
      <c r="GG3" s="505"/>
      <c r="GH3" s="505"/>
      <c r="GI3" s="505"/>
      <c r="GJ3" s="505"/>
      <c r="GK3" s="505"/>
      <c r="GL3" s="505"/>
      <c r="GM3" s="505"/>
      <c r="GN3" s="505"/>
      <c r="GO3" s="505"/>
      <c r="GP3" s="505"/>
      <c r="GQ3" s="505"/>
      <c r="GR3" s="505"/>
      <c r="GS3" s="505"/>
      <c r="GT3" s="505"/>
      <c r="GU3" s="505"/>
      <c r="GV3" s="505"/>
      <c r="GW3" s="505"/>
      <c r="GX3" s="505"/>
      <c r="GY3" s="505"/>
      <c r="GZ3" s="505"/>
      <c r="HA3" s="505"/>
      <c r="HB3" s="505"/>
      <c r="HC3" s="505"/>
      <c r="HD3" s="505"/>
      <c r="HE3" s="505"/>
      <c r="HF3" s="505"/>
      <c r="HG3" s="505"/>
      <c r="HH3" s="505"/>
      <c r="HI3" s="505"/>
      <c r="HJ3" s="505"/>
      <c r="HK3" s="505"/>
      <c r="HL3" s="505"/>
      <c r="HM3" s="505"/>
      <c r="HN3" s="505"/>
      <c r="HO3" s="505"/>
      <c r="HP3" s="505"/>
      <c r="HQ3" s="505"/>
      <c r="HR3" s="505"/>
      <c r="HS3" s="505"/>
      <c r="HT3" s="505"/>
      <c r="HU3" s="505"/>
      <c r="HV3" s="505"/>
      <c r="HW3" s="505"/>
      <c r="HX3" s="505"/>
      <c r="HY3" s="505"/>
      <c r="HZ3" s="505"/>
      <c r="IA3" s="505"/>
      <c r="IB3" s="505"/>
      <c r="IC3" s="505"/>
      <c r="ID3" s="505"/>
      <c r="IE3" s="505"/>
      <c r="IF3" s="505"/>
      <c r="IG3" s="505"/>
      <c r="IH3" s="505"/>
      <c r="II3" s="505"/>
      <c r="IJ3" s="505"/>
      <c r="IK3" s="505"/>
      <c r="IL3" s="505"/>
      <c r="IM3" s="505"/>
      <c r="IN3" s="505"/>
      <c r="IO3" s="505"/>
    </row>
    <row r="4" spans="1:249" ht="20.25" customHeight="1">
      <c r="A4" s="743" t="s">
        <v>853</v>
      </c>
      <c r="B4" s="743"/>
      <c r="C4" s="743"/>
      <c r="D4" s="743"/>
      <c r="E4" s="743"/>
      <c r="F4" s="743"/>
      <c r="G4" s="743"/>
      <c r="H4" s="743"/>
      <c r="I4" s="743"/>
      <c r="J4" s="506"/>
      <c r="K4" s="506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505"/>
      <c r="AC4" s="505"/>
      <c r="AD4" s="505"/>
      <c r="AE4" s="505"/>
      <c r="AF4" s="505"/>
      <c r="AG4" s="505"/>
      <c r="AH4" s="505"/>
      <c r="AI4" s="505"/>
      <c r="AJ4" s="505"/>
      <c r="AK4" s="505"/>
      <c r="AL4" s="505"/>
      <c r="AM4" s="505"/>
      <c r="AN4" s="505"/>
      <c r="AO4" s="505"/>
      <c r="AP4" s="505"/>
      <c r="AQ4" s="505"/>
      <c r="AR4" s="505"/>
      <c r="AS4" s="505"/>
      <c r="AT4" s="505"/>
      <c r="AU4" s="505"/>
      <c r="AV4" s="505"/>
      <c r="AW4" s="505"/>
      <c r="AX4" s="505"/>
      <c r="AY4" s="505"/>
      <c r="AZ4" s="505"/>
      <c r="BA4" s="505"/>
      <c r="BB4" s="505"/>
      <c r="BC4" s="505"/>
      <c r="BD4" s="505"/>
      <c r="BE4" s="505"/>
      <c r="BF4" s="505"/>
      <c r="BG4" s="505"/>
      <c r="BH4" s="505"/>
      <c r="BI4" s="505"/>
      <c r="BJ4" s="505"/>
      <c r="BK4" s="505"/>
      <c r="BL4" s="505"/>
      <c r="BM4" s="505"/>
      <c r="BN4" s="505"/>
      <c r="BO4" s="505"/>
      <c r="BP4" s="505"/>
      <c r="BQ4" s="505"/>
      <c r="BR4" s="505"/>
      <c r="BS4" s="505"/>
      <c r="BT4" s="505"/>
      <c r="BU4" s="505"/>
      <c r="BV4" s="505"/>
      <c r="BW4" s="505"/>
      <c r="BX4" s="505"/>
      <c r="BY4" s="505"/>
      <c r="BZ4" s="505"/>
      <c r="CA4" s="505"/>
      <c r="CB4" s="505"/>
      <c r="CC4" s="505"/>
      <c r="CD4" s="505"/>
      <c r="CE4" s="505"/>
      <c r="CF4" s="505"/>
      <c r="CG4" s="505"/>
      <c r="CH4" s="505"/>
      <c r="CI4" s="505"/>
      <c r="CJ4" s="505"/>
      <c r="CK4" s="505"/>
      <c r="CL4" s="505"/>
      <c r="CM4" s="505"/>
      <c r="CN4" s="505"/>
      <c r="CO4" s="505"/>
      <c r="CP4" s="505"/>
      <c r="CQ4" s="505"/>
      <c r="CR4" s="505"/>
      <c r="CS4" s="505"/>
      <c r="CT4" s="505"/>
      <c r="CU4" s="505"/>
      <c r="CV4" s="505"/>
      <c r="CW4" s="505"/>
      <c r="CX4" s="505"/>
      <c r="CY4" s="505"/>
      <c r="CZ4" s="505"/>
      <c r="DA4" s="505"/>
      <c r="DB4" s="505"/>
      <c r="DC4" s="505"/>
      <c r="DD4" s="505"/>
      <c r="DE4" s="505"/>
      <c r="DF4" s="505"/>
      <c r="DG4" s="505"/>
      <c r="DH4" s="505"/>
      <c r="DI4" s="505"/>
      <c r="DJ4" s="505"/>
      <c r="DK4" s="505"/>
      <c r="DL4" s="505"/>
      <c r="DM4" s="505"/>
      <c r="DN4" s="505"/>
      <c r="DO4" s="505"/>
      <c r="DP4" s="505"/>
      <c r="DQ4" s="505"/>
      <c r="DR4" s="505"/>
      <c r="DS4" s="505"/>
      <c r="DT4" s="505"/>
      <c r="DU4" s="505"/>
      <c r="DV4" s="505"/>
      <c r="DW4" s="505"/>
      <c r="DX4" s="505"/>
      <c r="DY4" s="505"/>
      <c r="DZ4" s="505"/>
      <c r="EA4" s="505"/>
      <c r="EB4" s="505"/>
      <c r="EC4" s="505"/>
      <c r="ED4" s="505"/>
      <c r="EE4" s="505"/>
      <c r="EF4" s="505"/>
      <c r="EG4" s="505"/>
      <c r="EH4" s="505"/>
      <c r="EI4" s="505"/>
      <c r="EJ4" s="505"/>
      <c r="EK4" s="505"/>
      <c r="EL4" s="505"/>
      <c r="EM4" s="505"/>
      <c r="EN4" s="505"/>
      <c r="EO4" s="505"/>
      <c r="EP4" s="505"/>
      <c r="EQ4" s="505"/>
      <c r="ER4" s="505"/>
      <c r="ES4" s="505"/>
      <c r="ET4" s="505"/>
      <c r="EU4" s="505"/>
      <c r="EV4" s="505"/>
      <c r="EW4" s="505"/>
      <c r="EX4" s="505"/>
      <c r="EY4" s="505"/>
      <c r="EZ4" s="505"/>
      <c r="FA4" s="505"/>
      <c r="FB4" s="505"/>
      <c r="FC4" s="505"/>
      <c r="FD4" s="505"/>
      <c r="FE4" s="505"/>
      <c r="FF4" s="505"/>
      <c r="FG4" s="505"/>
      <c r="FH4" s="505"/>
      <c r="FI4" s="505"/>
      <c r="FJ4" s="505"/>
      <c r="FK4" s="505"/>
      <c r="FL4" s="505"/>
      <c r="FM4" s="505"/>
      <c r="FN4" s="505"/>
      <c r="FO4" s="505"/>
      <c r="FP4" s="505"/>
      <c r="FQ4" s="505"/>
      <c r="FR4" s="505"/>
      <c r="FS4" s="505"/>
      <c r="FT4" s="505"/>
      <c r="FU4" s="505"/>
      <c r="FV4" s="505"/>
      <c r="FW4" s="505"/>
      <c r="FX4" s="505"/>
      <c r="FY4" s="505"/>
      <c r="FZ4" s="505"/>
      <c r="GA4" s="505"/>
      <c r="GB4" s="505"/>
      <c r="GC4" s="505"/>
      <c r="GD4" s="505"/>
      <c r="GE4" s="505"/>
      <c r="GF4" s="505"/>
      <c r="GG4" s="505"/>
      <c r="GH4" s="505"/>
      <c r="GI4" s="505"/>
      <c r="GJ4" s="505"/>
      <c r="GK4" s="505"/>
      <c r="GL4" s="505"/>
      <c r="GM4" s="505"/>
      <c r="GN4" s="505"/>
      <c r="GO4" s="505"/>
      <c r="GP4" s="505"/>
      <c r="GQ4" s="505"/>
      <c r="GR4" s="505"/>
      <c r="GS4" s="505"/>
      <c r="GT4" s="505"/>
      <c r="GU4" s="505"/>
      <c r="GV4" s="505"/>
      <c r="GW4" s="505"/>
      <c r="GX4" s="505"/>
      <c r="GY4" s="505"/>
      <c r="GZ4" s="505"/>
      <c r="HA4" s="505"/>
      <c r="HB4" s="505"/>
      <c r="HC4" s="505"/>
      <c r="HD4" s="505"/>
      <c r="HE4" s="505"/>
      <c r="HF4" s="505"/>
      <c r="HG4" s="505"/>
      <c r="HH4" s="505"/>
      <c r="HI4" s="505"/>
      <c r="HJ4" s="505"/>
      <c r="HK4" s="505"/>
      <c r="HL4" s="505"/>
      <c r="HM4" s="505"/>
      <c r="HN4" s="505"/>
      <c r="HO4" s="505"/>
      <c r="HP4" s="505"/>
      <c r="HQ4" s="505"/>
      <c r="HR4" s="505"/>
      <c r="HS4" s="505"/>
      <c r="HT4" s="505"/>
      <c r="HU4" s="505"/>
      <c r="HV4" s="505"/>
      <c r="HW4" s="505"/>
      <c r="HX4" s="505"/>
      <c r="HY4" s="505"/>
      <c r="HZ4" s="505"/>
      <c r="IA4" s="505"/>
      <c r="IB4" s="505"/>
      <c r="IC4" s="505"/>
      <c r="ID4" s="505"/>
      <c r="IE4" s="505"/>
      <c r="IF4" s="505"/>
      <c r="IG4" s="505"/>
      <c r="IH4" s="505"/>
      <c r="II4" s="505"/>
      <c r="IJ4" s="505"/>
      <c r="IK4" s="505"/>
      <c r="IL4" s="505"/>
      <c r="IM4" s="505"/>
      <c r="IN4" s="505"/>
      <c r="IO4" s="505"/>
    </row>
    <row r="5" spans="1:249" ht="15.75">
      <c r="A5" s="502"/>
      <c r="B5" s="502"/>
      <c r="I5" s="502"/>
      <c r="J5" s="744"/>
      <c r="K5" s="744"/>
      <c r="L5" s="744"/>
      <c r="M5" s="744"/>
      <c r="N5" s="744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502"/>
      <c r="Z5" s="502"/>
      <c r="AA5" s="502"/>
      <c r="AB5" s="502"/>
      <c r="AC5" s="502"/>
      <c r="AD5" s="502"/>
      <c r="AE5" s="502"/>
      <c r="AF5" s="502"/>
      <c r="AG5" s="502"/>
      <c r="AH5" s="502"/>
      <c r="AI5" s="502"/>
      <c r="AJ5" s="502"/>
      <c r="AK5" s="502"/>
      <c r="AL5" s="502"/>
      <c r="AM5" s="502"/>
      <c r="AN5" s="502"/>
      <c r="AO5" s="502"/>
      <c r="AP5" s="502"/>
      <c r="AQ5" s="502"/>
      <c r="AR5" s="502"/>
      <c r="AS5" s="502"/>
      <c r="AT5" s="502"/>
      <c r="AU5" s="502"/>
      <c r="AV5" s="502"/>
      <c r="AW5" s="502"/>
      <c r="AX5" s="502"/>
      <c r="AY5" s="502"/>
      <c r="AZ5" s="502"/>
      <c r="BA5" s="502"/>
      <c r="BB5" s="502"/>
      <c r="BC5" s="502"/>
      <c r="BD5" s="502"/>
      <c r="BE5" s="502"/>
      <c r="BF5" s="502"/>
      <c r="BG5" s="502"/>
      <c r="BH5" s="502"/>
      <c r="BI5" s="502"/>
      <c r="BJ5" s="502"/>
      <c r="BK5" s="502"/>
      <c r="BL5" s="502"/>
      <c r="BM5" s="502"/>
      <c r="BN5" s="502"/>
      <c r="BO5" s="502"/>
      <c r="BP5" s="502"/>
      <c r="BQ5" s="502"/>
      <c r="BR5" s="502"/>
      <c r="BS5" s="502"/>
      <c r="BT5" s="502"/>
      <c r="BU5" s="502"/>
      <c r="BV5" s="502"/>
      <c r="BW5" s="502"/>
      <c r="BX5" s="502"/>
      <c r="BY5" s="502"/>
      <c r="BZ5" s="502"/>
      <c r="CA5" s="502"/>
      <c r="CB5" s="502"/>
      <c r="CC5" s="502"/>
      <c r="CD5" s="502"/>
      <c r="CE5" s="502"/>
      <c r="CF5" s="502"/>
      <c r="CG5" s="502"/>
      <c r="CH5" s="502"/>
      <c r="CI5" s="502"/>
      <c r="CJ5" s="502"/>
      <c r="CK5" s="502"/>
      <c r="CL5" s="502"/>
      <c r="CM5" s="502"/>
      <c r="CN5" s="502"/>
      <c r="CO5" s="502"/>
      <c r="CP5" s="502"/>
      <c r="CQ5" s="502"/>
      <c r="CR5" s="502"/>
      <c r="CS5" s="502"/>
      <c r="CT5" s="502"/>
      <c r="CU5" s="502"/>
      <c r="CV5" s="502"/>
      <c r="CW5" s="502"/>
      <c r="CX5" s="502"/>
      <c r="CY5" s="502"/>
      <c r="CZ5" s="502"/>
      <c r="DA5" s="502"/>
      <c r="DB5" s="502"/>
      <c r="DC5" s="502"/>
      <c r="DD5" s="502"/>
      <c r="DE5" s="502"/>
      <c r="DF5" s="502"/>
      <c r="DG5" s="502"/>
      <c r="DH5" s="502"/>
      <c r="DI5" s="502"/>
      <c r="DJ5" s="502"/>
      <c r="DK5" s="502"/>
      <c r="DL5" s="502"/>
      <c r="DM5" s="502"/>
      <c r="DN5" s="502"/>
      <c r="DO5" s="502"/>
      <c r="DP5" s="502"/>
      <c r="DQ5" s="502"/>
      <c r="DR5" s="502"/>
      <c r="DS5" s="502"/>
      <c r="DT5" s="502"/>
      <c r="DU5" s="502"/>
      <c r="DV5" s="502"/>
      <c r="DW5" s="502"/>
      <c r="DX5" s="502"/>
      <c r="DY5" s="502"/>
      <c r="DZ5" s="502"/>
      <c r="EA5" s="502"/>
      <c r="EB5" s="502"/>
      <c r="EC5" s="502"/>
      <c r="ED5" s="502"/>
      <c r="EE5" s="502"/>
      <c r="EF5" s="502"/>
      <c r="EG5" s="502"/>
      <c r="EH5" s="502"/>
      <c r="EI5" s="502"/>
      <c r="EJ5" s="502"/>
      <c r="EK5" s="502"/>
      <c r="EL5" s="502"/>
      <c r="EM5" s="502"/>
      <c r="EN5" s="502"/>
      <c r="EO5" s="502"/>
      <c r="EP5" s="502"/>
      <c r="EQ5" s="502"/>
      <c r="ER5" s="502"/>
      <c r="ES5" s="502"/>
      <c r="ET5" s="502"/>
      <c r="EU5" s="502"/>
      <c r="EV5" s="502"/>
      <c r="EW5" s="502"/>
      <c r="EX5" s="502"/>
      <c r="EY5" s="502"/>
      <c r="EZ5" s="502"/>
      <c r="FA5" s="502"/>
      <c r="FB5" s="502"/>
      <c r="FC5" s="502"/>
      <c r="FD5" s="502"/>
      <c r="FE5" s="502"/>
      <c r="FF5" s="502"/>
      <c r="FG5" s="502"/>
      <c r="FH5" s="502"/>
      <c r="FI5" s="502"/>
      <c r="FJ5" s="502"/>
      <c r="FK5" s="502"/>
      <c r="FL5" s="502"/>
      <c r="FM5" s="502"/>
      <c r="FN5" s="502"/>
      <c r="FO5" s="502"/>
      <c r="FP5" s="502"/>
      <c r="FQ5" s="502"/>
      <c r="FR5" s="502"/>
      <c r="FS5" s="502"/>
      <c r="FT5" s="502"/>
      <c r="FU5" s="502"/>
      <c r="FV5" s="502"/>
      <c r="FW5" s="502"/>
      <c r="FX5" s="502"/>
      <c r="FY5" s="502"/>
      <c r="FZ5" s="502"/>
      <c r="GA5" s="502"/>
      <c r="GB5" s="502"/>
      <c r="GC5" s="502"/>
      <c r="GD5" s="502"/>
      <c r="GE5" s="502"/>
      <c r="GF5" s="502"/>
      <c r="GG5" s="502"/>
      <c r="GH5" s="502"/>
      <c r="GI5" s="502"/>
      <c r="GJ5" s="502"/>
      <c r="GK5" s="502"/>
      <c r="GL5" s="502"/>
      <c r="GM5" s="502"/>
      <c r="GN5" s="502"/>
      <c r="GO5" s="502"/>
      <c r="GP5" s="502"/>
      <c r="GQ5" s="502"/>
      <c r="GR5" s="502"/>
      <c r="GS5" s="502"/>
      <c r="GT5" s="502"/>
      <c r="GU5" s="502"/>
      <c r="GV5" s="502"/>
      <c r="GW5" s="502"/>
      <c r="GX5" s="502"/>
      <c r="GY5" s="502"/>
      <c r="GZ5" s="502"/>
      <c r="HA5" s="502"/>
      <c r="HB5" s="502"/>
      <c r="HC5" s="502"/>
      <c r="HD5" s="502"/>
      <c r="HE5" s="502"/>
      <c r="HF5" s="502"/>
      <c r="HG5" s="502"/>
      <c r="HH5" s="502"/>
      <c r="HI5" s="502"/>
      <c r="HJ5" s="502"/>
      <c r="HK5" s="502"/>
      <c r="HL5" s="502"/>
      <c r="HM5" s="502"/>
      <c r="HN5" s="502"/>
      <c r="HO5" s="502"/>
      <c r="HP5" s="502"/>
      <c r="HQ5" s="502"/>
      <c r="HR5" s="502"/>
      <c r="HS5" s="502"/>
      <c r="HT5" s="502"/>
      <c r="HU5" s="502"/>
      <c r="HV5" s="502"/>
      <c r="HW5" s="502"/>
      <c r="HX5" s="502"/>
      <c r="HY5" s="502"/>
      <c r="HZ5" s="502"/>
      <c r="IA5" s="502"/>
      <c r="IB5" s="502"/>
      <c r="IC5" s="502"/>
      <c r="ID5" s="502"/>
      <c r="IE5" s="502"/>
      <c r="IF5" s="502"/>
      <c r="IG5" s="502"/>
      <c r="IH5" s="502"/>
      <c r="II5" s="502"/>
      <c r="IJ5" s="502"/>
      <c r="IK5" s="502"/>
      <c r="IL5" s="502"/>
      <c r="IM5" s="502"/>
      <c r="IN5" s="502"/>
      <c r="IO5" s="505"/>
    </row>
    <row r="6" spans="1:249" ht="14.25">
      <c r="A6" s="745" t="s">
        <v>193</v>
      </c>
      <c r="B6" s="745" t="s">
        <v>7</v>
      </c>
      <c r="C6" s="748" t="s">
        <v>208</v>
      </c>
      <c r="D6" s="749"/>
      <c r="E6" s="750" t="s">
        <v>195</v>
      </c>
      <c r="F6" s="732" t="s">
        <v>196</v>
      </c>
      <c r="G6" s="732" t="s">
        <v>322</v>
      </c>
      <c r="H6" s="732" t="s">
        <v>209</v>
      </c>
      <c r="I6" s="732" t="s">
        <v>323</v>
      </c>
      <c r="J6" s="509"/>
      <c r="K6" s="509"/>
      <c r="L6" s="509"/>
      <c r="M6" s="509"/>
      <c r="N6" s="505"/>
      <c r="O6" s="505"/>
      <c r="P6" s="505"/>
      <c r="Q6" s="505"/>
      <c r="R6" s="505"/>
      <c r="S6" s="505"/>
      <c r="T6" s="505"/>
      <c r="U6" s="505"/>
      <c r="V6" s="505"/>
      <c r="W6" s="505"/>
      <c r="X6" s="505"/>
      <c r="Y6" s="505"/>
      <c r="Z6" s="505"/>
      <c r="AA6" s="505"/>
      <c r="AB6" s="505"/>
      <c r="AC6" s="505"/>
      <c r="AD6" s="505"/>
      <c r="AE6" s="505"/>
      <c r="AF6" s="505"/>
      <c r="AG6" s="505"/>
      <c r="AH6" s="505"/>
      <c r="AI6" s="505"/>
      <c r="AJ6" s="505"/>
      <c r="AK6" s="505"/>
      <c r="AL6" s="505"/>
      <c r="AM6" s="505"/>
      <c r="AN6" s="505"/>
      <c r="AO6" s="505"/>
      <c r="AP6" s="505"/>
      <c r="AQ6" s="505"/>
      <c r="AR6" s="505"/>
      <c r="AS6" s="505"/>
      <c r="AT6" s="505"/>
      <c r="AU6" s="505"/>
      <c r="AV6" s="505"/>
      <c r="AW6" s="505"/>
      <c r="AX6" s="505"/>
      <c r="AY6" s="505"/>
      <c r="AZ6" s="505"/>
      <c r="BA6" s="505"/>
      <c r="BB6" s="505"/>
      <c r="BC6" s="505"/>
      <c r="BD6" s="505"/>
      <c r="BE6" s="505"/>
      <c r="BF6" s="505"/>
      <c r="BG6" s="505"/>
      <c r="BH6" s="505"/>
      <c r="BI6" s="505"/>
      <c r="BJ6" s="505"/>
      <c r="BK6" s="505"/>
      <c r="BL6" s="505"/>
      <c r="BM6" s="505"/>
      <c r="BN6" s="505"/>
      <c r="BO6" s="505"/>
      <c r="BP6" s="505"/>
      <c r="BQ6" s="505"/>
      <c r="BR6" s="505"/>
      <c r="BS6" s="505"/>
      <c r="BT6" s="505"/>
      <c r="BU6" s="505"/>
      <c r="BV6" s="505"/>
      <c r="BW6" s="505"/>
      <c r="BX6" s="505"/>
      <c r="BY6" s="505"/>
      <c r="BZ6" s="505"/>
      <c r="CA6" s="505"/>
      <c r="CB6" s="505"/>
      <c r="CC6" s="505"/>
      <c r="CD6" s="505"/>
      <c r="CE6" s="505"/>
      <c r="CF6" s="505"/>
      <c r="CG6" s="505"/>
      <c r="CH6" s="505"/>
      <c r="CI6" s="505"/>
      <c r="CJ6" s="505"/>
      <c r="CK6" s="505"/>
      <c r="CL6" s="505"/>
      <c r="CM6" s="505"/>
      <c r="CN6" s="505"/>
      <c r="CO6" s="505"/>
      <c r="CP6" s="505"/>
      <c r="CQ6" s="505"/>
      <c r="CR6" s="505"/>
      <c r="CS6" s="505"/>
      <c r="CT6" s="505"/>
      <c r="CU6" s="505"/>
      <c r="CV6" s="505"/>
      <c r="CW6" s="505"/>
      <c r="CX6" s="505"/>
      <c r="CY6" s="505"/>
      <c r="CZ6" s="505"/>
      <c r="DA6" s="505"/>
      <c r="DB6" s="505"/>
      <c r="DC6" s="505"/>
      <c r="DD6" s="505"/>
      <c r="DE6" s="505"/>
      <c r="DF6" s="505"/>
      <c r="DG6" s="505"/>
      <c r="DH6" s="505"/>
      <c r="DI6" s="505"/>
      <c r="DJ6" s="505"/>
      <c r="DK6" s="505"/>
      <c r="DL6" s="505"/>
      <c r="DM6" s="505"/>
      <c r="DN6" s="505"/>
      <c r="DO6" s="505"/>
      <c r="DP6" s="505"/>
      <c r="DQ6" s="505"/>
      <c r="DR6" s="505"/>
      <c r="DS6" s="505"/>
      <c r="DT6" s="505"/>
      <c r="DU6" s="505"/>
      <c r="DV6" s="505"/>
      <c r="DW6" s="505"/>
      <c r="DX6" s="505"/>
      <c r="DY6" s="505"/>
      <c r="DZ6" s="505"/>
      <c r="EA6" s="505"/>
      <c r="EB6" s="505"/>
      <c r="EC6" s="505"/>
      <c r="ED6" s="505"/>
      <c r="EE6" s="505"/>
      <c r="EF6" s="505"/>
      <c r="EG6" s="505"/>
      <c r="EH6" s="505"/>
      <c r="EI6" s="505"/>
      <c r="EJ6" s="505"/>
      <c r="EK6" s="505"/>
      <c r="EL6" s="505"/>
      <c r="EM6" s="505"/>
      <c r="EN6" s="505"/>
      <c r="EO6" s="505"/>
      <c r="EP6" s="505"/>
      <c r="EQ6" s="505"/>
      <c r="ER6" s="505"/>
      <c r="ES6" s="505"/>
      <c r="ET6" s="505"/>
      <c r="EU6" s="505"/>
      <c r="EV6" s="505"/>
      <c r="EW6" s="505"/>
      <c r="EX6" s="505"/>
      <c r="EY6" s="505"/>
      <c r="EZ6" s="505"/>
      <c r="FA6" s="505"/>
      <c r="FB6" s="505"/>
      <c r="FC6" s="505"/>
      <c r="FD6" s="505"/>
      <c r="FE6" s="505"/>
      <c r="FF6" s="505"/>
      <c r="FG6" s="505"/>
      <c r="FH6" s="505"/>
      <c r="FI6" s="505"/>
      <c r="FJ6" s="505"/>
      <c r="FK6" s="505"/>
      <c r="FL6" s="505"/>
      <c r="FM6" s="505"/>
      <c r="FN6" s="505"/>
      <c r="FO6" s="505"/>
      <c r="FP6" s="505"/>
      <c r="FQ6" s="505"/>
      <c r="FR6" s="505"/>
      <c r="FS6" s="505"/>
      <c r="FT6" s="505"/>
      <c r="FU6" s="505"/>
      <c r="FV6" s="505"/>
      <c r="FW6" s="505"/>
      <c r="FX6" s="505"/>
      <c r="FY6" s="505"/>
      <c r="FZ6" s="505"/>
      <c r="GA6" s="505"/>
      <c r="GB6" s="505"/>
      <c r="GC6" s="505"/>
      <c r="GD6" s="505"/>
      <c r="GE6" s="505"/>
      <c r="GF6" s="505"/>
      <c r="GG6" s="505"/>
      <c r="GH6" s="505"/>
      <c r="GI6" s="505"/>
      <c r="GJ6" s="505"/>
      <c r="GK6" s="505"/>
      <c r="GL6" s="505"/>
      <c r="GM6" s="505"/>
      <c r="GN6" s="505"/>
      <c r="GO6" s="505"/>
      <c r="GP6" s="505"/>
      <c r="GQ6" s="505"/>
      <c r="GR6" s="505"/>
      <c r="GS6" s="505"/>
      <c r="GT6" s="505"/>
      <c r="GU6" s="505"/>
      <c r="GV6" s="505"/>
      <c r="GW6" s="505"/>
      <c r="GX6" s="505"/>
      <c r="GY6" s="505"/>
      <c r="GZ6" s="505"/>
      <c r="HA6" s="505"/>
      <c r="HB6" s="505"/>
      <c r="HC6" s="505"/>
      <c r="HD6" s="505"/>
      <c r="HE6" s="505"/>
      <c r="HF6" s="505"/>
      <c r="HG6" s="505"/>
      <c r="HH6" s="505"/>
      <c r="HI6" s="505"/>
      <c r="HJ6" s="505"/>
      <c r="HK6" s="505"/>
      <c r="HL6" s="505"/>
      <c r="HM6" s="505"/>
      <c r="HN6" s="505"/>
      <c r="HO6" s="505"/>
      <c r="HP6" s="505"/>
      <c r="HQ6" s="505"/>
      <c r="HR6" s="505"/>
      <c r="HS6" s="505"/>
      <c r="HT6" s="505"/>
      <c r="HU6" s="505"/>
      <c r="HV6" s="505"/>
      <c r="HW6" s="505"/>
      <c r="HX6" s="505"/>
      <c r="HY6" s="505"/>
      <c r="HZ6" s="505"/>
      <c r="IA6" s="505"/>
      <c r="IB6" s="505"/>
      <c r="IC6" s="505"/>
      <c r="ID6" s="505"/>
      <c r="IE6" s="505"/>
      <c r="IF6" s="505"/>
      <c r="IG6" s="505"/>
      <c r="IH6" s="505"/>
      <c r="II6" s="505"/>
      <c r="IJ6" s="505"/>
      <c r="IK6" s="505"/>
      <c r="IL6" s="505"/>
      <c r="IM6" s="504"/>
      <c r="IN6" s="504"/>
      <c r="IO6" s="504"/>
    </row>
    <row r="7" spans="1:249" ht="17.25" customHeight="1">
      <c r="A7" s="746"/>
      <c r="B7" s="746"/>
      <c r="C7" s="735" t="s">
        <v>202</v>
      </c>
      <c r="D7" s="736"/>
      <c r="E7" s="751"/>
      <c r="F7" s="733"/>
      <c r="G7" s="733"/>
      <c r="H7" s="733"/>
      <c r="I7" s="733"/>
      <c r="J7" s="509"/>
      <c r="K7" s="509"/>
      <c r="L7" s="509"/>
      <c r="M7" s="509"/>
      <c r="N7" s="505"/>
      <c r="O7" s="505"/>
      <c r="P7" s="505"/>
      <c r="Q7" s="505"/>
      <c r="R7" s="505"/>
      <c r="S7" s="505"/>
      <c r="T7" s="505"/>
      <c r="U7" s="505"/>
      <c r="V7" s="505"/>
      <c r="W7" s="505"/>
      <c r="X7" s="505"/>
      <c r="Y7" s="505"/>
      <c r="Z7" s="505"/>
      <c r="AA7" s="505"/>
      <c r="AB7" s="505"/>
      <c r="AC7" s="505"/>
      <c r="AD7" s="505"/>
      <c r="AE7" s="505"/>
      <c r="AF7" s="505"/>
      <c r="AG7" s="505"/>
      <c r="AH7" s="505"/>
      <c r="AI7" s="505"/>
      <c r="AJ7" s="505"/>
      <c r="AK7" s="505"/>
      <c r="AL7" s="505"/>
      <c r="AM7" s="505"/>
      <c r="AN7" s="505"/>
      <c r="AO7" s="505"/>
      <c r="AP7" s="505"/>
      <c r="AQ7" s="505"/>
      <c r="AR7" s="505"/>
      <c r="AS7" s="505"/>
      <c r="AT7" s="505"/>
      <c r="AU7" s="505"/>
      <c r="AV7" s="505"/>
      <c r="AW7" s="505"/>
      <c r="AX7" s="505"/>
      <c r="AY7" s="505"/>
      <c r="AZ7" s="505"/>
      <c r="BA7" s="505"/>
      <c r="BB7" s="505"/>
      <c r="BC7" s="505"/>
      <c r="BD7" s="505"/>
      <c r="BE7" s="505"/>
      <c r="BF7" s="505"/>
      <c r="BG7" s="505"/>
      <c r="BH7" s="505"/>
      <c r="BI7" s="505"/>
      <c r="BJ7" s="505"/>
      <c r="BK7" s="505"/>
      <c r="BL7" s="505"/>
      <c r="BM7" s="505"/>
      <c r="BN7" s="505"/>
      <c r="BO7" s="505"/>
      <c r="BP7" s="505"/>
      <c r="BQ7" s="505"/>
      <c r="BR7" s="505"/>
      <c r="BS7" s="505"/>
      <c r="BT7" s="505"/>
      <c r="BU7" s="505"/>
      <c r="BV7" s="505"/>
      <c r="BW7" s="505"/>
      <c r="BX7" s="505"/>
      <c r="BY7" s="505"/>
      <c r="BZ7" s="505"/>
      <c r="CA7" s="505"/>
      <c r="CB7" s="505"/>
      <c r="CC7" s="505"/>
      <c r="CD7" s="505"/>
      <c r="CE7" s="505"/>
      <c r="CF7" s="505"/>
      <c r="CG7" s="505"/>
      <c r="CH7" s="505"/>
      <c r="CI7" s="505"/>
      <c r="CJ7" s="505"/>
      <c r="CK7" s="505"/>
      <c r="CL7" s="505"/>
      <c r="CM7" s="505"/>
      <c r="CN7" s="505"/>
      <c r="CO7" s="505"/>
      <c r="CP7" s="505"/>
      <c r="CQ7" s="505"/>
      <c r="CR7" s="505"/>
      <c r="CS7" s="505"/>
      <c r="CT7" s="505"/>
      <c r="CU7" s="505"/>
      <c r="CV7" s="505"/>
      <c r="CW7" s="505"/>
      <c r="CX7" s="505"/>
      <c r="CY7" s="505"/>
      <c r="CZ7" s="505"/>
      <c r="DA7" s="505"/>
      <c r="DB7" s="505"/>
      <c r="DC7" s="505"/>
      <c r="DD7" s="505"/>
      <c r="DE7" s="505"/>
      <c r="DF7" s="505"/>
      <c r="DG7" s="505"/>
      <c r="DH7" s="505"/>
      <c r="DI7" s="505"/>
      <c r="DJ7" s="505"/>
      <c r="DK7" s="505"/>
      <c r="DL7" s="505"/>
      <c r="DM7" s="505"/>
      <c r="DN7" s="505"/>
      <c r="DO7" s="505"/>
      <c r="DP7" s="505"/>
      <c r="DQ7" s="505"/>
      <c r="DR7" s="505"/>
      <c r="DS7" s="505"/>
      <c r="DT7" s="505"/>
      <c r="DU7" s="505"/>
      <c r="DV7" s="505"/>
      <c r="DW7" s="505"/>
      <c r="DX7" s="505"/>
      <c r="DY7" s="505"/>
      <c r="DZ7" s="505"/>
      <c r="EA7" s="505"/>
      <c r="EB7" s="505"/>
      <c r="EC7" s="505"/>
      <c r="ED7" s="505"/>
      <c r="EE7" s="505"/>
      <c r="EF7" s="505"/>
      <c r="EG7" s="505"/>
      <c r="EH7" s="505"/>
      <c r="EI7" s="505"/>
      <c r="EJ7" s="505"/>
      <c r="EK7" s="505"/>
      <c r="EL7" s="505"/>
      <c r="EM7" s="505"/>
      <c r="EN7" s="505"/>
      <c r="EO7" s="505"/>
      <c r="EP7" s="505"/>
      <c r="EQ7" s="505"/>
      <c r="ER7" s="505"/>
      <c r="ES7" s="505"/>
      <c r="ET7" s="505"/>
      <c r="EU7" s="505"/>
      <c r="EV7" s="505"/>
      <c r="EW7" s="505"/>
      <c r="EX7" s="505"/>
      <c r="EY7" s="505"/>
      <c r="EZ7" s="505"/>
      <c r="FA7" s="505"/>
      <c r="FB7" s="505"/>
      <c r="FC7" s="505"/>
      <c r="FD7" s="505"/>
      <c r="FE7" s="505"/>
      <c r="FF7" s="505"/>
      <c r="FG7" s="505"/>
      <c r="FH7" s="505"/>
      <c r="FI7" s="505"/>
      <c r="FJ7" s="505"/>
      <c r="FK7" s="505"/>
      <c r="FL7" s="505"/>
      <c r="FM7" s="505"/>
      <c r="FN7" s="505"/>
      <c r="FO7" s="505"/>
      <c r="FP7" s="505"/>
      <c r="FQ7" s="505"/>
      <c r="FR7" s="505"/>
      <c r="FS7" s="505"/>
      <c r="FT7" s="505"/>
      <c r="FU7" s="505"/>
      <c r="FV7" s="505"/>
      <c r="FW7" s="505"/>
      <c r="FX7" s="505"/>
      <c r="FY7" s="505"/>
      <c r="FZ7" s="505"/>
      <c r="GA7" s="505"/>
      <c r="GB7" s="505"/>
      <c r="GC7" s="505"/>
      <c r="GD7" s="505"/>
      <c r="GE7" s="505"/>
      <c r="GF7" s="505"/>
      <c r="GG7" s="505"/>
      <c r="GH7" s="505"/>
      <c r="GI7" s="505"/>
      <c r="GJ7" s="505"/>
      <c r="GK7" s="505"/>
      <c r="GL7" s="505"/>
      <c r="GM7" s="505"/>
      <c r="GN7" s="505"/>
      <c r="GO7" s="505"/>
      <c r="GP7" s="505"/>
      <c r="GQ7" s="505"/>
      <c r="GR7" s="505"/>
      <c r="GS7" s="505"/>
      <c r="GT7" s="505"/>
      <c r="GU7" s="505"/>
      <c r="GV7" s="505"/>
      <c r="GW7" s="505"/>
      <c r="GX7" s="505"/>
      <c r="GY7" s="505"/>
      <c r="GZ7" s="505"/>
      <c r="HA7" s="505"/>
      <c r="HB7" s="505"/>
      <c r="HC7" s="505"/>
      <c r="HD7" s="505"/>
      <c r="HE7" s="505"/>
      <c r="HF7" s="505"/>
      <c r="HG7" s="505"/>
      <c r="HH7" s="505"/>
      <c r="HI7" s="505"/>
      <c r="HJ7" s="505"/>
      <c r="HK7" s="505"/>
      <c r="HL7" s="505"/>
      <c r="HM7" s="505"/>
      <c r="HN7" s="505"/>
      <c r="HO7" s="505"/>
      <c r="HP7" s="505"/>
      <c r="HQ7" s="505"/>
      <c r="HR7" s="505"/>
      <c r="HS7" s="505"/>
      <c r="HT7" s="505"/>
      <c r="HU7" s="505"/>
      <c r="HV7" s="505"/>
      <c r="HW7" s="505"/>
      <c r="HX7" s="505"/>
      <c r="HY7" s="505"/>
      <c r="HZ7" s="505"/>
      <c r="IA7" s="505"/>
      <c r="IB7" s="505"/>
      <c r="IC7" s="505"/>
      <c r="ID7" s="505"/>
      <c r="IE7" s="505"/>
      <c r="IF7" s="505"/>
      <c r="IG7" s="505"/>
      <c r="IH7" s="505"/>
      <c r="II7" s="505"/>
      <c r="IJ7" s="505"/>
      <c r="IK7" s="505"/>
      <c r="IL7" s="505"/>
      <c r="IM7" s="504"/>
      <c r="IN7" s="504"/>
      <c r="IO7" s="504"/>
    </row>
    <row r="8" spans="1:249" ht="26.85" customHeight="1">
      <c r="A8" s="746"/>
      <c r="B8" s="746"/>
      <c r="C8" s="483" t="s">
        <v>199</v>
      </c>
      <c r="D8" s="508" t="s">
        <v>200</v>
      </c>
      <c r="E8" s="751"/>
      <c r="F8" s="733"/>
      <c r="G8" s="733"/>
      <c r="H8" s="733"/>
      <c r="I8" s="733"/>
      <c r="J8" s="509"/>
      <c r="K8" s="509"/>
      <c r="L8" s="509"/>
      <c r="M8" s="509"/>
      <c r="N8" s="505"/>
      <c r="O8" s="505"/>
      <c r="P8" s="505"/>
      <c r="Q8" s="505"/>
      <c r="R8" s="505"/>
      <c r="S8" s="505"/>
      <c r="T8" s="505"/>
      <c r="U8" s="505"/>
      <c r="V8" s="505"/>
      <c r="W8" s="505"/>
      <c r="X8" s="505"/>
      <c r="Y8" s="505"/>
      <c r="Z8" s="505"/>
      <c r="AA8" s="505"/>
      <c r="AB8" s="505"/>
      <c r="AC8" s="505"/>
      <c r="AD8" s="505"/>
      <c r="AE8" s="505"/>
      <c r="AF8" s="505"/>
      <c r="AG8" s="505"/>
      <c r="AH8" s="505"/>
      <c r="AI8" s="505"/>
      <c r="AJ8" s="505"/>
      <c r="AK8" s="505"/>
      <c r="AL8" s="505"/>
      <c r="AM8" s="505"/>
      <c r="AN8" s="505"/>
      <c r="AO8" s="505"/>
      <c r="AP8" s="505"/>
      <c r="AQ8" s="505"/>
      <c r="AR8" s="505"/>
      <c r="AS8" s="505"/>
      <c r="AT8" s="505"/>
      <c r="AU8" s="505"/>
      <c r="AV8" s="505"/>
      <c r="AW8" s="505"/>
      <c r="AX8" s="505"/>
      <c r="AY8" s="505"/>
      <c r="AZ8" s="505"/>
      <c r="BA8" s="505"/>
      <c r="BB8" s="505"/>
      <c r="BC8" s="505"/>
      <c r="BD8" s="505"/>
      <c r="BE8" s="505"/>
      <c r="BF8" s="505"/>
      <c r="BG8" s="505"/>
      <c r="BH8" s="505"/>
      <c r="BI8" s="505"/>
      <c r="BJ8" s="505"/>
      <c r="BK8" s="505"/>
      <c r="BL8" s="505"/>
      <c r="BM8" s="505"/>
      <c r="BN8" s="505"/>
      <c r="BO8" s="505"/>
      <c r="BP8" s="505"/>
      <c r="BQ8" s="505"/>
      <c r="BR8" s="505"/>
      <c r="BS8" s="505"/>
      <c r="BT8" s="505"/>
      <c r="BU8" s="505"/>
      <c r="BV8" s="505"/>
      <c r="BW8" s="505"/>
      <c r="BX8" s="505"/>
      <c r="BY8" s="505"/>
      <c r="BZ8" s="505"/>
      <c r="CA8" s="505"/>
      <c r="CB8" s="505"/>
      <c r="CC8" s="505"/>
      <c r="CD8" s="505"/>
      <c r="CE8" s="505"/>
      <c r="CF8" s="505"/>
      <c r="CG8" s="505"/>
      <c r="CH8" s="505"/>
      <c r="CI8" s="505"/>
      <c r="CJ8" s="505"/>
      <c r="CK8" s="505"/>
      <c r="CL8" s="505"/>
      <c r="CM8" s="505"/>
      <c r="CN8" s="505"/>
      <c r="CO8" s="505"/>
      <c r="CP8" s="505"/>
      <c r="CQ8" s="505"/>
      <c r="CR8" s="505"/>
      <c r="CS8" s="505"/>
      <c r="CT8" s="505"/>
      <c r="CU8" s="505"/>
      <c r="CV8" s="505"/>
      <c r="CW8" s="505"/>
      <c r="CX8" s="505"/>
      <c r="CY8" s="505"/>
      <c r="CZ8" s="505"/>
      <c r="DA8" s="505"/>
      <c r="DB8" s="505"/>
      <c r="DC8" s="505"/>
      <c r="DD8" s="505"/>
      <c r="DE8" s="505"/>
      <c r="DF8" s="505"/>
      <c r="DG8" s="505"/>
      <c r="DH8" s="505"/>
      <c r="DI8" s="505"/>
      <c r="DJ8" s="505"/>
      <c r="DK8" s="505"/>
      <c r="DL8" s="505"/>
      <c r="DM8" s="505"/>
      <c r="DN8" s="505"/>
      <c r="DO8" s="505"/>
      <c r="DP8" s="505"/>
      <c r="DQ8" s="505"/>
      <c r="DR8" s="505"/>
      <c r="DS8" s="505"/>
      <c r="DT8" s="505"/>
      <c r="DU8" s="505"/>
      <c r="DV8" s="505"/>
      <c r="DW8" s="505"/>
      <c r="DX8" s="505"/>
      <c r="DY8" s="505"/>
      <c r="DZ8" s="505"/>
      <c r="EA8" s="505"/>
      <c r="EB8" s="505"/>
      <c r="EC8" s="505"/>
      <c r="ED8" s="505"/>
      <c r="EE8" s="505"/>
      <c r="EF8" s="505"/>
      <c r="EG8" s="505"/>
      <c r="EH8" s="505"/>
      <c r="EI8" s="505"/>
      <c r="EJ8" s="505"/>
      <c r="EK8" s="505"/>
      <c r="EL8" s="505"/>
      <c r="EM8" s="505"/>
      <c r="EN8" s="505"/>
      <c r="EO8" s="505"/>
      <c r="EP8" s="505"/>
      <c r="EQ8" s="505"/>
      <c r="ER8" s="505"/>
      <c r="ES8" s="505"/>
      <c r="ET8" s="505"/>
      <c r="EU8" s="505"/>
      <c r="EV8" s="505"/>
      <c r="EW8" s="505"/>
      <c r="EX8" s="505"/>
      <c r="EY8" s="505"/>
      <c r="EZ8" s="505"/>
      <c r="FA8" s="505"/>
      <c r="FB8" s="505"/>
      <c r="FC8" s="505"/>
      <c r="FD8" s="505"/>
      <c r="FE8" s="505"/>
      <c r="FF8" s="505"/>
      <c r="FG8" s="505"/>
      <c r="FH8" s="505"/>
      <c r="FI8" s="505"/>
      <c r="FJ8" s="505"/>
      <c r="FK8" s="505"/>
      <c r="FL8" s="505"/>
      <c r="FM8" s="505"/>
      <c r="FN8" s="505"/>
      <c r="FO8" s="505"/>
      <c r="FP8" s="505"/>
      <c r="FQ8" s="505"/>
      <c r="FR8" s="505"/>
      <c r="FS8" s="505"/>
      <c r="FT8" s="505"/>
      <c r="FU8" s="505"/>
      <c r="FV8" s="505"/>
      <c r="FW8" s="505"/>
      <c r="FX8" s="505"/>
      <c r="FY8" s="505"/>
      <c r="FZ8" s="505"/>
      <c r="GA8" s="505"/>
      <c r="GB8" s="505"/>
      <c r="GC8" s="505"/>
      <c r="GD8" s="505"/>
      <c r="GE8" s="505"/>
      <c r="GF8" s="505"/>
      <c r="GG8" s="505"/>
      <c r="GH8" s="505"/>
      <c r="GI8" s="505"/>
      <c r="GJ8" s="505"/>
      <c r="GK8" s="505"/>
      <c r="GL8" s="505"/>
      <c r="GM8" s="505"/>
      <c r="GN8" s="505"/>
      <c r="GO8" s="505"/>
      <c r="GP8" s="505"/>
      <c r="GQ8" s="505"/>
      <c r="GR8" s="505"/>
      <c r="GS8" s="505"/>
      <c r="GT8" s="505"/>
      <c r="GU8" s="505"/>
      <c r="GV8" s="505"/>
      <c r="GW8" s="505"/>
      <c r="GX8" s="505"/>
      <c r="GY8" s="505"/>
      <c r="GZ8" s="505"/>
      <c r="HA8" s="505"/>
      <c r="HB8" s="505"/>
      <c r="HC8" s="505"/>
      <c r="HD8" s="505"/>
      <c r="HE8" s="505"/>
      <c r="HF8" s="505"/>
      <c r="HG8" s="505"/>
      <c r="HH8" s="505"/>
      <c r="HI8" s="505"/>
      <c r="HJ8" s="505"/>
      <c r="HK8" s="505"/>
      <c r="HL8" s="505"/>
      <c r="HM8" s="505"/>
      <c r="HN8" s="505"/>
      <c r="HO8" s="505"/>
      <c r="HP8" s="505"/>
      <c r="HQ8" s="505"/>
      <c r="HR8" s="505"/>
      <c r="HS8" s="505"/>
      <c r="HT8" s="505"/>
      <c r="HU8" s="505"/>
      <c r="HV8" s="505"/>
      <c r="HW8" s="505"/>
      <c r="HX8" s="505"/>
      <c r="HY8" s="505"/>
      <c r="HZ8" s="505"/>
      <c r="IA8" s="505"/>
      <c r="IB8" s="505"/>
      <c r="IC8" s="505"/>
      <c r="ID8" s="505"/>
      <c r="IE8" s="505"/>
      <c r="IF8" s="505"/>
      <c r="IG8" s="505"/>
      <c r="IH8" s="505"/>
      <c r="II8" s="505"/>
      <c r="IJ8" s="505"/>
      <c r="IK8" s="505"/>
      <c r="IL8" s="505"/>
      <c r="IM8" s="504"/>
      <c r="IN8" s="504"/>
      <c r="IO8" s="504"/>
    </row>
    <row r="9" spans="1:249" ht="21.75" customHeight="1">
      <c r="A9" s="747"/>
      <c r="B9" s="747"/>
      <c r="C9" s="510" t="s">
        <v>324</v>
      </c>
      <c r="D9" s="510" t="s">
        <v>325</v>
      </c>
      <c r="E9" s="752"/>
      <c r="F9" s="734"/>
      <c r="G9" s="734"/>
      <c r="H9" s="734"/>
      <c r="I9" s="734"/>
      <c r="J9" s="509"/>
      <c r="K9" s="509"/>
      <c r="L9" s="509"/>
      <c r="M9" s="509"/>
      <c r="N9" s="505"/>
      <c r="O9" s="505"/>
      <c r="P9" s="505"/>
      <c r="Q9" s="505"/>
      <c r="R9" s="505"/>
      <c r="S9" s="505"/>
      <c r="T9" s="505"/>
      <c r="U9" s="505"/>
      <c r="V9" s="505"/>
      <c r="W9" s="505"/>
      <c r="X9" s="505"/>
      <c r="Y9" s="505"/>
      <c r="Z9" s="505"/>
      <c r="AA9" s="505"/>
      <c r="AB9" s="505"/>
      <c r="AC9" s="505"/>
      <c r="AD9" s="505"/>
      <c r="AE9" s="505"/>
      <c r="AF9" s="505"/>
      <c r="AG9" s="505"/>
      <c r="AH9" s="505"/>
      <c r="AI9" s="505"/>
      <c r="AJ9" s="505"/>
      <c r="AK9" s="505"/>
      <c r="AL9" s="505"/>
      <c r="AM9" s="505"/>
      <c r="AN9" s="505"/>
      <c r="AO9" s="505"/>
      <c r="AP9" s="505"/>
      <c r="AQ9" s="505"/>
      <c r="AR9" s="505"/>
      <c r="AS9" s="505"/>
      <c r="AT9" s="505"/>
      <c r="AU9" s="505"/>
      <c r="AV9" s="505"/>
      <c r="AW9" s="505"/>
      <c r="AX9" s="505"/>
      <c r="AY9" s="505"/>
      <c r="AZ9" s="505"/>
      <c r="BA9" s="505"/>
      <c r="BB9" s="505"/>
      <c r="BC9" s="505"/>
      <c r="BD9" s="505"/>
      <c r="BE9" s="505"/>
      <c r="BF9" s="505"/>
      <c r="BG9" s="505"/>
      <c r="BH9" s="505"/>
      <c r="BI9" s="505"/>
      <c r="BJ9" s="505"/>
      <c r="BK9" s="505"/>
      <c r="BL9" s="505"/>
      <c r="BM9" s="505"/>
      <c r="BN9" s="505"/>
      <c r="BO9" s="505"/>
      <c r="BP9" s="505"/>
      <c r="BQ9" s="505"/>
      <c r="BR9" s="505"/>
      <c r="BS9" s="505"/>
      <c r="BT9" s="505"/>
      <c r="BU9" s="505"/>
      <c r="BV9" s="505"/>
      <c r="BW9" s="505"/>
      <c r="BX9" s="505"/>
      <c r="BY9" s="505"/>
      <c r="BZ9" s="505"/>
      <c r="CA9" s="505"/>
      <c r="CB9" s="505"/>
      <c r="CC9" s="505"/>
      <c r="CD9" s="505"/>
      <c r="CE9" s="505"/>
      <c r="CF9" s="505"/>
      <c r="CG9" s="505"/>
      <c r="CH9" s="505"/>
      <c r="CI9" s="505"/>
      <c r="CJ9" s="505"/>
      <c r="CK9" s="505"/>
      <c r="CL9" s="505"/>
      <c r="CM9" s="505"/>
      <c r="CN9" s="505"/>
      <c r="CO9" s="505"/>
      <c r="CP9" s="505"/>
      <c r="CQ9" s="505"/>
      <c r="CR9" s="505"/>
      <c r="CS9" s="505"/>
      <c r="CT9" s="505"/>
      <c r="CU9" s="505"/>
      <c r="CV9" s="505"/>
      <c r="CW9" s="505"/>
      <c r="CX9" s="505"/>
      <c r="CY9" s="505"/>
      <c r="CZ9" s="505"/>
      <c r="DA9" s="505"/>
      <c r="DB9" s="505"/>
      <c r="DC9" s="505"/>
      <c r="DD9" s="505"/>
      <c r="DE9" s="505"/>
      <c r="DF9" s="505"/>
      <c r="DG9" s="505"/>
      <c r="DH9" s="505"/>
      <c r="DI9" s="505"/>
      <c r="DJ9" s="505"/>
      <c r="DK9" s="505"/>
      <c r="DL9" s="505"/>
      <c r="DM9" s="505"/>
      <c r="DN9" s="505"/>
      <c r="DO9" s="505"/>
      <c r="DP9" s="505"/>
      <c r="DQ9" s="505"/>
      <c r="DR9" s="505"/>
      <c r="DS9" s="505"/>
      <c r="DT9" s="505"/>
      <c r="DU9" s="505"/>
      <c r="DV9" s="505"/>
      <c r="DW9" s="505"/>
      <c r="DX9" s="505"/>
      <c r="DY9" s="505"/>
      <c r="DZ9" s="505"/>
      <c r="EA9" s="505"/>
      <c r="EB9" s="505"/>
      <c r="EC9" s="505"/>
      <c r="ED9" s="505"/>
      <c r="EE9" s="505"/>
      <c r="EF9" s="505"/>
      <c r="EG9" s="505"/>
      <c r="EH9" s="505"/>
      <c r="EI9" s="505"/>
      <c r="EJ9" s="505"/>
      <c r="EK9" s="505"/>
      <c r="EL9" s="505"/>
      <c r="EM9" s="505"/>
      <c r="EN9" s="505"/>
      <c r="EO9" s="505"/>
      <c r="EP9" s="505"/>
      <c r="EQ9" s="505"/>
      <c r="ER9" s="505"/>
      <c r="ES9" s="505"/>
      <c r="ET9" s="505"/>
      <c r="EU9" s="505"/>
      <c r="EV9" s="505"/>
      <c r="EW9" s="505"/>
      <c r="EX9" s="505"/>
      <c r="EY9" s="505"/>
      <c r="EZ9" s="505"/>
      <c r="FA9" s="505"/>
      <c r="FB9" s="505"/>
      <c r="FC9" s="505"/>
      <c r="FD9" s="505"/>
      <c r="FE9" s="505"/>
      <c r="FF9" s="505"/>
      <c r="FG9" s="505"/>
      <c r="FH9" s="505"/>
      <c r="FI9" s="505"/>
      <c r="FJ9" s="505"/>
      <c r="FK9" s="505"/>
      <c r="FL9" s="505"/>
      <c r="FM9" s="505"/>
      <c r="FN9" s="505"/>
      <c r="FO9" s="505"/>
      <c r="FP9" s="505"/>
      <c r="FQ9" s="505"/>
      <c r="FR9" s="505"/>
      <c r="FS9" s="505"/>
      <c r="FT9" s="505"/>
      <c r="FU9" s="505"/>
      <c r="FV9" s="505"/>
      <c r="FW9" s="505"/>
      <c r="FX9" s="505"/>
      <c r="FY9" s="505"/>
      <c r="FZ9" s="505"/>
      <c r="GA9" s="505"/>
      <c r="GB9" s="505"/>
      <c r="GC9" s="505"/>
      <c r="GD9" s="505"/>
      <c r="GE9" s="505"/>
      <c r="GF9" s="505"/>
      <c r="GG9" s="505"/>
      <c r="GH9" s="505"/>
      <c r="GI9" s="505"/>
      <c r="GJ9" s="505"/>
      <c r="GK9" s="505"/>
      <c r="GL9" s="505"/>
      <c r="GM9" s="505"/>
      <c r="GN9" s="505"/>
      <c r="GO9" s="505"/>
      <c r="GP9" s="505"/>
      <c r="GQ9" s="505"/>
      <c r="GR9" s="505"/>
      <c r="GS9" s="505"/>
      <c r="GT9" s="505"/>
      <c r="GU9" s="505"/>
      <c r="GV9" s="505"/>
      <c r="GW9" s="505"/>
      <c r="GX9" s="505"/>
      <c r="GY9" s="505"/>
      <c r="GZ9" s="505"/>
      <c r="HA9" s="505"/>
      <c r="HB9" s="505"/>
      <c r="HC9" s="505"/>
      <c r="HD9" s="505"/>
      <c r="HE9" s="505"/>
      <c r="HF9" s="505"/>
      <c r="HG9" s="505"/>
      <c r="HH9" s="505"/>
      <c r="HI9" s="505"/>
      <c r="HJ9" s="505"/>
      <c r="HK9" s="505"/>
      <c r="HL9" s="505"/>
      <c r="HM9" s="505"/>
      <c r="HN9" s="505"/>
      <c r="HO9" s="505"/>
      <c r="HP9" s="505"/>
      <c r="HQ9" s="505"/>
      <c r="HR9" s="505"/>
      <c r="HS9" s="505"/>
      <c r="HT9" s="505"/>
      <c r="HU9" s="505"/>
      <c r="HV9" s="505"/>
      <c r="HW9" s="505"/>
      <c r="HX9" s="505"/>
      <c r="HY9" s="505"/>
      <c r="HZ9" s="505"/>
      <c r="IA9" s="505"/>
      <c r="IB9" s="505"/>
      <c r="IC9" s="505"/>
      <c r="ID9" s="505"/>
      <c r="IE9" s="505"/>
      <c r="IF9" s="505"/>
      <c r="IG9" s="505"/>
      <c r="IH9" s="505"/>
      <c r="II9" s="505"/>
      <c r="IJ9" s="505"/>
      <c r="IK9" s="505"/>
      <c r="IL9" s="505"/>
      <c r="IM9" s="504"/>
      <c r="IN9" s="504"/>
      <c r="IO9" s="504"/>
    </row>
    <row r="10" spans="1:249" ht="23.25" customHeight="1">
      <c r="A10" s="737" t="s">
        <v>854</v>
      </c>
      <c r="B10" s="738"/>
      <c r="C10" s="511"/>
      <c r="D10" s="512"/>
      <c r="E10" s="512"/>
      <c r="F10" s="512"/>
      <c r="G10" s="512"/>
      <c r="H10" s="512"/>
      <c r="I10" s="513"/>
      <c r="J10" s="514"/>
      <c r="K10" s="514"/>
      <c r="L10" s="514"/>
      <c r="M10" s="514"/>
      <c r="N10" s="515"/>
      <c r="O10" s="515"/>
      <c r="P10" s="515"/>
      <c r="Q10" s="515"/>
      <c r="R10" s="515"/>
      <c r="S10" s="515"/>
      <c r="T10" s="515"/>
      <c r="U10" s="515"/>
      <c r="V10" s="515"/>
      <c r="W10" s="515"/>
      <c r="X10" s="515"/>
      <c r="Y10" s="515"/>
      <c r="Z10" s="515"/>
      <c r="AA10" s="515"/>
      <c r="AB10" s="515"/>
      <c r="AC10" s="515"/>
      <c r="AD10" s="515"/>
      <c r="AE10" s="515"/>
      <c r="AF10" s="515"/>
      <c r="AG10" s="515"/>
      <c r="AH10" s="515"/>
      <c r="AI10" s="515"/>
      <c r="AJ10" s="515"/>
      <c r="AK10" s="515"/>
      <c r="AL10" s="515"/>
      <c r="AM10" s="515"/>
      <c r="AN10" s="515"/>
      <c r="AO10" s="515"/>
      <c r="AP10" s="515"/>
      <c r="AQ10" s="515"/>
      <c r="AR10" s="515"/>
      <c r="AS10" s="515"/>
      <c r="AT10" s="515"/>
      <c r="AU10" s="515"/>
      <c r="AV10" s="515"/>
      <c r="AW10" s="515"/>
      <c r="AX10" s="515"/>
      <c r="AY10" s="515"/>
      <c r="AZ10" s="515"/>
      <c r="BA10" s="515"/>
      <c r="BB10" s="515"/>
      <c r="BC10" s="515"/>
      <c r="BD10" s="515"/>
      <c r="BE10" s="515"/>
      <c r="BF10" s="515"/>
      <c r="BG10" s="515"/>
      <c r="BH10" s="515"/>
      <c r="BI10" s="515"/>
      <c r="BJ10" s="515"/>
      <c r="BK10" s="515"/>
      <c r="BL10" s="515"/>
      <c r="BM10" s="515"/>
      <c r="BN10" s="515"/>
      <c r="BO10" s="515"/>
      <c r="BP10" s="515"/>
      <c r="BQ10" s="515"/>
      <c r="BR10" s="515"/>
      <c r="BS10" s="515"/>
      <c r="BT10" s="515"/>
      <c r="BU10" s="515"/>
      <c r="BV10" s="515"/>
      <c r="BW10" s="515"/>
      <c r="BX10" s="515"/>
      <c r="BY10" s="515"/>
      <c r="BZ10" s="515"/>
      <c r="CA10" s="515"/>
      <c r="CB10" s="515"/>
      <c r="CC10" s="515"/>
      <c r="CD10" s="515"/>
      <c r="CE10" s="515"/>
      <c r="CF10" s="515"/>
      <c r="CG10" s="515"/>
      <c r="CH10" s="515"/>
      <c r="CI10" s="515"/>
      <c r="CJ10" s="515"/>
      <c r="CK10" s="515"/>
      <c r="CL10" s="515"/>
      <c r="CM10" s="515"/>
      <c r="CN10" s="515"/>
      <c r="CO10" s="515"/>
      <c r="CP10" s="515"/>
      <c r="CQ10" s="515"/>
      <c r="CR10" s="515"/>
      <c r="CS10" s="515"/>
      <c r="CT10" s="515"/>
      <c r="CU10" s="515"/>
      <c r="CV10" s="515"/>
      <c r="CW10" s="515"/>
      <c r="CX10" s="515"/>
      <c r="CY10" s="515"/>
      <c r="CZ10" s="515"/>
      <c r="DA10" s="515"/>
      <c r="DB10" s="515"/>
      <c r="DC10" s="515"/>
      <c r="DD10" s="515"/>
      <c r="DE10" s="515"/>
      <c r="DF10" s="515"/>
      <c r="DG10" s="515"/>
      <c r="DH10" s="515"/>
      <c r="DI10" s="515"/>
      <c r="DJ10" s="515"/>
      <c r="DK10" s="515"/>
      <c r="DL10" s="515"/>
      <c r="DM10" s="515"/>
      <c r="DN10" s="515"/>
      <c r="DO10" s="515"/>
      <c r="DP10" s="515"/>
      <c r="DQ10" s="515"/>
      <c r="DR10" s="515"/>
      <c r="DS10" s="515"/>
      <c r="DT10" s="515"/>
      <c r="DU10" s="515"/>
      <c r="DV10" s="515"/>
      <c r="DW10" s="515"/>
      <c r="DX10" s="515"/>
      <c r="DY10" s="515"/>
      <c r="DZ10" s="515"/>
      <c r="EA10" s="515"/>
      <c r="EB10" s="515"/>
      <c r="EC10" s="515"/>
      <c r="ED10" s="515"/>
      <c r="EE10" s="515"/>
      <c r="EF10" s="515"/>
      <c r="EG10" s="515"/>
      <c r="EH10" s="515"/>
      <c r="EI10" s="515"/>
      <c r="EJ10" s="515"/>
      <c r="EK10" s="515"/>
      <c r="EL10" s="515"/>
      <c r="EM10" s="515"/>
      <c r="EN10" s="515"/>
      <c r="EO10" s="515"/>
      <c r="EP10" s="515"/>
      <c r="EQ10" s="515"/>
      <c r="ER10" s="515"/>
      <c r="ES10" s="515"/>
      <c r="ET10" s="515"/>
      <c r="EU10" s="515"/>
      <c r="EV10" s="515"/>
      <c r="EW10" s="515"/>
      <c r="EX10" s="515"/>
      <c r="EY10" s="515"/>
      <c r="EZ10" s="515"/>
      <c r="FA10" s="515"/>
      <c r="FB10" s="515"/>
      <c r="FC10" s="515"/>
      <c r="FD10" s="515"/>
      <c r="FE10" s="515"/>
      <c r="FF10" s="515"/>
      <c r="FG10" s="515"/>
      <c r="FH10" s="515"/>
      <c r="FI10" s="515"/>
      <c r="FJ10" s="515"/>
      <c r="FK10" s="515"/>
      <c r="FL10" s="515"/>
      <c r="FM10" s="515"/>
      <c r="FN10" s="515"/>
      <c r="FO10" s="515"/>
      <c r="FP10" s="515"/>
      <c r="FQ10" s="515"/>
      <c r="FR10" s="515"/>
      <c r="FS10" s="515"/>
      <c r="FT10" s="515"/>
      <c r="FU10" s="515"/>
      <c r="FV10" s="515"/>
      <c r="FW10" s="515"/>
      <c r="FX10" s="515"/>
      <c r="FY10" s="515"/>
      <c r="FZ10" s="515"/>
      <c r="GA10" s="515"/>
      <c r="GB10" s="515"/>
      <c r="GC10" s="515"/>
      <c r="GD10" s="515"/>
      <c r="GE10" s="515"/>
      <c r="GF10" s="515"/>
      <c r="GG10" s="515"/>
      <c r="GH10" s="515"/>
      <c r="GI10" s="515"/>
      <c r="GJ10" s="515"/>
      <c r="GK10" s="515"/>
      <c r="GL10" s="515"/>
      <c r="GM10" s="515"/>
      <c r="GN10" s="515"/>
      <c r="GO10" s="515"/>
      <c r="GP10" s="515"/>
      <c r="GQ10" s="515"/>
      <c r="GR10" s="515"/>
      <c r="GS10" s="515"/>
      <c r="GT10" s="515"/>
      <c r="GU10" s="515"/>
      <c r="GV10" s="515"/>
      <c r="GW10" s="515"/>
      <c r="GX10" s="515"/>
      <c r="GY10" s="515"/>
      <c r="GZ10" s="515"/>
      <c r="HA10" s="515"/>
      <c r="HB10" s="515"/>
      <c r="HC10" s="515"/>
      <c r="HD10" s="515"/>
      <c r="HE10" s="515"/>
      <c r="HF10" s="515"/>
      <c r="HG10" s="515"/>
      <c r="HH10" s="515"/>
      <c r="HI10" s="515"/>
      <c r="HJ10" s="515"/>
      <c r="HK10" s="515"/>
      <c r="HL10" s="515"/>
      <c r="HM10" s="515"/>
      <c r="HN10" s="515"/>
      <c r="HO10" s="515"/>
      <c r="HP10" s="515"/>
      <c r="HQ10" s="515"/>
      <c r="HR10" s="515"/>
      <c r="HS10" s="515"/>
      <c r="HT10" s="515"/>
      <c r="HU10" s="515"/>
      <c r="HV10" s="515"/>
      <c r="HW10" s="515"/>
      <c r="HX10" s="515"/>
      <c r="HY10" s="515"/>
      <c r="HZ10" s="515"/>
      <c r="IA10" s="515"/>
      <c r="IB10" s="515"/>
      <c r="IC10" s="515"/>
      <c r="ID10" s="515"/>
      <c r="IE10" s="515"/>
      <c r="IF10" s="515"/>
      <c r="IG10" s="515"/>
      <c r="IH10" s="515"/>
      <c r="II10" s="515"/>
      <c r="IJ10" s="515"/>
      <c r="IK10" s="515"/>
      <c r="IL10" s="515"/>
      <c r="IM10" s="504"/>
      <c r="IN10" s="504"/>
      <c r="IO10" s="504"/>
    </row>
    <row r="11" spans="1:249" s="520" customFormat="1" ht="21" customHeight="1">
      <c r="A11" s="516">
        <v>1</v>
      </c>
      <c r="B11" s="517" t="s">
        <v>855</v>
      </c>
      <c r="C11" s="518">
        <f t="shared" ref="C11:C18" si="0">$E$40</f>
        <v>693000</v>
      </c>
      <c r="D11" s="518">
        <f>$G$40</f>
        <v>820554</v>
      </c>
      <c r="E11" s="518">
        <f>SUM(C11:D11)</f>
        <v>1513554</v>
      </c>
      <c r="F11" s="518">
        <v>1000000</v>
      </c>
      <c r="G11" s="518">
        <f>ROUND(E11-F11,-3)</f>
        <v>514000</v>
      </c>
      <c r="H11" s="518">
        <f>C11</f>
        <v>693000</v>
      </c>
      <c r="I11" s="518">
        <f>G11-H11</f>
        <v>-179000</v>
      </c>
      <c r="J11" s="519"/>
      <c r="K11" s="519"/>
      <c r="L11" s="519"/>
      <c r="M11" s="519"/>
      <c r="N11" s="425"/>
      <c r="O11" s="425"/>
      <c r="P11" s="425"/>
      <c r="Q11" s="425"/>
      <c r="R11" s="425"/>
      <c r="S11" s="425"/>
      <c r="T11" s="425"/>
      <c r="U11" s="425"/>
      <c r="V11" s="425"/>
      <c r="W11" s="425"/>
      <c r="X11" s="425"/>
      <c r="Y11" s="425"/>
      <c r="Z11" s="425"/>
      <c r="AA11" s="425"/>
      <c r="AB11" s="425"/>
      <c r="AC11" s="425"/>
      <c r="AD11" s="425"/>
      <c r="AE11" s="425"/>
      <c r="AF11" s="425"/>
      <c r="AG11" s="425"/>
      <c r="AH11" s="425"/>
      <c r="AI11" s="425"/>
      <c r="AJ11" s="425"/>
      <c r="AK11" s="425"/>
      <c r="AL11" s="425"/>
      <c r="AM11" s="425"/>
      <c r="AN11" s="425"/>
      <c r="AO11" s="425"/>
      <c r="AP11" s="425"/>
      <c r="AQ11" s="425"/>
      <c r="AR11" s="425"/>
      <c r="AS11" s="425"/>
      <c r="AT11" s="425"/>
      <c r="AU11" s="425"/>
      <c r="AV11" s="425"/>
      <c r="AW11" s="425"/>
      <c r="AX11" s="425"/>
      <c r="AY11" s="425"/>
      <c r="AZ11" s="425"/>
      <c r="BA11" s="425"/>
      <c r="BB11" s="425"/>
      <c r="BC11" s="425"/>
      <c r="BD11" s="425"/>
      <c r="BE11" s="425"/>
      <c r="BF11" s="425"/>
      <c r="BG11" s="425"/>
      <c r="BH11" s="425"/>
      <c r="BI11" s="425"/>
      <c r="BJ11" s="425"/>
      <c r="BK11" s="425"/>
      <c r="BL11" s="425"/>
      <c r="BM11" s="425"/>
      <c r="BN11" s="425"/>
      <c r="BO11" s="425"/>
      <c r="BP11" s="425"/>
      <c r="BQ11" s="425"/>
      <c r="BR11" s="425"/>
      <c r="BS11" s="425"/>
      <c r="BT11" s="425"/>
      <c r="BU11" s="425"/>
      <c r="BV11" s="425"/>
      <c r="BW11" s="425"/>
      <c r="BX11" s="425"/>
      <c r="BY11" s="425"/>
      <c r="BZ11" s="425"/>
      <c r="CA11" s="425"/>
      <c r="CB11" s="425"/>
      <c r="CC11" s="425"/>
      <c r="CD11" s="425"/>
      <c r="CE11" s="425"/>
      <c r="CF11" s="425"/>
      <c r="CG11" s="425"/>
      <c r="CH11" s="425"/>
      <c r="CI11" s="425"/>
      <c r="CJ11" s="425"/>
      <c r="CK11" s="425"/>
      <c r="CL11" s="425"/>
      <c r="CM11" s="425"/>
      <c r="CN11" s="425"/>
      <c r="CO11" s="425"/>
      <c r="CP11" s="425"/>
      <c r="CQ11" s="425"/>
      <c r="CR11" s="425"/>
      <c r="CS11" s="425"/>
      <c r="CT11" s="425"/>
      <c r="CU11" s="425"/>
      <c r="CV11" s="425"/>
      <c r="CW11" s="425"/>
      <c r="CX11" s="425"/>
      <c r="CY11" s="425"/>
      <c r="CZ11" s="425"/>
      <c r="DA11" s="425"/>
      <c r="DB11" s="425"/>
      <c r="DC11" s="425"/>
      <c r="DD11" s="425"/>
      <c r="DE11" s="425"/>
      <c r="DF11" s="425"/>
      <c r="DG11" s="425"/>
      <c r="DH11" s="425"/>
      <c r="DI11" s="425"/>
      <c r="DJ11" s="425"/>
      <c r="DK11" s="425"/>
      <c r="DL11" s="425"/>
      <c r="DM11" s="425"/>
      <c r="DN11" s="425"/>
      <c r="DO11" s="425"/>
      <c r="DP11" s="425"/>
      <c r="DQ11" s="425"/>
      <c r="DR11" s="425"/>
      <c r="DS11" s="425"/>
      <c r="DT11" s="425"/>
      <c r="DU11" s="425"/>
      <c r="DV11" s="425"/>
      <c r="DW11" s="425"/>
      <c r="DX11" s="425"/>
      <c r="DY11" s="425"/>
      <c r="DZ11" s="425"/>
      <c r="EA11" s="425"/>
      <c r="EB11" s="425"/>
      <c r="EC11" s="425"/>
      <c r="ED11" s="425"/>
      <c r="EE11" s="425"/>
      <c r="EF11" s="425"/>
      <c r="EG11" s="425"/>
      <c r="EH11" s="425"/>
      <c r="EI11" s="425"/>
      <c r="EJ11" s="425"/>
      <c r="EK11" s="425"/>
      <c r="EL11" s="425"/>
      <c r="EM11" s="425"/>
      <c r="EN11" s="425"/>
      <c r="EO11" s="425"/>
      <c r="EP11" s="425"/>
      <c r="EQ11" s="425"/>
      <c r="ER11" s="425"/>
      <c r="ES11" s="425"/>
      <c r="ET11" s="425"/>
      <c r="EU11" s="425"/>
      <c r="EV11" s="425"/>
      <c r="EW11" s="425"/>
      <c r="EX11" s="425"/>
      <c r="EY11" s="425"/>
      <c r="EZ11" s="425"/>
      <c r="FA11" s="425"/>
      <c r="FB11" s="425"/>
      <c r="FC11" s="425"/>
      <c r="FD11" s="425"/>
      <c r="FE11" s="425"/>
      <c r="FF11" s="425"/>
      <c r="FG11" s="425"/>
      <c r="FH11" s="425"/>
      <c r="FI11" s="425"/>
      <c r="FJ11" s="425"/>
      <c r="FK11" s="425"/>
      <c r="FL11" s="425"/>
      <c r="FM11" s="425"/>
      <c r="FN11" s="425"/>
      <c r="FO11" s="425"/>
      <c r="FP11" s="425"/>
      <c r="FQ11" s="425"/>
      <c r="FR11" s="425"/>
      <c r="FS11" s="425"/>
      <c r="FT11" s="425"/>
      <c r="FU11" s="425"/>
      <c r="FV11" s="425"/>
      <c r="FW11" s="425"/>
      <c r="FX11" s="425"/>
      <c r="FY11" s="425"/>
      <c r="FZ11" s="425"/>
      <c r="GA11" s="425"/>
      <c r="GB11" s="425"/>
      <c r="GC11" s="425"/>
      <c r="GD11" s="425"/>
      <c r="GE11" s="425"/>
      <c r="GF11" s="425"/>
      <c r="GG11" s="425"/>
      <c r="GH11" s="425"/>
      <c r="GI11" s="425"/>
      <c r="GJ11" s="425"/>
      <c r="GK11" s="425"/>
      <c r="GL11" s="425"/>
      <c r="GM11" s="425"/>
      <c r="GN11" s="425"/>
      <c r="GO11" s="425"/>
      <c r="GP11" s="425"/>
      <c r="GQ11" s="425"/>
      <c r="GR11" s="425"/>
      <c r="GS11" s="425"/>
      <c r="GT11" s="425"/>
      <c r="GU11" s="425"/>
      <c r="GV11" s="425"/>
      <c r="GW11" s="425"/>
      <c r="GX11" s="425"/>
      <c r="GY11" s="425"/>
      <c r="GZ11" s="425"/>
      <c r="HA11" s="425"/>
      <c r="HB11" s="425"/>
      <c r="HC11" s="425"/>
      <c r="HD11" s="425"/>
      <c r="HE11" s="425"/>
      <c r="HF11" s="425"/>
      <c r="HG11" s="425"/>
      <c r="HH11" s="425"/>
      <c r="HI11" s="425"/>
      <c r="HJ11" s="425"/>
      <c r="HK11" s="425"/>
      <c r="HL11" s="425"/>
      <c r="HM11" s="425"/>
      <c r="HN11" s="425"/>
      <c r="HO11" s="425"/>
      <c r="HP11" s="425"/>
      <c r="HQ11" s="425"/>
      <c r="HR11" s="425"/>
      <c r="HS11" s="425"/>
      <c r="HT11" s="425"/>
      <c r="HU11" s="425"/>
      <c r="HV11" s="425"/>
      <c r="HW11" s="425"/>
      <c r="HX11" s="425"/>
      <c r="HY11" s="425"/>
      <c r="HZ11" s="425"/>
      <c r="IA11" s="425"/>
      <c r="IB11" s="425"/>
      <c r="IC11" s="425"/>
      <c r="ID11" s="425"/>
      <c r="IE11" s="425"/>
      <c r="IF11" s="425"/>
      <c r="IG11" s="425"/>
      <c r="IH11" s="425"/>
      <c r="II11" s="425"/>
      <c r="IJ11" s="425"/>
      <c r="IK11" s="425"/>
      <c r="IL11" s="425"/>
    </row>
    <row r="12" spans="1:249" s="520" customFormat="1" ht="21" customHeight="1">
      <c r="A12" s="521">
        <v>2</v>
      </c>
      <c r="B12" s="517" t="s">
        <v>856</v>
      </c>
      <c r="C12" s="522">
        <f t="shared" si="0"/>
        <v>693000</v>
      </c>
      <c r="D12" s="522">
        <f t="shared" ref="D12:D18" si="1">$G$40</f>
        <v>820554</v>
      </c>
      <c r="E12" s="522">
        <f t="shared" ref="E12:E18" si="2">SUM(C12:D12)</f>
        <v>1513554</v>
      </c>
      <c r="F12" s="522">
        <v>1000000</v>
      </c>
      <c r="G12" s="522">
        <f t="shared" ref="G12:G18" si="3">ROUND(E12-F12,-3)</f>
        <v>514000</v>
      </c>
      <c r="H12" s="522">
        <f t="shared" ref="H12:H18" si="4">C12</f>
        <v>693000</v>
      </c>
      <c r="I12" s="522">
        <f>G11-H11</f>
        <v>-179000</v>
      </c>
      <c r="J12" s="519"/>
      <c r="K12" s="519"/>
      <c r="L12" s="519"/>
      <c r="M12" s="519"/>
      <c r="N12" s="425"/>
      <c r="O12" s="425"/>
      <c r="P12" s="425"/>
      <c r="Q12" s="425"/>
      <c r="R12" s="425"/>
      <c r="S12" s="425"/>
      <c r="T12" s="425"/>
      <c r="U12" s="425"/>
      <c r="V12" s="425"/>
      <c r="W12" s="425"/>
      <c r="X12" s="425"/>
      <c r="Y12" s="425"/>
      <c r="Z12" s="425"/>
      <c r="AA12" s="425"/>
      <c r="AB12" s="425"/>
      <c r="AC12" s="425"/>
      <c r="AD12" s="425"/>
      <c r="AE12" s="425"/>
      <c r="AF12" s="425"/>
      <c r="AG12" s="425"/>
      <c r="AH12" s="425"/>
      <c r="AI12" s="425"/>
      <c r="AJ12" s="425"/>
      <c r="AK12" s="425"/>
      <c r="AL12" s="425"/>
      <c r="AM12" s="425"/>
      <c r="AN12" s="425"/>
      <c r="AO12" s="425"/>
      <c r="AP12" s="425"/>
      <c r="AQ12" s="425"/>
      <c r="AR12" s="425"/>
      <c r="AS12" s="425"/>
      <c r="AT12" s="425"/>
      <c r="AU12" s="425"/>
      <c r="AV12" s="425"/>
      <c r="AW12" s="425"/>
      <c r="AX12" s="425"/>
      <c r="AY12" s="425"/>
      <c r="AZ12" s="425"/>
      <c r="BA12" s="425"/>
      <c r="BB12" s="425"/>
      <c r="BC12" s="425"/>
      <c r="BD12" s="425"/>
      <c r="BE12" s="425"/>
      <c r="BF12" s="425"/>
      <c r="BG12" s="425"/>
      <c r="BH12" s="425"/>
      <c r="BI12" s="425"/>
      <c r="BJ12" s="425"/>
      <c r="BK12" s="425"/>
      <c r="BL12" s="425"/>
      <c r="BM12" s="425"/>
      <c r="BN12" s="425"/>
      <c r="BO12" s="425"/>
      <c r="BP12" s="425"/>
      <c r="BQ12" s="425"/>
      <c r="BR12" s="425"/>
      <c r="BS12" s="425"/>
      <c r="BT12" s="425"/>
      <c r="BU12" s="425"/>
      <c r="BV12" s="425"/>
      <c r="BW12" s="425"/>
      <c r="BX12" s="425"/>
      <c r="BY12" s="425"/>
      <c r="BZ12" s="425"/>
      <c r="CA12" s="425"/>
      <c r="CB12" s="425"/>
      <c r="CC12" s="425"/>
      <c r="CD12" s="425"/>
      <c r="CE12" s="425"/>
      <c r="CF12" s="425"/>
      <c r="CG12" s="425"/>
      <c r="CH12" s="425"/>
      <c r="CI12" s="425"/>
      <c r="CJ12" s="425"/>
      <c r="CK12" s="425"/>
      <c r="CL12" s="425"/>
      <c r="CM12" s="425"/>
      <c r="CN12" s="425"/>
      <c r="CO12" s="425"/>
      <c r="CP12" s="425"/>
      <c r="CQ12" s="425"/>
      <c r="CR12" s="425"/>
      <c r="CS12" s="425"/>
      <c r="CT12" s="425"/>
      <c r="CU12" s="425"/>
      <c r="CV12" s="425"/>
      <c r="CW12" s="425"/>
      <c r="CX12" s="425"/>
      <c r="CY12" s="425"/>
      <c r="CZ12" s="425"/>
      <c r="DA12" s="425"/>
      <c r="DB12" s="425"/>
      <c r="DC12" s="425"/>
      <c r="DD12" s="425"/>
      <c r="DE12" s="425"/>
      <c r="DF12" s="425"/>
      <c r="DG12" s="425"/>
      <c r="DH12" s="425"/>
      <c r="DI12" s="425"/>
      <c r="DJ12" s="425"/>
      <c r="DK12" s="425"/>
      <c r="DL12" s="425"/>
      <c r="DM12" s="425"/>
      <c r="DN12" s="425"/>
      <c r="DO12" s="425"/>
      <c r="DP12" s="425"/>
      <c r="DQ12" s="425"/>
      <c r="DR12" s="425"/>
      <c r="DS12" s="425"/>
      <c r="DT12" s="425"/>
      <c r="DU12" s="425"/>
      <c r="DV12" s="425"/>
      <c r="DW12" s="425"/>
      <c r="DX12" s="425"/>
      <c r="DY12" s="425"/>
      <c r="DZ12" s="425"/>
      <c r="EA12" s="425"/>
      <c r="EB12" s="425"/>
      <c r="EC12" s="425"/>
      <c r="ED12" s="425"/>
      <c r="EE12" s="425"/>
      <c r="EF12" s="425"/>
      <c r="EG12" s="425"/>
      <c r="EH12" s="425"/>
      <c r="EI12" s="425"/>
      <c r="EJ12" s="425"/>
      <c r="EK12" s="425"/>
      <c r="EL12" s="425"/>
      <c r="EM12" s="425"/>
      <c r="EN12" s="425"/>
      <c r="EO12" s="425"/>
      <c r="EP12" s="425"/>
      <c r="EQ12" s="425"/>
      <c r="ER12" s="425"/>
      <c r="ES12" s="425"/>
      <c r="ET12" s="425"/>
      <c r="EU12" s="425"/>
      <c r="EV12" s="425"/>
      <c r="EW12" s="425"/>
      <c r="EX12" s="425"/>
      <c r="EY12" s="425"/>
      <c r="EZ12" s="425"/>
      <c r="FA12" s="425"/>
      <c r="FB12" s="425"/>
      <c r="FC12" s="425"/>
      <c r="FD12" s="425"/>
      <c r="FE12" s="425"/>
      <c r="FF12" s="425"/>
      <c r="FG12" s="425"/>
      <c r="FH12" s="425"/>
      <c r="FI12" s="425"/>
      <c r="FJ12" s="425"/>
      <c r="FK12" s="425"/>
      <c r="FL12" s="425"/>
      <c r="FM12" s="425"/>
      <c r="FN12" s="425"/>
      <c r="FO12" s="425"/>
      <c r="FP12" s="425"/>
      <c r="FQ12" s="425"/>
      <c r="FR12" s="425"/>
      <c r="FS12" s="425"/>
      <c r="FT12" s="425"/>
      <c r="FU12" s="425"/>
      <c r="FV12" s="425"/>
      <c r="FW12" s="425"/>
      <c r="FX12" s="425"/>
      <c r="FY12" s="425"/>
      <c r="FZ12" s="425"/>
      <c r="GA12" s="425"/>
      <c r="GB12" s="425"/>
      <c r="GC12" s="425"/>
      <c r="GD12" s="425"/>
      <c r="GE12" s="425"/>
      <c r="GF12" s="425"/>
      <c r="GG12" s="425"/>
      <c r="GH12" s="425"/>
      <c r="GI12" s="425"/>
      <c r="GJ12" s="425"/>
      <c r="GK12" s="425"/>
      <c r="GL12" s="425"/>
      <c r="GM12" s="425"/>
      <c r="GN12" s="425"/>
      <c r="GO12" s="425"/>
      <c r="GP12" s="425"/>
      <c r="GQ12" s="425"/>
      <c r="GR12" s="425"/>
      <c r="GS12" s="425"/>
      <c r="GT12" s="425"/>
      <c r="GU12" s="425"/>
      <c r="GV12" s="425"/>
      <c r="GW12" s="425"/>
      <c r="GX12" s="425"/>
      <c r="GY12" s="425"/>
      <c r="GZ12" s="425"/>
      <c r="HA12" s="425"/>
      <c r="HB12" s="425"/>
      <c r="HC12" s="425"/>
      <c r="HD12" s="425"/>
      <c r="HE12" s="425"/>
      <c r="HF12" s="425"/>
      <c r="HG12" s="425"/>
      <c r="HH12" s="425"/>
      <c r="HI12" s="425"/>
      <c r="HJ12" s="425"/>
      <c r="HK12" s="425"/>
      <c r="HL12" s="425"/>
      <c r="HM12" s="425"/>
      <c r="HN12" s="425"/>
      <c r="HO12" s="425"/>
      <c r="HP12" s="425"/>
      <c r="HQ12" s="425"/>
      <c r="HR12" s="425"/>
      <c r="HS12" s="425"/>
      <c r="HT12" s="425"/>
      <c r="HU12" s="425"/>
      <c r="HV12" s="425"/>
      <c r="HW12" s="425"/>
      <c r="HX12" s="425"/>
      <c r="HY12" s="425"/>
      <c r="HZ12" s="425"/>
      <c r="IA12" s="425"/>
      <c r="IB12" s="425"/>
      <c r="IC12" s="425"/>
      <c r="ID12" s="425"/>
      <c r="IE12" s="425"/>
      <c r="IF12" s="425"/>
      <c r="IG12" s="425"/>
      <c r="IH12" s="425"/>
      <c r="II12" s="425"/>
      <c r="IJ12" s="425"/>
      <c r="IK12" s="425"/>
      <c r="IL12" s="425"/>
    </row>
    <row r="13" spans="1:249" s="520" customFormat="1" ht="21" customHeight="1">
      <c r="A13" s="521">
        <v>3</v>
      </c>
      <c r="B13" s="517" t="s">
        <v>857</v>
      </c>
      <c r="C13" s="522">
        <f t="shared" si="0"/>
        <v>693000</v>
      </c>
      <c r="D13" s="522">
        <f t="shared" si="1"/>
        <v>820554</v>
      </c>
      <c r="E13" s="522">
        <f t="shared" si="2"/>
        <v>1513554</v>
      </c>
      <c r="F13" s="522">
        <v>1000000</v>
      </c>
      <c r="G13" s="522">
        <f t="shared" si="3"/>
        <v>514000</v>
      </c>
      <c r="H13" s="522">
        <f t="shared" si="4"/>
        <v>693000</v>
      </c>
      <c r="I13" s="522">
        <f t="shared" ref="I13:I18" si="5">G12-H12</f>
        <v>-179000</v>
      </c>
      <c r="J13" s="519"/>
      <c r="K13" s="519"/>
      <c r="L13" s="519"/>
      <c r="M13" s="519"/>
      <c r="N13" s="425"/>
      <c r="O13" s="425"/>
      <c r="P13" s="425"/>
      <c r="Q13" s="425"/>
      <c r="R13" s="425"/>
      <c r="S13" s="425"/>
      <c r="T13" s="425"/>
      <c r="U13" s="425"/>
      <c r="V13" s="425"/>
      <c r="W13" s="425"/>
      <c r="X13" s="425"/>
      <c r="Y13" s="425"/>
      <c r="Z13" s="425"/>
      <c r="AA13" s="425"/>
      <c r="AB13" s="425"/>
      <c r="AC13" s="425"/>
      <c r="AD13" s="425"/>
      <c r="AE13" s="425"/>
      <c r="AF13" s="425"/>
      <c r="AG13" s="425"/>
      <c r="AH13" s="425"/>
      <c r="AI13" s="425"/>
      <c r="AJ13" s="425"/>
      <c r="AK13" s="425"/>
      <c r="AL13" s="425"/>
      <c r="AM13" s="425"/>
      <c r="AN13" s="425"/>
      <c r="AO13" s="425"/>
      <c r="AP13" s="425"/>
      <c r="AQ13" s="425"/>
      <c r="AR13" s="425"/>
      <c r="AS13" s="425"/>
      <c r="AT13" s="425"/>
      <c r="AU13" s="425"/>
      <c r="AV13" s="425"/>
      <c r="AW13" s="425"/>
      <c r="AX13" s="425"/>
      <c r="AY13" s="425"/>
      <c r="AZ13" s="425"/>
      <c r="BA13" s="425"/>
      <c r="BB13" s="425"/>
      <c r="BC13" s="425"/>
      <c r="BD13" s="425"/>
      <c r="BE13" s="425"/>
      <c r="BF13" s="425"/>
      <c r="BG13" s="425"/>
      <c r="BH13" s="425"/>
      <c r="BI13" s="425"/>
      <c r="BJ13" s="425"/>
      <c r="BK13" s="425"/>
      <c r="BL13" s="425"/>
      <c r="BM13" s="425"/>
      <c r="BN13" s="425"/>
      <c r="BO13" s="425"/>
      <c r="BP13" s="425"/>
      <c r="BQ13" s="425"/>
      <c r="BR13" s="425"/>
      <c r="BS13" s="425"/>
      <c r="BT13" s="425"/>
      <c r="BU13" s="425"/>
      <c r="BV13" s="425"/>
      <c r="BW13" s="425"/>
      <c r="BX13" s="425"/>
      <c r="BY13" s="425"/>
      <c r="BZ13" s="425"/>
      <c r="CA13" s="425"/>
      <c r="CB13" s="425"/>
      <c r="CC13" s="425"/>
      <c r="CD13" s="425"/>
      <c r="CE13" s="425"/>
      <c r="CF13" s="425"/>
      <c r="CG13" s="425"/>
      <c r="CH13" s="425"/>
      <c r="CI13" s="425"/>
      <c r="CJ13" s="425"/>
      <c r="CK13" s="425"/>
      <c r="CL13" s="425"/>
      <c r="CM13" s="425"/>
      <c r="CN13" s="425"/>
      <c r="CO13" s="425"/>
      <c r="CP13" s="425"/>
      <c r="CQ13" s="425"/>
      <c r="CR13" s="425"/>
      <c r="CS13" s="425"/>
      <c r="CT13" s="425"/>
      <c r="CU13" s="425"/>
      <c r="CV13" s="425"/>
      <c r="CW13" s="425"/>
      <c r="CX13" s="425"/>
      <c r="CY13" s="425"/>
      <c r="CZ13" s="425"/>
      <c r="DA13" s="425"/>
      <c r="DB13" s="425"/>
      <c r="DC13" s="425"/>
      <c r="DD13" s="425"/>
      <c r="DE13" s="425"/>
      <c r="DF13" s="425"/>
      <c r="DG13" s="425"/>
      <c r="DH13" s="425"/>
      <c r="DI13" s="425"/>
      <c r="DJ13" s="425"/>
      <c r="DK13" s="425"/>
      <c r="DL13" s="425"/>
      <c r="DM13" s="425"/>
      <c r="DN13" s="425"/>
      <c r="DO13" s="425"/>
      <c r="DP13" s="425"/>
      <c r="DQ13" s="425"/>
      <c r="DR13" s="425"/>
      <c r="DS13" s="425"/>
      <c r="DT13" s="425"/>
      <c r="DU13" s="425"/>
      <c r="DV13" s="425"/>
      <c r="DW13" s="425"/>
      <c r="DX13" s="425"/>
      <c r="DY13" s="425"/>
      <c r="DZ13" s="425"/>
      <c r="EA13" s="425"/>
      <c r="EB13" s="425"/>
      <c r="EC13" s="425"/>
      <c r="ED13" s="425"/>
      <c r="EE13" s="425"/>
      <c r="EF13" s="425"/>
      <c r="EG13" s="425"/>
      <c r="EH13" s="425"/>
      <c r="EI13" s="425"/>
      <c r="EJ13" s="425"/>
      <c r="EK13" s="425"/>
      <c r="EL13" s="425"/>
      <c r="EM13" s="425"/>
      <c r="EN13" s="425"/>
      <c r="EO13" s="425"/>
      <c r="EP13" s="425"/>
      <c r="EQ13" s="425"/>
      <c r="ER13" s="425"/>
      <c r="ES13" s="425"/>
      <c r="ET13" s="425"/>
      <c r="EU13" s="425"/>
      <c r="EV13" s="425"/>
      <c r="EW13" s="425"/>
      <c r="EX13" s="425"/>
      <c r="EY13" s="425"/>
      <c r="EZ13" s="425"/>
      <c r="FA13" s="425"/>
      <c r="FB13" s="425"/>
      <c r="FC13" s="425"/>
      <c r="FD13" s="425"/>
      <c r="FE13" s="425"/>
      <c r="FF13" s="425"/>
      <c r="FG13" s="425"/>
      <c r="FH13" s="425"/>
      <c r="FI13" s="425"/>
      <c r="FJ13" s="425"/>
      <c r="FK13" s="425"/>
      <c r="FL13" s="425"/>
      <c r="FM13" s="425"/>
      <c r="FN13" s="425"/>
      <c r="FO13" s="425"/>
      <c r="FP13" s="425"/>
      <c r="FQ13" s="425"/>
      <c r="FR13" s="425"/>
      <c r="FS13" s="425"/>
      <c r="FT13" s="425"/>
      <c r="FU13" s="425"/>
      <c r="FV13" s="425"/>
      <c r="FW13" s="425"/>
      <c r="FX13" s="425"/>
      <c r="FY13" s="425"/>
      <c r="FZ13" s="425"/>
      <c r="GA13" s="425"/>
      <c r="GB13" s="425"/>
      <c r="GC13" s="425"/>
      <c r="GD13" s="425"/>
      <c r="GE13" s="425"/>
      <c r="GF13" s="425"/>
      <c r="GG13" s="425"/>
      <c r="GH13" s="425"/>
      <c r="GI13" s="425"/>
      <c r="GJ13" s="425"/>
      <c r="GK13" s="425"/>
      <c r="GL13" s="425"/>
      <c r="GM13" s="425"/>
      <c r="GN13" s="425"/>
      <c r="GO13" s="425"/>
      <c r="GP13" s="425"/>
      <c r="GQ13" s="425"/>
      <c r="GR13" s="425"/>
      <c r="GS13" s="425"/>
      <c r="GT13" s="425"/>
      <c r="GU13" s="425"/>
      <c r="GV13" s="425"/>
      <c r="GW13" s="425"/>
      <c r="GX13" s="425"/>
      <c r="GY13" s="425"/>
      <c r="GZ13" s="425"/>
      <c r="HA13" s="425"/>
      <c r="HB13" s="425"/>
      <c r="HC13" s="425"/>
      <c r="HD13" s="425"/>
      <c r="HE13" s="425"/>
      <c r="HF13" s="425"/>
      <c r="HG13" s="425"/>
      <c r="HH13" s="425"/>
      <c r="HI13" s="425"/>
      <c r="HJ13" s="425"/>
      <c r="HK13" s="425"/>
      <c r="HL13" s="425"/>
      <c r="HM13" s="425"/>
      <c r="HN13" s="425"/>
      <c r="HO13" s="425"/>
      <c r="HP13" s="425"/>
      <c r="HQ13" s="425"/>
      <c r="HR13" s="425"/>
      <c r="HS13" s="425"/>
      <c r="HT13" s="425"/>
      <c r="HU13" s="425"/>
      <c r="HV13" s="425"/>
      <c r="HW13" s="425"/>
      <c r="HX13" s="425"/>
      <c r="HY13" s="425"/>
      <c r="HZ13" s="425"/>
      <c r="IA13" s="425"/>
      <c r="IB13" s="425"/>
      <c r="IC13" s="425"/>
      <c r="ID13" s="425"/>
      <c r="IE13" s="425"/>
      <c r="IF13" s="425"/>
      <c r="IG13" s="425"/>
      <c r="IH13" s="425"/>
      <c r="II13" s="425"/>
      <c r="IJ13" s="425"/>
      <c r="IK13" s="425"/>
      <c r="IL13" s="425"/>
    </row>
    <row r="14" spans="1:249" s="520" customFormat="1" ht="21" customHeight="1">
      <c r="A14" s="521">
        <v>4</v>
      </c>
      <c r="B14" s="517" t="s">
        <v>858</v>
      </c>
      <c r="C14" s="522">
        <f t="shared" si="0"/>
        <v>693000</v>
      </c>
      <c r="D14" s="522">
        <f t="shared" si="1"/>
        <v>820554</v>
      </c>
      <c r="E14" s="522">
        <f t="shared" si="2"/>
        <v>1513554</v>
      </c>
      <c r="F14" s="522">
        <v>1000000</v>
      </c>
      <c r="G14" s="522">
        <f t="shared" si="3"/>
        <v>514000</v>
      </c>
      <c r="H14" s="522">
        <f t="shared" si="4"/>
        <v>693000</v>
      </c>
      <c r="I14" s="522">
        <f t="shared" si="5"/>
        <v>-179000</v>
      </c>
      <c r="J14" s="519"/>
      <c r="K14" s="519"/>
      <c r="L14" s="519"/>
      <c r="M14" s="519"/>
      <c r="N14" s="425"/>
      <c r="O14" s="425"/>
      <c r="P14" s="425"/>
      <c r="Q14" s="425"/>
      <c r="R14" s="425"/>
      <c r="S14" s="425"/>
      <c r="T14" s="425"/>
      <c r="U14" s="425"/>
      <c r="V14" s="425"/>
      <c r="W14" s="425"/>
      <c r="X14" s="425"/>
      <c r="Y14" s="425"/>
      <c r="Z14" s="425"/>
      <c r="AA14" s="425"/>
      <c r="AB14" s="425"/>
      <c r="AC14" s="425"/>
      <c r="AD14" s="425"/>
      <c r="AE14" s="425"/>
      <c r="AF14" s="425"/>
      <c r="AG14" s="425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425"/>
      <c r="AU14" s="425"/>
      <c r="AV14" s="425"/>
      <c r="AW14" s="425"/>
      <c r="AX14" s="425"/>
      <c r="AY14" s="425"/>
      <c r="AZ14" s="425"/>
      <c r="BA14" s="425"/>
      <c r="BB14" s="425"/>
      <c r="BC14" s="425"/>
      <c r="BD14" s="425"/>
      <c r="BE14" s="425"/>
      <c r="BF14" s="425"/>
      <c r="BG14" s="425"/>
      <c r="BH14" s="425"/>
      <c r="BI14" s="425"/>
      <c r="BJ14" s="425"/>
      <c r="BK14" s="425"/>
      <c r="BL14" s="425"/>
      <c r="BM14" s="425"/>
      <c r="BN14" s="425"/>
      <c r="BO14" s="425"/>
      <c r="BP14" s="425"/>
      <c r="BQ14" s="425"/>
      <c r="BR14" s="425"/>
      <c r="BS14" s="425"/>
      <c r="BT14" s="425"/>
      <c r="BU14" s="425"/>
      <c r="BV14" s="425"/>
      <c r="BW14" s="425"/>
      <c r="BX14" s="425"/>
      <c r="BY14" s="425"/>
      <c r="BZ14" s="425"/>
      <c r="CA14" s="425"/>
      <c r="CB14" s="425"/>
      <c r="CC14" s="425"/>
      <c r="CD14" s="425"/>
      <c r="CE14" s="425"/>
      <c r="CF14" s="425"/>
      <c r="CG14" s="425"/>
      <c r="CH14" s="425"/>
      <c r="CI14" s="425"/>
      <c r="CJ14" s="425"/>
      <c r="CK14" s="425"/>
      <c r="CL14" s="425"/>
      <c r="CM14" s="425"/>
      <c r="CN14" s="425"/>
      <c r="CO14" s="425"/>
      <c r="CP14" s="425"/>
      <c r="CQ14" s="425"/>
      <c r="CR14" s="425"/>
      <c r="CS14" s="425"/>
      <c r="CT14" s="425"/>
      <c r="CU14" s="425"/>
      <c r="CV14" s="425"/>
      <c r="CW14" s="425"/>
      <c r="CX14" s="425"/>
      <c r="CY14" s="425"/>
      <c r="CZ14" s="425"/>
      <c r="DA14" s="425"/>
      <c r="DB14" s="425"/>
      <c r="DC14" s="425"/>
      <c r="DD14" s="425"/>
      <c r="DE14" s="425"/>
      <c r="DF14" s="425"/>
      <c r="DG14" s="425"/>
      <c r="DH14" s="425"/>
      <c r="DI14" s="425"/>
      <c r="DJ14" s="425"/>
      <c r="DK14" s="425"/>
      <c r="DL14" s="425"/>
      <c r="DM14" s="425"/>
      <c r="DN14" s="425"/>
      <c r="DO14" s="425"/>
      <c r="DP14" s="425"/>
      <c r="DQ14" s="425"/>
      <c r="DR14" s="425"/>
      <c r="DS14" s="425"/>
      <c r="DT14" s="425"/>
      <c r="DU14" s="425"/>
      <c r="DV14" s="425"/>
      <c r="DW14" s="425"/>
      <c r="DX14" s="425"/>
      <c r="DY14" s="425"/>
      <c r="DZ14" s="425"/>
      <c r="EA14" s="425"/>
      <c r="EB14" s="425"/>
      <c r="EC14" s="425"/>
      <c r="ED14" s="425"/>
      <c r="EE14" s="425"/>
      <c r="EF14" s="425"/>
      <c r="EG14" s="425"/>
      <c r="EH14" s="425"/>
      <c r="EI14" s="425"/>
      <c r="EJ14" s="425"/>
      <c r="EK14" s="425"/>
      <c r="EL14" s="425"/>
      <c r="EM14" s="425"/>
      <c r="EN14" s="425"/>
      <c r="EO14" s="425"/>
      <c r="EP14" s="425"/>
      <c r="EQ14" s="425"/>
      <c r="ER14" s="425"/>
      <c r="ES14" s="425"/>
      <c r="ET14" s="425"/>
      <c r="EU14" s="425"/>
      <c r="EV14" s="425"/>
      <c r="EW14" s="425"/>
      <c r="EX14" s="425"/>
      <c r="EY14" s="425"/>
      <c r="EZ14" s="425"/>
      <c r="FA14" s="425"/>
      <c r="FB14" s="425"/>
      <c r="FC14" s="425"/>
      <c r="FD14" s="425"/>
      <c r="FE14" s="425"/>
      <c r="FF14" s="425"/>
      <c r="FG14" s="425"/>
      <c r="FH14" s="425"/>
      <c r="FI14" s="425"/>
      <c r="FJ14" s="425"/>
      <c r="FK14" s="425"/>
      <c r="FL14" s="425"/>
      <c r="FM14" s="425"/>
      <c r="FN14" s="425"/>
      <c r="FO14" s="425"/>
      <c r="FP14" s="425"/>
      <c r="FQ14" s="425"/>
      <c r="FR14" s="425"/>
      <c r="FS14" s="425"/>
      <c r="FT14" s="425"/>
      <c r="FU14" s="425"/>
      <c r="FV14" s="425"/>
      <c r="FW14" s="425"/>
      <c r="FX14" s="425"/>
      <c r="FY14" s="425"/>
      <c r="FZ14" s="425"/>
      <c r="GA14" s="425"/>
      <c r="GB14" s="425"/>
      <c r="GC14" s="425"/>
      <c r="GD14" s="425"/>
      <c r="GE14" s="425"/>
      <c r="GF14" s="425"/>
      <c r="GG14" s="425"/>
      <c r="GH14" s="425"/>
      <c r="GI14" s="425"/>
      <c r="GJ14" s="425"/>
      <c r="GK14" s="425"/>
      <c r="GL14" s="425"/>
      <c r="GM14" s="425"/>
      <c r="GN14" s="425"/>
      <c r="GO14" s="425"/>
      <c r="GP14" s="425"/>
      <c r="GQ14" s="425"/>
      <c r="GR14" s="425"/>
      <c r="GS14" s="425"/>
      <c r="GT14" s="425"/>
      <c r="GU14" s="425"/>
      <c r="GV14" s="425"/>
      <c r="GW14" s="425"/>
      <c r="GX14" s="425"/>
      <c r="GY14" s="425"/>
      <c r="GZ14" s="425"/>
      <c r="HA14" s="425"/>
      <c r="HB14" s="425"/>
      <c r="HC14" s="425"/>
      <c r="HD14" s="425"/>
      <c r="HE14" s="425"/>
      <c r="HF14" s="425"/>
      <c r="HG14" s="425"/>
      <c r="HH14" s="425"/>
      <c r="HI14" s="425"/>
      <c r="HJ14" s="425"/>
      <c r="HK14" s="425"/>
      <c r="HL14" s="425"/>
      <c r="HM14" s="425"/>
      <c r="HN14" s="425"/>
      <c r="HO14" s="425"/>
      <c r="HP14" s="425"/>
      <c r="HQ14" s="425"/>
      <c r="HR14" s="425"/>
      <c r="HS14" s="425"/>
      <c r="HT14" s="425"/>
      <c r="HU14" s="425"/>
      <c r="HV14" s="425"/>
      <c r="HW14" s="425"/>
      <c r="HX14" s="425"/>
      <c r="HY14" s="425"/>
      <c r="HZ14" s="425"/>
      <c r="IA14" s="425"/>
      <c r="IB14" s="425"/>
      <c r="IC14" s="425"/>
      <c r="ID14" s="425"/>
      <c r="IE14" s="425"/>
      <c r="IF14" s="425"/>
      <c r="IG14" s="425"/>
      <c r="IH14" s="425"/>
      <c r="II14" s="425"/>
      <c r="IJ14" s="425"/>
      <c r="IK14" s="425"/>
      <c r="IL14" s="425"/>
    </row>
    <row r="15" spans="1:249" s="520" customFormat="1" ht="21" customHeight="1">
      <c r="A15" s="521">
        <v>5</v>
      </c>
      <c r="B15" s="517" t="s">
        <v>859</v>
      </c>
      <c r="C15" s="522">
        <f t="shared" si="0"/>
        <v>693000</v>
      </c>
      <c r="D15" s="522">
        <f t="shared" si="1"/>
        <v>820554</v>
      </c>
      <c r="E15" s="522">
        <f t="shared" si="2"/>
        <v>1513554</v>
      </c>
      <c r="F15" s="522">
        <v>1000000</v>
      </c>
      <c r="G15" s="522">
        <f t="shared" si="3"/>
        <v>514000</v>
      </c>
      <c r="H15" s="522">
        <f t="shared" si="4"/>
        <v>693000</v>
      </c>
      <c r="I15" s="522">
        <f t="shared" si="5"/>
        <v>-179000</v>
      </c>
      <c r="J15" s="519"/>
      <c r="K15" s="519"/>
      <c r="L15" s="519"/>
      <c r="M15" s="519"/>
      <c r="N15" s="425"/>
      <c r="O15" s="425"/>
      <c r="P15" s="425"/>
      <c r="Q15" s="425"/>
      <c r="R15" s="425"/>
      <c r="S15" s="425"/>
      <c r="T15" s="425"/>
      <c r="U15" s="425"/>
      <c r="V15" s="425"/>
      <c r="W15" s="425"/>
      <c r="X15" s="425"/>
      <c r="Y15" s="425"/>
      <c r="Z15" s="425"/>
      <c r="AA15" s="425"/>
      <c r="AB15" s="425"/>
      <c r="AC15" s="425"/>
      <c r="AD15" s="425"/>
      <c r="AE15" s="425"/>
      <c r="AF15" s="425"/>
      <c r="AG15" s="425"/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  <c r="AS15" s="425"/>
      <c r="AT15" s="425"/>
      <c r="AU15" s="425"/>
      <c r="AV15" s="425"/>
      <c r="AW15" s="425"/>
      <c r="AX15" s="425"/>
      <c r="AY15" s="425"/>
      <c r="AZ15" s="425"/>
      <c r="BA15" s="425"/>
      <c r="BB15" s="425"/>
      <c r="BC15" s="425"/>
      <c r="BD15" s="425"/>
      <c r="BE15" s="425"/>
      <c r="BF15" s="425"/>
      <c r="BG15" s="425"/>
      <c r="BH15" s="425"/>
      <c r="BI15" s="425"/>
      <c r="BJ15" s="425"/>
      <c r="BK15" s="425"/>
      <c r="BL15" s="425"/>
      <c r="BM15" s="425"/>
      <c r="BN15" s="425"/>
      <c r="BO15" s="425"/>
      <c r="BP15" s="425"/>
      <c r="BQ15" s="425"/>
      <c r="BR15" s="425"/>
      <c r="BS15" s="425"/>
      <c r="BT15" s="425"/>
      <c r="BU15" s="425"/>
      <c r="BV15" s="425"/>
      <c r="BW15" s="425"/>
      <c r="BX15" s="425"/>
      <c r="BY15" s="425"/>
      <c r="BZ15" s="425"/>
      <c r="CA15" s="425"/>
      <c r="CB15" s="425"/>
      <c r="CC15" s="425"/>
      <c r="CD15" s="425"/>
      <c r="CE15" s="425"/>
      <c r="CF15" s="425"/>
      <c r="CG15" s="425"/>
      <c r="CH15" s="425"/>
      <c r="CI15" s="425"/>
      <c r="CJ15" s="425"/>
      <c r="CK15" s="425"/>
      <c r="CL15" s="425"/>
      <c r="CM15" s="425"/>
      <c r="CN15" s="425"/>
      <c r="CO15" s="425"/>
      <c r="CP15" s="425"/>
      <c r="CQ15" s="425"/>
      <c r="CR15" s="425"/>
      <c r="CS15" s="425"/>
      <c r="CT15" s="425"/>
      <c r="CU15" s="425"/>
      <c r="CV15" s="425"/>
      <c r="CW15" s="425"/>
      <c r="CX15" s="425"/>
      <c r="CY15" s="425"/>
      <c r="CZ15" s="425"/>
      <c r="DA15" s="425"/>
      <c r="DB15" s="425"/>
      <c r="DC15" s="425"/>
      <c r="DD15" s="425"/>
      <c r="DE15" s="425"/>
      <c r="DF15" s="425"/>
      <c r="DG15" s="425"/>
      <c r="DH15" s="425"/>
      <c r="DI15" s="425"/>
      <c r="DJ15" s="425"/>
      <c r="DK15" s="425"/>
      <c r="DL15" s="425"/>
      <c r="DM15" s="425"/>
      <c r="DN15" s="425"/>
      <c r="DO15" s="425"/>
      <c r="DP15" s="425"/>
      <c r="DQ15" s="425"/>
      <c r="DR15" s="425"/>
      <c r="DS15" s="425"/>
      <c r="DT15" s="425"/>
      <c r="DU15" s="425"/>
      <c r="DV15" s="425"/>
      <c r="DW15" s="425"/>
      <c r="DX15" s="425"/>
      <c r="DY15" s="425"/>
      <c r="DZ15" s="425"/>
      <c r="EA15" s="425"/>
      <c r="EB15" s="425"/>
      <c r="EC15" s="425"/>
      <c r="ED15" s="425"/>
      <c r="EE15" s="425"/>
      <c r="EF15" s="425"/>
      <c r="EG15" s="425"/>
      <c r="EH15" s="425"/>
      <c r="EI15" s="425"/>
      <c r="EJ15" s="425"/>
      <c r="EK15" s="425"/>
      <c r="EL15" s="425"/>
      <c r="EM15" s="425"/>
      <c r="EN15" s="425"/>
      <c r="EO15" s="425"/>
      <c r="EP15" s="425"/>
      <c r="EQ15" s="425"/>
      <c r="ER15" s="425"/>
      <c r="ES15" s="425"/>
      <c r="ET15" s="425"/>
      <c r="EU15" s="425"/>
      <c r="EV15" s="425"/>
      <c r="EW15" s="425"/>
      <c r="EX15" s="425"/>
      <c r="EY15" s="425"/>
      <c r="EZ15" s="425"/>
      <c r="FA15" s="425"/>
      <c r="FB15" s="425"/>
      <c r="FC15" s="425"/>
      <c r="FD15" s="425"/>
      <c r="FE15" s="425"/>
      <c r="FF15" s="425"/>
      <c r="FG15" s="425"/>
      <c r="FH15" s="425"/>
      <c r="FI15" s="425"/>
      <c r="FJ15" s="425"/>
      <c r="FK15" s="425"/>
      <c r="FL15" s="425"/>
      <c r="FM15" s="425"/>
      <c r="FN15" s="425"/>
      <c r="FO15" s="425"/>
      <c r="FP15" s="425"/>
      <c r="FQ15" s="425"/>
      <c r="FR15" s="425"/>
      <c r="FS15" s="425"/>
      <c r="FT15" s="425"/>
      <c r="FU15" s="425"/>
      <c r="FV15" s="425"/>
      <c r="FW15" s="425"/>
      <c r="FX15" s="425"/>
      <c r="FY15" s="425"/>
      <c r="FZ15" s="425"/>
      <c r="GA15" s="425"/>
      <c r="GB15" s="425"/>
      <c r="GC15" s="425"/>
      <c r="GD15" s="425"/>
      <c r="GE15" s="425"/>
      <c r="GF15" s="425"/>
      <c r="GG15" s="425"/>
      <c r="GH15" s="425"/>
      <c r="GI15" s="425"/>
      <c r="GJ15" s="425"/>
      <c r="GK15" s="425"/>
      <c r="GL15" s="425"/>
      <c r="GM15" s="425"/>
      <c r="GN15" s="425"/>
      <c r="GO15" s="425"/>
      <c r="GP15" s="425"/>
      <c r="GQ15" s="425"/>
      <c r="GR15" s="425"/>
      <c r="GS15" s="425"/>
      <c r="GT15" s="425"/>
      <c r="GU15" s="425"/>
      <c r="GV15" s="425"/>
      <c r="GW15" s="425"/>
      <c r="GX15" s="425"/>
      <c r="GY15" s="425"/>
      <c r="GZ15" s="425"/>
      <c r="HA15" s="425"/>
      <c r="HB15" s="425"/>
      <c r="HC15" s="425"/>
      <c r="HD15" s="425"/>
      <c r="HE15" s="425"/>
      <c r="HF15" s="425"/>
      <c r="HG15" s="425"/>
      <c r="HH15" s="425"/>
      <c r="HI15" s="425"/>
      <c r="HJ15" s="425"/>
      <c r="HK15" s="425"/>
      <c r="HL15" s="425"/>
      <c r="HM15" s="425"/>
      <c r="HN15" s="425"/>
      <c r="HO15" s="425"/>
      <c r="HP15" s="425"/>
      <c r="HQ15" s="425"/>
      <c r="HR15" s="425"/>
      <c r="HS15" s="425"/>
      <c r="HT15" s="425"/>
      <c r="HU15" s="425"/>
      <c r="HV15" s="425"/>
      <c r="HW15" s="425"/>
      <c r="HX15" s="425"/>
      <c r="HY15" s="425"/>
      <c r="HZ15" s="425"/>
      <c r="IA15" s="425"/>
      <c r="IB15" s="425"/>
      <c r="IC15" s="425"/>
      <c r="ID15" s="425"/>
      <c r="IE15" s="425"/>
      <c r="IF15" s="425"/>
      <c r="IG15" s="425"/>
      <c r="IH15" s="425"/>
      <c r="II15" s="425"/>
      <c r="IJ15" s="425"/>
      <c r="IK15" s="425"/>
      <c r="IL15" s="425"/>
    </row>
    <row r="16" spans="1:249" s="520" customFormat="1" ht="21" customHeight="1">
      <c r="A16" s="521">
        <v>6</v>
      </c>
      <c r="B16" s="517" t="s">
        <v>860</v>
      </c>
      <c r="C16" s="522">
        <f t="shared" si="0"/>
        <v>693000</v>
      </c>
      <c r="D16" s="522">
        <f t="shared" si="1"/>
        <v>820554</v>
      </c>
      <c r="E16" s="522">
        <f t="shared" si="2"/>
        <v>1513554</v>
      </c>
      <c r="F16" s="522">
        <v>1000000</v>
      </c>
      <c r="G16" s="522">
        <f t="shared" si="3"/>
        <v>514000</v>
      </c>
      <c r="H16" s="522">
        <f t="shared" si="4"/>
        <v>693000</v>
      </c>
      <c r="I16" s="522">
        <f t="shared" si="5"/>
        <v>-179000</v>
      </c>
      <c r="J16" s="519"/>
      <c r="K16" s="519"/>
      <c r="L16" s="519"/>
      <c r="M16" s="519"/>
      <c r="N16" s="425"/>
      <c r="O16" s="425"/>
      <c r="P16" s="425"/>
      <c r="Q16" s="425"/>
      <c r="R16" s="425"/>
      <c r="S16" s="425"/>
      <c r="T16" s="425"/>
      <c r="U16" s="425"/>
      <c r="V16" s="425"/>
      <c r="W16" s="425"/>
      <c r="X16" s="425"/>
      <c r="Y16" s="425"/>
      <c r="Z16" s="425"/>
      <c r="AA16" s="425"/>
      <c r="AB16" s="425"/>
      <c r="AC16" s="425"/>
      <c r="AD16" s="425"/>
      <c r="AE16" s="425"/>
      <c r="AF16" s="425"/>
      <c r="AG16" s="425"/>
      <c r="AH16" s="425"/>
      <c r="AI16" s="425"/>
      <c r="AJ16" s="425"/>
      <c r="AK16" s="425"/>
      <c r="AL16" s="425"/>
      <c r="AM16" s="425"/>
      <c r="AN16" s="425"/>
      <c r="AO16" s="425"/>
      <c r="AP16" s="425"/>
      <c r="AQ16" s="425"/>
      <c r="AR16" s="425"/>
      <c r="AS16" s="425"/>
      <c r="AT16" s="425"/>
      <c r="AU16" s="425"/>
      <c r="AV16" s="425"/>
      <c r="AW16" s="425"/>
      <c r="AX16" s="425"/>
      <c r="AY16" s="425"/>
      <c r="AZ16" s="425"/>
      <c r="BA16" s="425"/>
      <c r="BB16" s="425"/>
      <c r="BC16" s="425"/>
      <c r="BD16" s="425"/>
      <c r="BE16" s="425"/>
      <c r="BF16" s="425"/>
      <c r="BG16" s="425"/>
      <c r="BH16" s="425"/>
      <c r="BI16" s="425"/>
      <c r="BJ16" s="425"/>
      <c r="BK16" s="425"/>
      <c r="BL16" s="425"/>
      <c r="BM16" s="425"/>
      <c r="BN16" s="425"/>
      <c r="BO16" s="425"/>
      <c r="BP16" s="425"/>
      <c r="BQ16" s="425"/>
      <c r="BR16" s="425"/>
      <c r="BS16" s="425"/>
      <c r="BT16" s="425"/>
      <c r="BU16" s="425"/>
      <c r="BV16" s="425"/>
      <c r="BW16" s="425"/>
      <c r="BX16" s="425"/>
      <c r="BY16" s="425"/>
      <c r="BZ16" s="425"/>
      <c r="CA16" s="425"/>
      <c r="CB16" s="425"/>
      <c r="CC16" s="425"/>
      <c r="CD16" s="425"/>
      <c r="CE16" s="425"/>
      <c r="CF16" s="425"/>
      <c r="CG16" s="425"/>
      <c r="CH16" s="425"/>
      <c r="CI16" s="425"/>
      <c r="CJ16" s="425"/>
      <c r="CK16" s="425"/>
      <c r="CL16" s="425"/>
      <c r="CM16" s="425"/>
      <c r="CN16" s="425"/>
      <c r="CO16" s="425"/>
      <c r="CP16" s="425"/>
      <c r="CQ16" s="425"/>
      <c r="CR16" s="425"/>
      <c r="CS16" s="425"/>
      <c r="CT16" s="425"/>
      <c r="CU16" s="425"/>
      <c r="CV16" s="425"/>
      <c r="CW16" s="425"/>
      <c r="CX16" s="425"/>
      <c r="CY16" s="425"/>
      <c r="CZ16" s="425"/>
      <c r="DA16" s="425"/>
      <c r="DB16" s="425"/>
      <c r="DC16" s="425"/>
      <c r="DD16" s="425"/>
      <c r="DE16" s="425"/>
      <c r="DF16" s="425"/>
      <c r="DG16" s="425"/>
      <c r="DH16" s="425"/>
      <c r="DI16" s="425"/>
      <c r="DJ16" s="425"/>
      <c r="DK16" s="425"/>
      <c r="DL16" s="425"/>
      <c r="DM16" s="425"/>
      <c r="DN16" s="425"/>
      <c r="DO16" s="425"/>
      <c r="DP16" s="425"/>
      <c r="DQ16" s="425"/>
      <c r="DR16" s="425"/>
      <c r="DS16" s="425"/>
      <c r="DT16" s="425"/>
      <c r="DU16" s="425"/>
      <c r="DV16" s="425"/>
      <c r="DW16" s="425"/>
      <c r="DX16" s="425"/>
      <c r="DY16" s="425"/>
      <c r="DZ16" s="425"/>
      <c r="EA16" s="425"/>
      <c r="EB16" s="425"/>
      <c r="EC16" s="425"/>
      <c r="ED16" s="425"/>
      <c r="EE16" s="425"/>
      <c r="EF16" s="425"/>
      <c r="EG16" s="425"/>
      <c r="EH16" s="425"/>
      <c r="EI16" s="425"/>
      <c r="EJ16" s="425"/>
      <c r="EK16" s="425"/>
      <c r="EL16" s="425"/>
      <c r="EM16" s="425"/>
      <c r="EN16" s="425"/>
      <c r="EO16" s="425"/>
      <c r="EP16" s="425"/>
      <c r="EQ16" s="425"/>
      <c r="ER16" s="425"/>
      <c r="ES16" s="425"/>
      <c r="ET16" s="425"/>
      <c r="EU16" s="425"/>
      <c r="EV16" s="425"/>
      <c r="EW16" s="425"/>
      <c r="EX16" s="425"/>
      <c r="EY16" s="425"/>
      <c r="EZ16" s="425"/>
      <c r="FA16" s="425"/>
      <c r="FB16" s="425"/>
      <c r="FC16" s="425"/>
      <c r="FD16" s="425"/>
      <c r="FE16" s="425"/>
      <c r="FF16" s="425"/>
      <c r="FG16" s="425"/>
      <c r="FH16" s="425"/>
      <c r="FI16" s="425"/>
      <c r="FJ16" s="425"/>
      <c r="FK16" s="425"/>
      <c r="FL16" s="425"/>
      <c r="FM16" s="425"/>
      <c r="FN16" s="425"/>
      <c r="FO16" s="425"/>
      <c r="FP16" s="425"/>
      <c r="FQ16" s="425"/>
      <c r="FR16" s="425"/>
      <c r="FS16" s="425"/>
      <c r="FT16" s="425"/>
      <c r="FU16" s="425"/>
      <c r="FV16" s="425"/>
      <c r="FW16" s="425"/>
      <c r="FX16" s="425"/>
      <c r="FY16" s="425"/>
      <c r="FZ16" s="425"/>
      <c r="GA16" s="425"/>
      <c r="GB16" s="425"/>
      <c r="GC16" s="425"/>
      <c r="GD16" s="425"/>
      <c r="GE16" s="425"/>
      <c r="GF16" s="425"/>
      <c r="GG16" s="425"/>
      <c r="GH16" s="425"/>
      <c r="GI16" s="425"/>
      <c r="GJ16" s="425"/>
      <c r="GK16" s="425"/>
      <c r="GL16" s="425"/>
      <c r="GM16" s="425"/>
      <c r="GN16" s="425"/>
      <c r="GO16" s="425"/>
      <c r="GP16" s="425"/>
      <c r="GQ16" s="425"/>
      <c r="GR16" s="425"/>
      <c r="GS16" s="425"/>
      <c r="GT16" s="425"/>
      <c r="GU16" s="425"/>
      <c r="GV16" s="425"/>
      <c r="GW16" s="425"/>
      <c r="GX16" s="425"/>
      <c r="GY16" s="425"/>
      <c r="GZ16" s="425"/>
      <c r="HA16" s="425"/>
      <c r="HB16" s="425"/>
      <c r="HC16" s="425"/>
      <c r="HD16" s="425"/>
      <c r="HE16" s="425"/>
      <c r="HF16" s="425"/>
      <c r="HG16" s="425"/>
      <c r="HH16" s="425"/>
      <c r="HI16" s="425"/>
      <c r="HJ16" s="425"/>
      <c r="HK16" s="425"/>
      <c r="HL16" s="425"/>
      <c r="HM16" s="425"/>
      <c r="HN16" s="425"/>
      <c r="HO16" s="425"/>
      <c r="HP16" s="425"/>
      <c r="HQ16" s="425"/>
      <c r="HR16" s="425"/>
      <c r="HS16" s="425"/>
      <c r="HT16" s="425"/>
      <c r="HU16" s="425"/>
      <c r="HV16" s="425"/>
      <c r="HW16" s="425"/>
      <c r="HX16" s="425"/>
      <c r="HY16" s="425"/>
      <c r="HZ16" s="425"/>
      <c r="IA16" s="425"/>
      <c r="IB16" s="425"/>
      <c r="IC16" s="425"/>
      <c r="ID16" s="425"/>
      <c r="IE16" s="425"/>
      <c r="IF16" s="425"/>
      <c r="IG16" s="425"/>
      <c r="IH16" s="425"/>
      <c r="II16" s="425"/>
      <c r="IJ16" s="425"/>
      <c r="IK16" s="425"/>
      <c r="IL16" s="425"/>
    </row>
    <row r="17" spans="1:249" s="520" customFormat="1" ht="21" customHeight="1">
      <c r="A17" s="521">
        <v>7</v>
      </c>
      <c r="B17" s="517" t="s">
        <v>861</v>
      </c>
      <c r="C17" s="522">
        <f t="shared" si="0"/>
        <v>693000</v>
      </c>
      <c r="D17" s="522">
        <f t="shared" si="1"/>
        <v>820554</v>
      </c>
      <c r="E17" s="522">
        <f t="shared" si="2"/>
        <v>1513554</v>
      </c>
      <c r="F17" s="522">
        <v>1000000</v>
      </c>
      <c r="G17" s="522">
        <f t="shared" si="3"/>
        <v>514000</v>
      </c>
      <c r="H17" s="522">
        <f t="shared" si="4"/>
        <v>693000</v>
      </c>
      <c r="I17" s="522">
        <f t="shared" si="5"/>
        <v>-179000</v>
      </c>
      <c r="J17" s="519"/>
      <c r="K17" s="519"/>
      <c r="L17" s="519"/>
      <c r="M17" s="519"/>
      <c r="N17" s="425"/>
      <c r="O17" s="425"/>
      <c r="P17" s="425"/>
      <c r="Q17" s="425"/>
      <c r="R17" s="425"/>
      <c r="S17" s="425"/>
      <c r="T17" s="425"/>
      <c r="U17" s="425"/>
      <c r="V17" s="425"/>
      <c r="W17" s="425"/>
      <c r="X17" s="425"/>
      <c r="Y17" s="425"/>
      <c r="Z17" s="425"/>
      <c r="AA17" s="425"/>
      <c r="AB17" s="425"/>
      <c r="AC17" s="425"/>
      <c r="AD17" s="425"/>
      <c r="AE17" s="425"/>
      <c r="AF17" s="425"/>
      <c r="AG17" s="425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425"/>
      <c r="AU17" s="425"/>
      <c r="AV17" s="425"/>
      <c r="AW17" s="425"/>
      <c r="AX17" s="425"/>
      <c r="AY17" s="425"/>
      <c r="AZ17" s="425"/>
      <c r="BA17" s="425"/>
      <c r="BB17" s="425"/>
      <c r="BC17" s="425"/>
      <c r="BD17" s="425"/>
      <c r="BE17" s="425"/>
      <c r="BF17" s="425"/>
      <c r="BG17" s="425"/>
      <c r="BH17" s="425"/>
      <c r="BI17" s="425"/>
      <c r="BJ17" s="425"/>
      <c r="BK17" s="425"/>
      <c r="BL17" s="425"/>
      <c r="BM17" s="425"/>
      <c r="BN17" s="425"/>
      <c r="BO17" s="425"/>
      <c r="BP17" s="425"/>
      <c r="BQ17" s="425"/>
      <c r="BR17" s="425"/>
      <c r="BS17" s="425"/>
      <c r="BT17" s="425"/>
      <c r="BU17" s="425"/>
      <c r="BV17" s="425"/>
      <c r="BW17" s="425"/>
      <c r="BX17" s="425"/>
      <c r="BY17" s="425"/>
      <c r="BZ17" s="425"/>
      <c r="CA17" s="425"/>
      <c r="CB17" s="425"/>
      <c r="CC17" s="425"/>
      <c r="CD17" s="425"/>
      <c r="CE17" s="425"/>
      <c r="CF17" s="425"/>
      <c r="CG17" s="425"/>
      <c r="CH17" s="425"/>
      <c r="CI17" s="425"/>
      <c r="CJ17" s="425"/>
      <c r="CK17" s="425"/>
      <c r="CL17" s="425"/>
      <c r="CM17" s="425"/>
      <c r="CN17" s="425"/>
      <c r="CO17" s="425"/>
      <c r="CP17" s="425"/>
      <c r="CQ17" s="425"/>
      <c r="CR17" s="425"/>
      <c r="CS17" s="425"/>
      <c r="CT17" s="425"/>
      <c r="CU17" s="425"/>
      <c r="CV17" s="425"/>
      <c r="CW17" s="425"/>
      <c r="CX17" s="425"/>
      <c r="CY17" s="425"/>
      <c r="CZ17" s="425"/>
      <c r="DA17" s="425"/>
      <c r="DB17" s="425"/>
      <c r="DC17" s="425"/>
      <c r="DD17" s="425"/>
      <c r="DE17" s="425"/>
      <c r="DF17" s="425"/>
      <c r="DG17" s="425"/>
      <c r="DH17" s="425"/>
      <c r="DI17" s="425"/>
      <c r="DJ17" s="425"/>
      <c r="DK17" s="425"/>
      <c r="DL17" s="425"/>
      <c r="DM17" s="425"/>
      <c r="DN17" s="425"/>
      <c r="DO17" s="425"/>
      <c r="DP17" s="425"/>
      <c r="DQ17" s="425"/>
      <c r="DR17" s="425"/>
      <c r="DS17" s="425"/>
      <c r="DT17" s="425"/>
      <c r="DU17" s="425"/>
      <c r="DV17" s="425"/>
      <c r="DW17" s="425"/>
      <c r="DX17" s="425"/>
      <c r="DY17" s="425"/>
      <c r="DZ17" s="425"/>
      <c r="EA17" s="425"/>
      <c r="EB17" s="425"/>
      <c r="EC17" s="425"/>
      <c r="ED17" s="425"/>
      <c r="EE17" s="425"/>
      <c r="EF17" s="425"/>
      <c r="EG17" s="425"/>
      <c r="EH17" s="425"/>
      <c r="EI17" s="425"/>
      <c r="EJ17" s="425"/>
      <c r="EK17" s="425"/>
      <c r="EL17" s="425"/>
      <c r="EM17" s="425"/>
      <c r="EN17" s="425"/>
      <c r="EO17" s="425"/>
      <c r="EP17" s="425"/>
      <c r="EQ17" s="425"/>
      <c r="ER17" s="425"/>
      <c r="ES17" s="425"/>
      <c r="ET17" s="425"/>
      <c r="EU17" s="425"/>
      <c r="EV17" s="425"/>
      <c r="EW17" s="425"/>
      <c r="EX17" s="425"/>
      <c r="EY17" s="425"/>
      <c r="EZ17" s="425"/>
      <c r="FA17" s="425"/>
      <c r="FB17" s="425"/>
      <c r="FC17" s="425"/>
      <c r="FD17" s="425"/>
      <c r="FE17" s="425"/>
      <c r="FF17" s="425"/>
      <c r="FG17" s="425"/>
      <c r="FH17" s="425"/>
      <c r="FI17" s="425"/>
      <c r="FJ17" s="425"/>
      <c r="FK17" s="425"/>
      <c r="FL17" s="425"/>
      <c r="FM17" s="425"/>
      <c r="FN17" s="425"/>
      <c r="FO17" s="425"/>
      <c r="FP17" s="425"/>
      <c r="FQ17" s="425"/>
      <c r="FR17" s="425"/>
      <c r="FS17" s="425"/>
      <c r="FT17" s="425"/>
      <c r="FU17" s="425"/>
      <c r="FV17" s="425"/>
      <c r="FW17" s="425"/>
      <c r="FX17" s="425"/>
      <c r="FY17" s="425"/>
      <c r="FZ17" s="425"/>
      <c r="GA17" s="425"/>
      <c r="GB17" s="425"/>
      <c r="GC17" s="425"/>
      <c r="GD17" s="425"/>
      <c r="GE17" s="425"/>
      <c r="GF17" s="425"/>
      <c r="GG17" s="425"/>
      <c r="GH17" s="425"/>
      <c r="GI17" s="425"/>
      <c r="GJ17" s="425"/>
      <c r="GK17" s="425"/>
      <c r="GL17" s="425"/>
      <c r="GM17" s="425"/>
      <c r="GN17" s="425"/>
      <c r="GO17" s="425"/>
      <c r="GP17" s="425"/>
      <c r="GQ17" s="425"/>
      <c r="GR17" s="425"/>
      <c r="GS17" s="425"/>
      <c r="GT17" s="425"/>
      <c r="GU17" s="425"/>
      <c r="GV17" s="425"/>
      <c r="GW17" s="425"/>
      <c r="GX17" s="425"/>
      <c r="GY17" s="425"/>
      <c r="GZ17" s="425"/>
      <c r="HA17" s="425"/>
      <c r="HB17" s="425"/>
      <c r="HC17" s="425"/>
      <c r="HD17" s="425"/>
      <c r="HE17" s="425"/>
      <c r="HF17" s="425"/>
      <c r="HG17" s="425"/>
      <c r="HH17" s="425"/>
      <c r="HI17" s="425"/>
      <c r="HJ17" s="425"/>
      <c r="HK17" s="425"/>
      <c r="HL17" s="425"/>
      <c r="HM17" s="425"/>
      <c r="HN17" s="425"/>
      <c r="HO17" s="425"/>
      <c r="HP17" s="425"/>
      <c r="HQ17" s="425"/>
      <c r="HR17" s="425"/>
      <c r="HS17" s="425"/>
      <c r="HT17" s="425"/>
      <c r="HU17" s="425"/>
      <c r="HV17" s="425"/>
      <c r="HW17" s="425"/>
      <c r="HX17" s="425"/>
      <c r="HY17" s="425"/>
      <c r="HZ17" s="425"/>
      <c r="IA17" s="425"/>
      <c r="IB17" s="425"/>
      <c r="IC17" s="425"/>
      <c r="ID17" s="425"/>
      <c r="IE17" s="425"/>
      <c r="IF17" s="425"/>
      <c r="IG17" s="425"/>
      <c r="IH17" s="425"/>
      <c r="II17" s="425"/>
      <c r="IJ17" s="425"/>
      <c r="IK17" s="425"/>
      <c r="IL17" s="425"/>
    </row>
    <row r="18" spans="1:249" s="520" customFormat="1" ht="21" customHeight="1">
      <c r="A18" s="521">
        <v>8</v>
      </c>
      <c r="B18" s="517" t="s">
        <v>862</v>
      </c>
      <c r="C18" s="522">
        <f t="shared" si="0"/>
        <v>693000</v>
      </c>
      <c r="D18" s="522">
        <f t="shared" si="1"/>
        <v>820554</v>
      </c>
      <c r="E18" s="522">
        <f t="shared" si="2"/>
        <v>1513554</v>
      </c>
      <c r="F18" s="522">
        <v>1000000</v>
      </c>
      <c r="G18" s="523">
        <f t="shared" si="3"/>
        <v>514000</v>
      </c>
      <c r="H18" s="523">
        <f t="shared" si="4"/>
        <v>693000</v>
      </c>
      <c r="I18" s="522">
        <f t="shared" si="5"/>
        <v>-179000</v>
      </c>
      <c r="J18" s="519"/>
      <c r="K18" s="519"/>
      <c r="L18" s="519"/>
      <c r="M18" s="519"/>
      <c r="N18" s="425"/>
      <c r="O18" s="425"/>
      <c r="P18" s="425"/>
      <c r="Q18" s="425"/>
      <c r="R18" s="425"/>
      <c r="S18" s="425"/>
      <c r="T18" s="425"/>
      <c r="U18" s="425"/>
      <c r="V18" s="425"/>
      <c r="W18" s="425"/>
      <c r="X18" s="425"/>
      <c r="Y18" s="425"/>
      <c r="Z18" s="425"/>
      <c r="AA18" s="425"/>
      <c r="AB18" s="425"/>
      <c r="AC18" s="425"/>
      <c r="AD18" s="425"/>
      <c r="AE18" s="425"/>
      <c r="AF18" s="425"/>
      <c r="AG18" s="425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425"/>
      <c r="AU18" s="425"/>
      <c r="AV18" s="425"/>
      <c r="AW18" s="425"/>
      <c r="AX18" s="425"/>
      <c r="AY18" s="425"/>
      <c r="AZ18" s="425"/>
      <c r="BA18" s="425"/>
      <c r="BB18" s="425"/>
      <c r="BC18" s="425"/>
      <c r="BD18" s="425"/>
      <c r="BE18" s="425"/>
      <c r="BF18" s="425"/>
      <c r="BG18" s="425"/>
      <c r="BH18" s="425"/>
      <c r="BI18" s="425"/>
      <c r="BJ18" s="425"/>
      <c r="BK18" s="425"/>
      <c r="BL18" s="425"/>
      <c r="BM18" s="425"/>
      <c r="BN18" s="425"/>
      <c r="BO18" s="425"/>
      <c r="BP18" s="425"/>
      <c r="BQ18" s="425"/>
      <c r="BR18" s="425"/>
      <c r="BS18" s="425"/>
      <c r="BT18" s="425"/>
      <c r="BU18" s="425"/>
      <c r="BV18" s="425"/>
      <c r="BW18" s="425"/>
      <c r="BX18" s="425"/>
      <c r="BY18" s="425"/>
      <c r="BZ18" s="425"/>
      <c r="CA18" s="425"/>
      <c r="CB18" s="425"/>
      <c r="CC18" s="425"/>
      <c r="CD18" s="425"/>
      <c r="CE18" s="425"/>
      <c r="CF18" s="425"/>
      <c r="CG18" s="425"/>
      <c r="CH18" s="425"/>
      <c r="CI18" s="425"/>
      <c r="CJ18" s="425"/>
      <c r="CK18" s="425"/>
      <c r="CL18" s="425"/>
      <c r="CM18" s="425"/>
      <c r="CN18" s="425"/>
      <c r="CO18" s="425"/>
      <c r="CP18" s="425"/>
      <c r="CQ18" s="425"/>
      <c r="CR18" s="425"/>
      <c r="CS18" s="425"/>
      <c r="CT18" s="425"/>
      <c r="CU18" s="425"/>
      <c r="CV18" s="425"/>
      <c r="CW18" s="425"/>
      <c r="CX18" s="425"/>
      <c r="CY18" s="425"/>
      <c r="CZ18" s="425"/>
      <c r="DA18" s="425"/>
      <c r="DB18" s="425"/>
      <c r="DC18" s="425"/>
      <c r="DD18" s="425"/>
      <c r="DE18" s="425"/>
      <c r="DF18" s="425"/>
      <c r="DG18" s="425"/>
      <c r="DH18" s="425"/>
      <c r="DI18" s="425"/>
      <c r="DJ18" s="425"/>
      <c r="DK18" s="425"/>
      <c r="DL18" s="425"/>
      <c r="DM18" s="425"/>
      <c r="DN18" s="425"/>
      <c r="DO18" s="425"/>
      <c r="DP18" s="425"/>
      <c r="DQ18" s="425"/>
      <c r="DR18" s="425"/>
      <c r="DS18" s="425"/>
      <c r="DT18" s="425"/>
      <c r="DU18" s="425"/>
      <c r="DV18" s="425"/>
      <c r="DW18" s="425"/>
      <c r="DX18" s="425"/>
      <c r="DY18" s="425"/>
      <c r="DZ18" s="425"/>
      <c r="EA18" s="425"/>
      <c r="EB18" s="425"/>
      <c r="EC18" s="425"/>
      <c r="ED18" s="425"/>
      <c r="EE18" s="425"/>
      <c r="EF18" s="425"/>
      <c r="EG18" s="425"/>
      <c r="EH18" s="425"/>
      <c r="EI18" s="425"/>
      <c r="EJ18" s="425"/>
      <c r="EK18" s="425"/>
      <c r="EL18" s="425"/>
      <c r="EM18" s="425"/>
      <c r="EN18" s="425"/>
      <c r="EO18" s="425"/>
      <c r="EP18" s="425"/>
      <c r="EQ18" s="425"/>
      <c r="ER18" s="425"/>
      <c r="ES18" s="425"/>
      <c r="ET18" s="425"/>
      <c r="EU18" s="425"/>
      <c r="EV18" s="425"/>
      <c r="EW18" s="425"/>
      <c r="EX18" s="425"/>
      <c r="EY18" s="425"/>
      <c r="EZ18" s="425"/>
      <c r="FA18" s="425"/>
      <c r="FB18" s="425"/>
      <c r="FC18" s="425"/>
      <c r="FD18" s="425"/>
      <c r="FE18" s="425"/>
      <c r="FF18" s="425"/>
      <c r="FG18" s="425"/>
      <c r="FH18" s="425"/>
      <c r="FI18" s="425"/>
      <c r="FJ18" s="425"/>
      <c r="FK18" s="425"/>
      <c r="FL18" s="425"/>
      <c r="FM18" s="425"/>
      <c r="FN18" s="425"/>
      <c r="FO18" s="425"/>
      <c r="FP18" s="425"/>
      <c r="FQ18" s="425"/>
      <c r="FR18" s="425"/>
      <c r="FS18" s="425"/>
      <c r="FT18" s="425"/>
      <c r="FU18" s="425"/>
      <c r="FV18" s="425"/>
      <c r="FW18" s="425"/>
      <c r="FX18" s="425"/>
      <c r="FY18" s="425"/>
      <c r="FZ18" s="425"/>
      <c r="GA18" s="425"/>
      <c r="GB18" s="425"/>
      <c r="GC18" s="425"/>
      <c r="GD18" s="425"/>
      <c r="GE18" s="425"/>
      <c r="GF18" s="425"/>
      <c r="GG18" s="425"/>
      <c r="GH18" s="425"/>
      <c r="GI18" s="425"/>
      <c r="GJ18" s="425"/>
      <c r="GK18" s="425"/>
      <c r="GL18" s="425"/>
      <c r="GM18" s="425"/>
      <c r="GN18" s="425"/>
      <c r="GO18" s="425"/>
      <c r="GP18" s="425"/>
      <c r="GQ18" s="425"/>
      <c r="GR18" s="425"/>
      <c r="GS18" s="425"/>
      <c r="GT18" s="425"/>
      <c r="GU18" s="425"/>
      <c r="GV18" s="425"/>
      <c r="GW18" s="425"/>
      <c r="GX18" s="425"/>
      <c r="GY18" s="425"/>
      <c r="GZ18" s="425"/>
      <c r="HA18" s="425"/>
      <c r="HB18" s="425"/>
      <c r="HC18" s="425"/>
      <c r="HD18" s="425"/>
      <c r="HE18" s="425"/>
      <c r="HF18" s="425"/>
      <c r="HG18" s="425"/>
      <c r="HH18" s="425"/>
      <c r="HI18" s="425"/>
      <c r="HJ18" s="425"/>
      <c r="HK18" s="425"/>
      <c r="HL18" s="425"/>
      <c r="HM18" s="425"/>
      <c r="HN18" s="425"/>
      <c r="HO18" s="425"/>
      <c r="HP18" s="425"/>
      <c r="HQ18" s="425"/>
      <c r="HR18" s="425"/>
      <c r="HS18" s="425"/>
      <c r="HT18" s="425"/>
      <c r="HU18" s="425"/>
      <c r="HV18" s="425"/>
      <c r="HW18" s="425"/>
      <c r="HX18" s="425"/>
      <c r="HY18" s="425"/>
      <c r="HZ18" s="425"/>
      <c r="IA18" s="425"/>
      <c r="IB18" s="425"/>
      <c r="IC18" s="425"/>
      <c r="ID18" s="425"/>
      <c r="IE18" s="425"/>
      <c r="IF18" s="425"/>
      <c r="IG18" s="425"/>
      <c r="IH18" s="425"/>
      <c r="II18" s="425"/>
      <c r="IJ18" s="425"/>
      <c r="IK18" s="425"/>
      <c r="IL18" s="425"/>
    </row>
    <row r="19" spans="1:249" ht="28.5" customHeight="1">
      <c r="A19" s="739" t="s">
        <v>219</v>
      </c>
      <c r="B19" s="740"/>
      <c r="C19" s="524">
        <f t="shared" ref="C19:I19" si="6">SUM(C11:C18)</f>
        <v>5544000</v>
      </c>
      <c r="D19" s="524">
        <f t="shared" si="6"/>
        <v>6564432</v>
      </c>
      <c r="E19" s="524">
        <f t="shared" si="6"/>
        <v>12108432</v>
      </c>
      <c r="F19" s="524">
        <f t="shared" si="6"/>
        <v>8000000</v>
      </c>
      <c r="G19" s="524">
        <f t="shared" si="6"/>
        <v>4112000</v>
      </c>
      <c r="H19" s="524">
        <f t="shared" si="6"/>
        <v>5544000</v>
      </c>
      <c r="I19" s="524">
        <f t="shared" si="6"/>
        <v>-1432000</v>
      </c>
      <c r="J19" s="525"/>
      <c r="K19" s="525"/>
      <c r="L19" s="525"/>
      <c r="M19" s="525"/>
      <c r="N19" s="526"/>
      <c r="O19" s="526"/>
      <c r="P19" s="526"/>
      <c r="Q19" s="526"/>
      <c r="R19" s="526"/>
      <c r="S19" s="526"/>
      <c r="T19" s="526"/>
      <c r="U19" s="526"/>
      <c r="V19" s="526"/>
      <c r="W19" s="526"/>
      <c r="X19" s="526"/>
      <c r="Y19" s="526"/>
      <c r="Z19" s="526"/>
      <c r="AA19" s="526"/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  <c r="DG19" s="526"/>
      <c r="DH19" s="526"/>
      <c r="DI19" s="526"/>
      <c r="DJ19" s="526"/>
      <c r="DK19" s="526"/>
      <c r="DL19" s="526"/>
      <c r="DM19" s="526"/>
      <c r="DN19" s="526"/>
      <c r="DO19" s="526"/>
      <c r="DP19" s="526"/>
      <c r="DQ19" s="526"/>
      <c r="DR19" s="526"/>
      <c r="DS19" s="526"/>
      <c r="DT19" s="526"/>
      <c r="DU19" s="526"/>
      <c r="DV19" s="526"/>
      <c r="DW19" s="526"/>
      <c r="DX19" s="526"/>
      <c r="DY19" s="526"/>
      <c r="DZ19" s="526"/>
      <c r="EA19" s="526"/>
      <c r="EB19" s="526"/>
      <c r="EC19" s="526"/>
      <c r="ED19" s="526"/>
      <c r="EE19" s="526"/>
      <c r="EF19" s="526"/>
      <c r="EG19" s="526"/>
      <c r="EH19" s="526"/>
      <c r="EI19" s="526"/>
      <c r="EJ19" s="526"/>
      <c r="EK19" s="526"/>
      <c r="EL19" s="526"/>
      <c r="EM19" s="526"/>
      <c r="EN19" s="526"/>
      <c r="EO19" s="526"/>
      <c r="EP19" s="526"/>
      <c r="EQ19" s="526"/>
      <c r="ER19" s="526"/>
      <c r="ES19" s="526"/>
      <c r="ET19" s="526"/>
      <c r="EU19" s="526"/>
      <c r="EV19" s="526"/>
      <c r="EW19" s="526"/>
      <c r="EX19" s="526"/>
      <c r="EY19" s="526"/>
      <c r="EZ19" s="526"/>
      <c r="FA19" s="526"/>
      <c r="FB19" s="526"/>
      <c r="FC19" s="526"/>
      <c r="FD19" s="526"/>
      <c r="FE19" s="526"/>
      <c r="FF19" s="526"/>
      <c r="FG19" s="526"/>
      <c r="FH19" s="526"/>
      <c r="FI19" s="526"/>
      <c r="FJ19" s="526"/>
      <c r="FK19" s="526"/>
      <c r="FL19" s="526"/>
      <c r="FM19" s="526"/>
      <c r="FN19" s="526"/>
      <c r="FO19" s="526"/>
      <c r="FP19" s="526"/>
      <c r="FQ19" s="526"/>
      <c r="FR19" s="526"/>
      <c r="FS19" s="526"/>
      <c r="FT19" s="526"/>
      <c r="FU19" s="526"/>
      <c r="FV19" s="526"/>
      <c r="FW19" s="526"/>
      <c r="FX19" s="526"/>
      <c r="FY19" s="526"/>
      <c r="FZ19" s="526"/>
      <c r="GA19" s="526"/>
      <c r="GB19" s="526"/>
      <c r="GC19" s="526"/>
      <c r="GD19" s="526"/>
      <c r="GE19" s="526"/>
      <c r="GF19" s="526"/>
      <c r="GG19" s="526"/>
      <c r="GH19" s="526"/>
      <c r="GI19" s="526"/>
      <c r="GJ19" s="526"/>
      <c r="GK19" s="526"/>
      <c r="GL19" s="526"/>
      <c r="GM19" s="526"/>
      <c r="GN19" s="526"/>
      <c r="GO19" s="526"/>
      <c r="GP19" s="526"/>
      <c r="GQ19" s="526"/>
      <c r="GR19" s="526"/>
      <c r="GS19" s="526"/>
      <c r="GT19" s="526"/>
      <c r="GU19" s="526"/>
      <c r="GV19" s="526"/>
      <c r="GW19" s="526"/>
      <c r="GX19" s="526"/>
      <c r="GY19" s="526"/>
      <c r="GZ19" s="526"/>
      <c r="HA19" s="526"/>
      <c r="HB19" s="526"/>
      <c r="HC19" s="526"/>
      <c r="HD19" s="526"/>
      <c r="HE19" s="526"/>
      <c r="HF19" s="526"/>
      <c r="HG19" s="526"/>
      <c r="HH19" s="526"/>
      <c r="HI19" s="526"/>
      <c r="HJ19" s="526"/>
      <c r="HK19" s="526"/>
      <c r="HL19" s="526"/>
      <c r="HM19" s="526"/>
      <c r="HN19" s="526"/>
      <c r="HO19" s="526"/>
      <c r="HP19" s="526"/>
      <c r="HQ19" s="526"/>
      <c r="HR19" s="526"/>
      <c r="HS19" s="526"/>
      <c r="HT19" s="526"/>
      <c r="HU19" s="526"/>
      <c r="HV19" s="526"/>
      <c r="HW19" s="526"/>
      <c r="HX19" s="526"/>
      <c r="HY19" s="526"/>
      <c r="HZ19" s="526"/>
      <c r="IA19" s="526"/>
      <c r="IB19" s="526"/>
      <c r="IC19" s="526"/>
      <c r="ID19" s="526"/>
      <c r="IE19" s="526"/>
      <c r="IF19" s="526"/>
      <c r="IG19" s="526"/>
      <c r="IH19" s="526"/>
      <c r="II19" s="526"/>
      <c r="IJ19" s="526"/>
      <c r="IK19" s="526"/>
      <c r="IL19" s="526"/>
      <c r="IM19" s="504"/>
      <c r="IN19" s="504"/>
      <c r="IO19" s="504"/>
    </row>
    <row r="20" spans="1:249" ht="28.5" customHeight="1">
      <c r="A20" s="741" t="s">
        <v>326</v>
      </c>
      <c r="B20" s="741"/>
      <c r="C20" s="476" t="s">
        <v>863</v>
      </c>
      <c r="D20" s="476"/>
      <c r="E20" s="476"/>
      <c r="F20" s="476"/>
      <c r="G20" s="527"/>
      <c r="H20" s="527"/>
      <c r="I20" s="527"/>
      <c r="J20" s="509"/>
      <c r="K20" s="509"/>
      <c r="L20" s="509"/>
      <c r="M20" s="509"/>
      <c r="N20" s="509"/>
      <c r="O20" s="509"/>
      <c r="P20" s="509"/>
      <c r="Q20" s="505"/>
      <c r="R20" s="505"/>
      <c r="S20" s="505"/>
      <c r="T20" s="505"/>
      <c r="U20" s="505"/>
      <c r="V20" s="505"/>
      <c r="W20" s="505"/>
      <c r="X20" s="505"/>
      <c r="Y20" s="505"/>
      <c r="Z20" s="505"/>
      <c r="AA20" s="505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  <c r="AL20" s="505"/>
      <c r="AM20" s="505"/>
      <c r="AN20" s="505"/>
      <c r="AO20" s="505"/>
      <c r="AP20" s="505"/>
      <c r="AQ20" s="505"/>
      <c r="AR20" s="505"/>
      <c r="AS20" s="505"/>
      <c r="AT20" s="505"/>
      <c r="AU20" s="505"/>
      <c r="AV20" s="505"/>
      <c r="AW20" s="505"/>
      <c r="AX20" s="505"/>
      <c r="AY20" s="505"/>
      <c r="AZ20" s="505"/>
      <c r="BA20" s="505"/>
      <c r="BB20" s="505"/>
      <c r="BC20" s="505"/>
      <c r="BD20" s="505"/>
      <c r="BE20" s="505"/>
      <c r="BF20" s="505"/>
      <c r="BG20" s="505"/>
      <c r="BH20" s="505"/>
      <c r="BI20" s="505"/>
      <c r="BJ20" s="505"/>
      <c r="BK20" s="505"/>
      <c r="BL20" s="505"/>
      <c r="BM20" s="505"/>
      <c r="BN20" s="505"/>
      <c r="BO20" s="505"/>
      <c r="BP20" s="505"/>
      <c r="BQ20" s="505"/>
      <c r="BR20" s="505"/>
      <c r="BS20" s="505"/>
      <c r="BT20" s="505"/>
      <c r="BU20" s="505"/>
      <c r="BV20" s="505"/>
      <c r="BW20" s="505"/>
      <c r="BX20" s="505"/>
      <c r="BY20" s="505"/>
      <c r="BZ20" s="505"/>
      <c r="CA20" s="505"/>
      <c r="CB20" s="505"/>
      <c r="CC20" s="505"/>
      <c r="CD20" s="505"/>
      <c r="CE20" s="505"/>
      <c r="CF20" s="505"/>
      <c r="CG20" s="505"/>
      <c r="CH20" s="505"/>
      <c r="CI20" s="505"/>
      <c r="CJ20" s="505"/>
      <c r="CK20" s="505"/>
      <c r="CL20" s="505"/>
      <c r="CM20" s="505"/>
      <c r="CN20" s="505"/>
      <c r="CO20" s="505"/>
      <c r="CP20" s="505"/>
      <c r="CQ20" s="505"/>
      <c r="CR20" s="505"/>
      <c r="CS20" s="505"/>
      <c r="CT20" s="505"/>
      <c r="CU20" s="505"/>
      <c r="CV20" s="505"/>
      <c r="CW20" s="505"/>
      <c r="CX20" s="505"/>
      <c r="CY20" s="505"/>
      <c r="CZ20" s="505"/>
      <c r="DA20" s="505"/>
      <c r="DB20" s="505"/>
      <c r="DC20" s="505"/>
      <c r="DD20" s="505"/>
      <c r="DE20" s="505"/>
      <c r="DF20" s="505"/>
      <c r="DG20" s="505"/>
      <c r="DH20" s="505"/>
      <c r="DI20" s="505"/>
      <c r="DJ20" s="505"/>
      <c r="DK20" s="505"/>
      <c r="DL20" s="505"/>
      <c r="DM20" s="505"/>
      <c r="DN20" s="505"/>
      <c r="DO20" s="505"/>
      <c r="DP20" s="505"/>
      <c r="DQ20" s="505"/>
      <c r="DR20" s="505"/>
      <c r="DS20" s="505"/>
      <c r="DT20" s="505"/>
      <c r="DU20" s="505"/>
      <c r="DV20" s="505"/>
      <c r="DW20" s="505"/>
      <c r="DX20" s="505"/>
      <c r="DY20" s="505"/>
      <c r="DZ20" s="505"/>
      <c r="EA20" s="505"/>
      <c r="EB20" s="505"/>
      <c r="EC20" s="505"/>
      <c r="ED20" s="505"/>
      <c r="EE20" s="505"/>
      <c r="EF20" s="505"/>
      <c r="EG20" s="505"/>
      <c r="EH20" s="505"/>
      <c r="EI20" s="505"/>
      <c r="EJ20" s="505"/>
      <c r="EK20" s="505"/>
      <c r="EL20" s="505"/>
      <c r="EM20" s="505"/>
      <c r="EN20" s="505"/>
      <c r="EO20" s="505"/>
      <c r="EP20" s="505"/>
      <c r="EQ20" s="505"/>
      <c r="ER20" s="505"/>
      <c r="ES20" s="505"/>
      <c r="ET20" s="505"/>
      <c r="EU20" s="505"/>
      <c r="EV20" s="505"/>
      <c r="EW20" s="505"/>
      <c r="EX20" s="505"/>
      <c r="EY20" s="505"/>
      <c r="EZ20" s="505"/>
      <c r="FA20" s="505"/>
      <c r="FB20" s="505"/>
      <c r="FC20" s="505"/>
      <c r="FD20" s="505"/>
      <c r="FE20" s="505"/>
      <c r="FF20" s="505"/>
      <c r="FG20" s="505"/>
      <c r="FH20" s="505"/>
      <c r="FI20" s="505"/>
      <c r="FJ20" s="505"/>
      <c r="FK20" s="505"/>
      <c r="FL20" s="505"/>
      <c r="FM20" s="505"/>
      <c r="FN20" s="505"/>
      <c r="FO20" s="505"/>
      <c r="FP20" s="505"/>
      <c r="FQ20" s="505"/>
      <c r="FR20" s="505"/>
      <c r="FS20" s="505"/>
      <c r="FT20" s="505"/>
      <c r="FU20" s="505"/>
      <c r="FV20" s="505"/>
      <c r="FW20" s="505"/>
      <c r="FX20" s="505"/>
      <c r="FY20" s="505"/>
      <c r="FZ20" s="505"/>
      <c r="GA20" s="505"/>
      <c r="GB20" s="505"/>
      <c r="GC20" s="505"/>
      <c r="GD20" s="505"/>
      <c r="GE20" s="505"/>
      <c r="GF20" s="505"/>
      <c r="GG20" s="505"/>
      <c r="GH20" s="505"/>
      <c r="GI20" s="505"/>
      <c r="GJ20" s="505"/>
      <c r="GK20" s="505"/>
      <c r="GL20" s="505"/>
      <c r="GM20" s="505"/>
      <c r="GN20" s="505"/>
      <c r="GO20" s="505"/>
      <c r="GP20" s="505"/>
      <c r="GQ20" s="505"/>
      <c r="GR20" s="505"/>
      <c r="GS20" s="505"/>
      <c r="GT20" s="505"/>
      <c r="GU20" s="505"/>
      <c r="GV20" s="505"/>
      <c r="GW20" s="505"/>
      <c r="GX20" s="505"/>
      <c r="GY20" s="505"/>
      <c r="GZ20" s="505"/>
      <c r="HA20" s="505"/>
      <c r="HB20" s="505"/>
      <c r="HC20" s="505"/>
      <c r="HD20" s="505"/>
      <c r="HE20" s="505"/>
      <c r="HF20" s="505"/>
      <c r="HG20" s="505"/>
      <c r="HH20" s="505"/>
      <c r="HI20" s="505"/>
      <c r="HJ20" s="505"/>
      <c r="HK20" s="505"/>
      <c r="HL20" s="505"/>
      <c r="HM20" s="505"/>
      <c r="HN20" s="505"/>
      <c r="HO20" s="505"/>
      <c r="HP20" s="505"/>
      <c r="HQ20" s="505"/>
      <c r="HR20" s="505"/>
      <c r="HS20" s="505"/>
      <c r="HT20" s="505"/>
      <c r="HU20" s="505"/>
      <c r="HV20" s="505"/>
      <c r="HW20" s="505"/>
      <c r="HX20" s="505"/>
      <c r="HY20" s="505"/>
      <c r="HZ20" s="505"/>
      <c r="IA20" s="505"/>
      <c r="IB20" s="505"/>
      <c r="IC20" s="505"/>
      <c r="ID20" s="505"/>
      <c r="IE20" s="505"/>
      <c r="IF20" s="505"/>
      <c r="IG20" s="505"/>
      <c r="IH20" s="505"/>
      <c r="II20" s="505"/>
      <c r="IJ20" s="505"/>
      <c r="IK20" s="505"/>
      <c r="IL20" s="505"/>
      <c r="IM20" s="505"/>
      <c r="IN20" s="505"/>
      <c r="IO20" s="505"/>
    </row>
    <row r="21" spans="1:249" ht="15.75">
      <c r="C21" s="529"/>
      <c r="D21" s="529"/>
      <c r="E21" s="742" t="s">
        <v>864</v>
      </c>
      <c r="F21" s="742"/>
      <c r="G21" s="742"/>
      <c r="H21" s="742"/>
      <c r="I21" s="742"/>
      <c r="J21" s="509"/>
      <c r="K21" s="509"/>
      <c r="L21" s="509"/>
      <c r="M21" s="509"/>
      <c r="N21" s="509"/>
      <c r="O21" s="509"/>
      <c r="P21" s="509"/>
      <c r="Q21" s="505"/>
      <c r="R21" s="505"/>
      <c r="S21" s="505"/>
      <c r="T21" s="505"/>
      <c r="U21" s="505"/>
      <c r="V21" s="505"/>
      <c r="W21" s="505"/>
      <c r="X21" s="505"/>
      <c r="Y21" s="505"/>
      <c r="Z21" s="505"/>
      <c r="AA21" s="505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  <c r="AL21" s="505"/>
      <c r="AM21" s="505"/>
      <c r="AN21" s="505"/>
      <c r="AO21" s="505"/>
      <c r="AP21" s="505"/>
      <c r="AQ21" s="505"/>
      <c r="AR21" s="505"/>
      <c r="AS21" s="505"/>
      <c r="AT21" s="505"/>
      <c r="AU21" s="505"/>
      <c r="AV21" s="505"/>
      <c r="AW21" s="505"/>
      <c r="AX21" s="505"/>
      <c r="AY21" s="505"/>
      <c r="AZ21" s="505"/>
      <c r="BA21" s="505"/>
      <c r="BB21" s="505"/>
      <c r="BC21" s="505"/>
      <c r="BD21" s="505"/>
      <c r="BE21" s="505"/>
      <c r="BF21" s="505"/>
      <c r="BG21" s="505"/>
      <c r="BH21" s="505"/>
      <c r="BI21" s="505"/>
      <c r="BJ21" s="505"/>
      <c r="BK21" s="505"/>
      <c r="BL21" s="505"/>
      <c r="BM21" s="505"/>
      <c r="BN21" s="505"/>
      <c r="BO21" s="505"/>
      <c r="BP21" s="505"/>
      <c r="BQ21" s="505"/>
      <c r="BR21" s="505"/>
      <c r="BS21" s="505"/>
      <c r="BT21" s="505"/>
      <c r="BU21" s="505"/>
      <c r="BV21" s="505"/>
      <c r="BW21" s="505"/>
      <c r="BX21" s="505"/>
      <c r="BY21" s="505"/>
      <c r="BZ21" s="505"/>
      <c r="CA21" s="505"/>
      <c r="CB21" s="505"/>
      <c r="CC21" s="505"/>
      <c r="CD21" s="505"/>
      <c r="CE21" s="505"/>
      <c r="CF21" s="505"/>
      <c r="CG21" s="505"/>
      <c r="CH21" s="505"/>
      <c r="CI21" s="505"/>
      <c r="CJ21" s="505"/>
      <c r="CK21" s="505"/>
      <c r="CL21" s="505"/>
      <c r="CM21" s="505"/>
      <c r="CN21" s="505"/>
      <c r="CO21" s="505"/>
      <c r="CP21" s="505"/>
      <c r="CQ21" s="505"/>
      <c r="CR21" s="505"/>
      <c r="CS21" s="505"/>
      <c r="CT21" s="505"/>
      <c r="CU21" s="505"/>
      <c r="CV21" s="505"/>
      <c r="CW21" s="505"/>
      <c r="CX21" s="505"/>
      <c r="CY21" s="505"/>
      <c r="CZ21" s="505"/>
      <c r="DA21" s="505"/>
      <c r="DB21" s="505"/>
      <c r="DC21" s="505"/>
      <c r="DD21" s="505"/>
      <c r="DE21" s="505"/>
      <c r="DF21" s="505"/>
      <c r="DG21" s="505"/>
      <c r="DH21" s="505"/>
      <c r="DI21" s="505"/>
      <c r="DJ21" s="505"/>
      <c r="DK21" s="505"/>
      <c r="DL21" s="505"/>
      <c r="DM21" s="505"/>
      <c r="DN21" s="505"/>
      <c r="DO21" s="505"/>
      <c r="DP21" s="505"/>
      <c r="DQ21" s="505"/>
      <c r="DR21" s="505"/>
      <c r="DS21" s="505"/>
      <c r="DT21" s="505"/>
      <c r="DU21" s="505"/>
      <c r="DV21" s="505"/>
      <c r="DW21" s="505"/>
      <c r="DX21" s="505"/>
      <c r="DY21" s="505"/>
      <c r="DZ21" s="505"/>
      <c r="EA21" s="505"/>
      <c r="EB21" s="505"/>
      <c r="EC21" s="505"/>
      <c r="ED21" s="505"/>
      <c r="EE21" s="505"/>
      <c r="EF21" s="505"/>
      <c r="EG21" s="505"/>
      <c r="EH21" s="505"/>
      <c r="EI21" s="505"/>
      <c r="EJ21" s="505"/>
      <c r="EK21" s="505"/>
      <c r="EL21" s="505"/>
      <c r="EM21" s="505"/>
      <c r="EN21" s="505"/>
      <c r="EO21" s="505"/>
      <c r="EP21" s="505"/>
      <c r="EQ21" s="505"/>
      <c r="ER21" s="505"/>
      <c r="ES21" s="505"/>
      <c r="ET21" s="505"/>
      <c r="EU21" s="505"/>
      <c r="EV21" s="505"/>
      <c r="EW21" s="505"/>
      <c r="EX21" s="505"/>
      <c r="EY21" s="505"/>
      <c r="EZ21" s="505"/>
      <c r="FA21" s="505"/>
      <c r="FB21" s="505"/>
      <c r="FC21" s="505"/>
      <c r="FD21" s="505"/>
      <c r="FE21" s="505"/>
      <c r="FF21" s="505"/>
      <c r="FG21" s="505"/>
      <c r="FH21" s="505"/>
      <c r="FI21" s="505"/>
      <c r="FJ21" s="505"/>
      <c r="FK21" s="505"/>
      <c r="FL21" s="505"/>
      <c r="FM21" s="505"/>
      <c r="FN21" s="505"/>
      <c r="FO21" s="505"/>
      <c r="FP21" s="505"/>
      <c r="FQ21" s="505"/>
      <c r="FR21" s="505"/>
      <c r="FS21" s="505"/>
      <c r="FT21" s="505"/>
      <c r="FU21" s="505"/>
      <c r="FV21" s="505"/>
      <c r="FW21" s="505"/>
      <c r="FX21" s="505"/>
      <c r="FY21" s="505"/>
      <c r="FZ21" s="505"/>
      <c r="GA21" s="505"/>
      <c r="GB21" s="505"/>
      <c r="GC21" s="505"/>
      <c r="GD21" s="505"/>
      <c r="GE21" s="505"/>
      <c r="GF21" s="505"/>
      <c r="GG21" s="505"/>
      <c r="GH21" s="505"/>
      <c r="GI21" s="505"/>
      <c r="GJ21" s="505"/>
      <c r="GK21" s="505"/>
      <c r="GL21" s="505"/>
      <c r="GM21" s="505"/>
      <c r="GN21" s="505"/>
      <c r="GO21" s="505"/>
      <c r="GP21" s="505"/>
      <c r="GQ21" s="505"/>
      <c r="GR21" s="505"/>
      <c r="GS21" s="505"/>
      <c r="GT21" s="505"/>
      <c r="GU21" s="505"/>
      <c r="GV21" s="505"/>
      <c r="GW21" s="505"/>
      <c r="GX21" s="505"/>
      <c r="GY21" s="505"/>
      <c r="GZ21" s="505"/>
      <c r="HA21" s="505"/>
      <c r="HB21" s="505"/>
      <c r="HC21" s="505"/>
      <c r="HD21" s="505"/>
      <c r="HE21" s="505"/>
      <c r="HF21" s="505"/>
      <c r="HG21" s="505"/>
      <c r="HH21" s="505"/>
      <c r="HI21" s="505"/>
      <c r="HJ21" s="505"/>
      <c r="HK21" s="505"/>
      <c r="HL21" s="505"/>
      <c r="HM21" s="505"/>
      <c r="HN21" s="505"/>
      <c r="HO21" s="505"/>
      <c r="HP21" s="505"/>
      <c r="HQ21" s="505"/>
      <c r="HR21" s="505"/>
      <c r="HS21" s="505"/>
      <c r="HT21" s="505"/>
      <c r="HU21" s="505"/>
      <c r="HV21" s="505"/>
      <c r="HW21" s="505"/>
      <c r="HX21" s="505"/>
      <c r="HY21" s="505"/>
      <c r="HZ21" s="505"/>
      <c r="IA21" s="505"/>
      <c r="IB21" s="505"/>
      <c r="IC21" s="505"/>
      <c r="ID21" s="505"/>
      <c r="IE21" s="505"/>
      <c r="IF21" s="505"/>
      <c r="IG21" s="505"/>
      <c r="IH21" s="505"/>
      <c r="II21" s="505"/>
      <c r="IJ21" s="505"/>
      <c r="IK21" s="505"/>
      <c r="IL21" s="505"/>
      <c r="IM21" s="505"/>
      <c r="IN21" s="505"/>
      <c r="IO21" s="505"/>
    </row>
    <row r="22" spans="1:249" ht="18.75">
      <c r="B22" s="530" t="s">
        <v>292</v>
      </c>
      <c r="C22" s="531"/>
      <c r="D22" s="532"/>
      <c r="E22" s="533"/>
      <c r="F22" s="730" t="s">
        <v>151</v>
      </c>
      <c r="G22" s="730"/>
      <c r="H22" s="730"/>
      <c r="I22" s="531"/>
      <c r="J22" s="509"/>
      <c r="K22" s="509"/>
      <c r="L22" s="509"/>
      <c r="M22" s="509"/>
      <c r="N22" s="509"/>
      <c r="O22" s="509"/>
      <c r="P22" s="509"/>
      <c r="Q22" s="505"/>
      <c r="R22" s="505"/>
      <c r="S22" s="505"/>
      <c r="T22" s="505"/>
      <c r="U22" s="505"/>
      <c r="V22" s="505"/>
      <c r="W22" s="505"/>
      <c r="X22" s="505"/>
      <c r="Y22" s="505"/>
      <c r="Z22" s="505"/>
      <c r="AA22" s="505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  <c r="AL22" s="505"/>
      <c r="AM22" s="505"/>
      <c r="AN22" s="505"/>
      <c r="AO22" s="505"/>
      <c r="AP22" s="505"/>
      <c r="AQ22" s="505"/>
      <c r="AR22" s="505"/>
      <c r="AS22" s="505"/>
      <c r="AT22" s="505"/>
      <c r="AU22" s="505"/>
      <c r="AV22" s="505"/>
      <c r="AW22" s="505"/>
      <c r="AX22" s="505"/>
      <c r="AY22" s="505"/>
      <c r="AZ22" s="505"/>
      <c r="BA22" s="505"/>
      <c r="BB22" s="505"/>
      <c r="BC22" s="505"/>
      <c r="BD22" s="505"/>
      <c r="BE22" s="505"/>
      <c r="BF22" s="505"/>
      <c r="BG22" s="505"/>
      <c r="BH22" s="505"/>
      <c r="BI22" s="505"/>
      <c r="BJ22" s="505"/>
      <c r="BK22" s="505"/>
      <c r="BL22" s="505"/>
      <c r="BM22" s="505"/>
      <c r="BN22" s="505"/>
      <c r="BO22" s="505"/>
      <c r="BP22" s="505"/>
      <c r="BQ22" s="505"/>
      <c r="BR22" s="505"/>
      <c r="BS22" s="505"/>
      <c r="BT22" s="505"/>
      <c r="BU22" s="505"/>
      <c r="BV22" s="505"/>
      <c r="BW22" s="505"/>
      <c r="BX22" s="505"/>
      <c r="BY22" s="505"/>
      <c r="BZ22" s="505"/>
      <c r="CA22" s="505"/>
      <c r="CB22" s="505"/>
      <c r="CC22" s="505"/>
      <c r="CD22" s="505"/>
      <c r="CE22" s="505"/>
      <c r="CF22" s="505"/>
      <c r="CG22" s="505"/>
      <c r="CH22" s="505"/>
      <c r="CI22" s="505"/>
      <c r="CJ22" s="505"/>
      <c r="CK22" s="505"/>
      <c r="CL22" s="505"/>
      <c r="CM22" s="505"/>
      <c r="CN22" s="505"/>
      <c r="CO22" s="505"/>
      <c r="CP22" s="505"/>
      <c r="CQ22" s="505"/>
      <c r="CR22" s="505"/>
      <c r="CS22" s="505"/>
      <c r="CT22" s="505"/>
      <c r="CU22" s="505"/>
      <c r="CV22" s="505"/>
      <c r="CW22" s="505"/>
      <c r="CX22" s="505"/>
      <c r="CY22" s="505"/>
      <c r="CZ22" s="505"/>
      <c r="DA22" s="505"/>
      <c r="DB22" s="505"/>
      <c r="DC22" s="505"/>
      <c r="DD22" s="505"/>
      <c r="DE22" s="505"/>
      <c r="DF22" s="505"/>
      <c r="DG22" s="505"/>
      <c r="DH22" s="505"/>
      <c r="DI22" s="505"/>
      <c r="DJ22" s="505"/>
      <c r="DK22" s="505"/>
      <c r="DL22" s="505"/>
      <c r="DM22" s="505"/>
      <c r="DN22" s="505"/>
      <c r="DO22" s="505"/>
      <c r="DP22" s="505"/>
      <c r="DQ22" s="505"/>
      <c r="DR22" s="505"/>
      <c r="DS22" s="505"/>
      <c r="DT22" s="505"/>
      <c r="DU22" s="505"/>
      <c r="DV22" s="505"/>
      <c r="DW22" s="505"/>
      <c r="DX22" s="505"/>
      <c r="DY22" s="505"/>
      <c r="DZ22" s="505"/>
      <c r="EA22" s="505"/>
      <c r="EB22" s="505"/>
      <c r="EC22" s="505"/>
      <c r="ED22" s="505"/>
      <c r="EE22" s="505"/>
      <c r="EF22" s="505"/>
      <c r="EG22" s="505"/>
      <c r="EH22" s="505"/>
      <c r="EI22" s="505"/>
      <c r="EJ22" s="505"/>
      <c r="EK22" s="505"/>
      <c r="EL22" s="505"/>
      <c r="EM22" s="505"/>
      <c r="EN22" s="505"/>
      <c r="EO22" s="505"/>
      <c r="EP22" s="505"/>
      <c r="EQ22" s="505"/>
      <c r="ER22" s="505"/>
      <c r="ES22" s="505"/>
      <c r="ET22" s="505"/>
      <c r="EU22" s="505"/>
      <c r="EV22" s="505"/>
      <c r="EW22" s="505"/>
      <c r="EX22" s="505"/>
      <c r="EY22" s="505"/>
      <c r="EZ22" s="505"/>
      <c r="FA22" s="505"/>
      <c r="FB22" s="505"/>
      <c r="FC22" s="505"/>
      <c r="FD22" s="505"/>
      <c r="FE22" s="505"/>
      <c r="FF22" s="505"/>
      <c r="FG22" s="505"/>
      <c r="FH22" s="505"/>
      <c r="FI22" s="505"/>
      <c r="FJ22" s="505"/>
      <c r="FK22" s="505"/>
      <c r="FL22" s="505"/>
      <c r="FM22" s="505"/>
      <c r="FN22" s="505"/>
      <c r="FO22" s="505"/>
      <c r="FP22" s="505"/>
      <c r="FQ22" s="505"/>
      <c r="FR22" s="505"/>
      <c r="FS22" s="505"/>
      <c r="FT22" s="505"/>
      <c r="FU22" s="505"/>
      <c r="FV22" s="505"/>
      <c r="FW22" s="505"/>
      <c r="FX22" s="505"/>
      <c r="FY22" s="505"/>
      <c r="FZ22" s="505"/>
      <c r="GA22" s="505"/>
      <c r="GB22" s="505"/>
      <c r="GC22" s="505"/>
      <c r="GD22" s="505"/>
      <c r="GE22" s="505"/>
      <c r="GF22" s="505"/>
      <c r="GG22" s="505"/>
      <c r="GH22" s="505"/>
      <c r="GI22" s="505"/>
      <c r="GJ22" s="505"/>
      <c r="GK22" s="505"/>
      <c r="GL22" s="505"/>
      <c r="GM22" s="505"/>
      <c r="GN22" s="505"/>
      <c r="GO22" s="505"/>
      <c r="GP22" s="505"/>
      <c r="GQ22" s="505"/>
      <c r="GR22" s="505"/>
      <c r="GS22" s="505"/>
      <c r="GT22" s="505"/>
      <c r="GU22" s="505"/>
      <c r="GV22" s="505"/>
      <c r="GW22" s="505"/>
      <c r="GX22" s="505"/>
      <c r="GY22" s="505"/>
      <c r="GZ22" s="505"/>
      <c r="HA22" s="505"/>
      <c r="HB22" s="505"/>
      <c r="HC22" s="505"/>
      <c r="HD22" s="505"/>
      <c r="HE22" s="505"/>
      <c r="HF22" s="505"/>
      <c r="HG22" s="505"/>
      <c r="HH22" s="505"/>
      <c r="HI22" s="505"/>
      <c r="HJ22" s="505"/>
      <c r="HK22" s="505"/>
      <c r="HL22" s="505"/>
      <c r="HM22" s="505"/>
      <c r="HN22" s="505"/>
      <c r="HO22" s="505"/>
      <c r="HP22" s="505"/>
      <c r="HQ22" s="505"/>
      <c r="HR22" s="505"/>
      <c r="HS22" s="505"/>
      <c r="HT22" s="505"/>
      <c r="HU22" s="505"/>
      <c r="HV22" s="505"/>
      <c r="HW22" s="505"/>
      <c r="HX22" s="505"/>
      <c r="HY22" s="505"/>
      <c r="HZ22" s="505"/>
      <c r="IA22" s="505"/>
      <c r="IB22" s="505"/>
      <c r="IC22" s="505"/>
      <c r="ID22" s="505"/>
      <c r="IE22" s="505"/>
      <c r="IF22" s="505"/>
      <c r="IG22" s="505"/>
      <c r="IH22" s="505"/>
      <c r="II22" s="505"/>
      <c r="IJ22" s="505"/>
      <c r="IK22" s="505"/>
      <c r="IL22" s="505"/>
      <c r="IM22" s="505"/>
      <c r="IN22" s="505"/>
      <c r="IO22" s="505"/>
    </row>
    <row r="23" spans="1:249">
      <c r="C23" s="535"/>
      <c r="D23" s="535"/>
      <c r="E23" s="535"/>
      <c r="F23" s="536"/>
      <c r="G23" s="536"/>
      <c r="H23" s="536"/>
      <c r="J23" s="509"/>
      <c r="K23" s="509"/>
      <c r="L23" s="509"/>
      <c r="M23" s="509"/>
      <c r="N23" s="509"/>
      <c r="O23" s="509"/>
      <c r="P23" s="537"/>
      <c r="Q23" s="537"/>
      <c r="R23" s="537"/>
      <c r="S23" s="537"/>
      <c r="T23" s="537"/>
      <c r="U23" s="537"/>
      <c r="V23" s="537"/>
      <c r="W23" s="537"/>
      <c r="X23" s="537"/>
      <c r="Y23" s="537"/>
      <c r="Z23" s="537"/>
      <c r="AA23" s="537"/>
      <c r="AB23" s="537"/>
      <c r="AC23" s="537"/>
      <c r="AD23" s="537"/>
      <c r="AE23" s="537"/>
      <c r="AF23" s="537"/>
      <c r="AG23" s="537"/>
      <c r="AH23" s="537"/>
      <c r="AI23" s="537"/>
      <c r="AJ23" s="537"/>
      <c r="AK23" s="537"/>
      <c r="AL23" s="537"/>
      <c r="AM23" s="537"/>
      <c r="AN23" s="537"/>
      <c r="AO23" s="537"/>
      <c r="AP23" s="537"/>
      <c r="AQ23" s="537"/>
      <c r="AR23" s="537"/>
      <c r="AS23" s="537"/>
      <c r="AT23" s="537"/>
      <c r="AU23" s="537"/>
      <c r="AV23" s="537"/>
      <c r="AW23" s="537"/>
      <c r="AX23" s="537"/>
      <c r="AY23" s="537"/>
      <c r="AZ23" s="537"/>
      <c r="BA23" s="537"/>
      <c r="BB23" s="537"/>
      <c r="BC23" s="537"/>
      <c r="BD23" s="537"/>
      <c r="BE23" s="537"/>
      <c r="BF23" s="537"/>
      <c r="BG23" s="537"/>
      <c r="BH23" s="537"/>
      <c r="BI23" s="537"/>
      <c r="BJ23" s="537"/>
      <c r="BK23" s="537"/>
      <c r="BL23" s="537"/>
      <c r="BM23" s="537"/>
      <c r="BN23" s="537"/>
      <c r="BO23" s="537"/>
      <c r="BP23" s="537"/>
      <c r="BQ23" s="537"/>
      <c r="BR23" s="537"/>
      <c r="BS23" s="537"/>
      <c r="BT23" s="537"/>
      <c r="BU23" s="537"/>
      <c r="BV23" s="537"/>
      <c r="BW23" s="537"/>
      <c r="BX23" s="537"/>
      <c r="BY23" s="537"/>
      <c r="BZ23" s="537"/>
      <c r="CA23" s="537"/>
      <c r="CB23" s="537"/>
      <c r="CC23" s="537"/>
      <c r="CD23" s="537"/>
      <c r="CE23" s="537"/>
      <c r="CF23" s="537"/>
      <c r="CG23" s="537"/>
      <c r="CH23" s="537"/>
      <c r="CI23" s="537"/>
      <c r="CJ23" s="537"/>
      <c r="CK23" s="537"/>
      <c r="CL23" s="537"/>
      <c r="CM23" s="537"/>
      <c r="CN23" s="537"/>
      <c r="CO23" s="537"/>
      <c r="CP23" s="537"/>
      <c r="CQ23" s="537"/>
      <c r="CR23" s="537"/>
      <c r="CS23" s="537"/>
      <c r="CT23" s="537"/>
      <c r="CU23" s="537"/>
      <c r="CV23" s="537"/>
      <c r="CW23" s="537"/>
      <c r="CX23" s="537"/>
      <c r="CY23" s="537"/>
      <c r="CZ23" s="537"/>
      <c r="DA23" s="537"/>
      <c r="DB23" s="537"/>
      <c r="DC23" s="537"/>
      <c r="DD23" s="537"/>
      <c r="DE23" s="537"/>
      <c r="DF23" s="537"/>
      <c r="DG23" s="537"/>
      <c r="DH23" s="537"/>
      <c r="DI23" s="537"/>
      <c r="DJ23" s="537"/>
      <c r="DK23" s="537"/>
      <c r="DL23" s="537"/>
      <c r="DM23" s="537"/>
      <c r="DN23" s="537"/>
      <c r="DO23" s="537"/>
      <c r="DP23" s="537"/>
      <c r="DQ23" s="537"/>
      <c r="DR23" s="537"/>
      <c r="DS23" s="537"/>
      <c r="DT23" s="537"/>
      <c r="DU23" s="537"/>
      <c r="DV23" s="537"/>
      <c r="DW23" s="537"/>
      <c r="DX23" s="537"/>
      <c r="DY23" s="537"/>
      <c r="DZ23" s="537"/>
      <c r="EA23" s="537"/>
      <c r="EB23" s="537"/>
      <c r="EC23" s="537"/>
      <c r="ED23" s="537"/>
      <c r="EE23" s="537"/>
      <c r="EF23" s="537"/>
      <c r="EG23" s="537"/>
      <c r="EH23" s="537"/>
      <c r="EI23" s="537"/>
      <c r="EJ23" s="537"/>
      <c r="EK23" s="537"/>
      <c r="EL23" s="537"/>
      <c r="EM23" s="537"/>
      <c r="EN23" s="537"/>
      <c r="EO23" s="537"/>
      <c r="EP23" s="537"/>
      <c r="EQ23" s="537"/>
      <c r="ER23" s="537"/>
      <c r="ES23" s="537"/>
      <c r="ET23" s="537"/>
      <c r="EU23" s="537"/>
      <c r="EV23" s="537"/>
      <c r="EW23" s="537"/>
      <c r="EX23" s="537"/>
      <c r="EY23" s="537"/>
      <c r="EZ23" s="537"/>
      <c r="FA23" s="537"/>
      <c r="FB23" s="537"/>
      <c r="FC23" s="537"/>
      <c r="FD23" s="537"/>
      <c r="FE23" s="537"/>
      <c r="FF23" s="537"/>
      <c r="FG23" s="537"/>
      <c r="FH23" s="537"/>
      <c r="FI23" s="537"/>
      <c r="FJ23" s="537"/>
      <c r="FK23" s="537"/>
      <c r="FL23" s="537"/>
      <c r="FM23" s="537"/>
      <c r="FN23" s="537"/>
      <c r="FO23" s="537"/>
      <c r="FP23" s="537"/>
      <c r="FQ23" s="537"/>
      <c r="FR23" s="537"/>
      <c r="FS23" s="537"/>
      <c r="FT23" s="537"/>
      <c r="FU23" s="537"/>
      <c r="FV23" s="537"/>
      <c r="FW23" s="537"/>
      <c r="FX23" s="537"/>
      <c r="FY23" s="537"/>
      <c r="FZ23" s="537"/>
      <c r="GA23" s="537"/>
      <c r="GB23" s="537"/>
      <c r="GC23" s="537"/>
      <c r="GD23" s="537"/>
      <c r="GE23" s="537"/>
      <c r="GF23" s="537"/>
      <c r="GG23" s="537"/>
      <c r="GH23" s="537"/>
      <c r="GI23" s="537"/>
      <c r="GJ23" s="537"/>
      <c r="GK23" s="537"/>
      <c r="GL23" s="537"/>
      <c r="GM23" s="537"/>
      <c r="GN23" s="537"/>
      <c r="GO23" s="537"/>
      <c r="GP23" s="537"/>
      <c r="GQ23" s="537"/>
      <c r="GR23" s="537"/>
      <c r="GS23" s="537"/>
      <c r="GT23" s="537"/>
      <c r="GU23" s="537"/>
      <c r="GV23" s="537"/>
      <c r="GW23" s="537"/>
      <c r="GX23" s="537"/>
      <c r="GY23" s="537"/>
      <c r="GZ23" s="537"/>
      <c r="HA23" s="537"/>
      <c r="HB23" s="537"/>
      <c r="HC23" s="537"/>
      <c r="HD23" s="537"/>
      <c r="HE23" s="537"/>
      <c r="HF23" s="537"/>
      <c r="HG23" s="537"/>
      <c r="HH23" s="537"/>
      <c r="HI23" s="537"/>
      <c r="HJ23" s="537"/>
      <c r="HK23" s="537"/>
      <c r="HL23" s="537"/>
      <c r="HM23" s="537"/>
      <c r="HN23" s="537"/>
      <c r="HO23" s="537"/>
      <c r="HP23" s="537"/>
      <c r="HQ23" s="537"/>
      <c r="HR23" s="537"/>
      <c r="HS23" s="537"/>
      <c r="HT23" s="537"/>
      <c r="HU23" s="537"/>
      <c r="HV23" s="537"/>
      <c r="HW23" s="537"/>
      <c r="HX23" s="537"/>
      <c r="HY23" s="537"/>
      <c r="HZ23" s="537"/>
      <c r="IA23" s="537"/>
      <c r="IB23" s="537"/>
      <c r="IC23" s="537"/>
      <c r="ID23" s="537"/>
      <c r="IE23" s="537"/>
      <c r="IF23" s="537"/>
      <c r="IG23" s="537"/>
      <c r="IH23" s="537"/>
      <c r="II23" s="537"/>
      <c r="IJ23" s="537"/>
      <c r="IK23" s="537"/>
      <c r="IL23" s="537"/>
      <c r="IM23" s="537"/>
      <c r="IN23" s="537"/>
      <c r="IO23" s="537"/>
    </row>
    <row r="24" spans="1:249" ht="4.7" customHeight="1">
      <c r="C24" s="538"/>
      <c r="D24" s="538"/>
      <c r="J24" s="509"/>
      <c r="K24" s="509"/>
      <c r="L24" s="509"/>
      <c r="M24" s="509"/>
      <c r="N24" s="509"/>
      <c r="O24" s="50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39"/>
      <c r="BC24" s="539"/>
      <c r="BD24" s="539"/>
      <c r="BE24" s="539"/>
      <c r="BF24" s="539"/>
      <c r="BG24" s="539"/>
      <c r="BH24" s="539"/>
      <c r="BI24" s="539"/>
      <c r="BJ24" s="539"/>
      <c r="BK24" s="539"/>
      <c r="BL24" s="539"/>
      <c r="BM24" s="539"/>
      <c r="BN24" s="539"/>
      <c r="BO24" s="539"/>
      <c r="BP24" s="539"/>
      <c r="BQ24" s="539"/>
      <c r="BR24" s="539"/>
      <c r="BS24" s="539"/>
      <c r="BT24" s="539"/>
      <c r="BU24" s="539"/>
      <c r="BV24" s="539"/>
      <c r="BW24" s="539"/>
      <c r="BX24" s="539"/>
      <c r="BY24" s="539"/>
      <c r="BZ24" s="539"/>
      <c r="CA24" s="539"/>
      <c r="CB24" s="539"/>
      <c r="CC24" s="539"/>
      <c r="CD24" s="539"/>
      <c r="CE24" s="539"/>
      <c r="CF24" s="539"/>
      <c r="CG24" s="539"/>
      <c r="CH24" s="539"/>
      <c r="CI24" s="539"/>
      <c r="CJ24" s="539"/>
      <c r="CK24" s="539"/>
      <c r="CL24" s="539"/>
      <c r="CM24" s="539"/>
      <c r="CN24" s="539"/>
      <c r="CO24" s="539"/>
      <c r="CP24" s="539"/>
      <c r="CQ24" s="539"/>
      <c r="CR24" s="539"/>
      <c r="CS24" s="539"/>
      <c r="CT24" s="539"/>
      <c r="CU24" s="539"/>
      <c r="CV24" s="539"/>
      <c r="CW24" s="539"/>
      <c r="CX24" s="539"/>
      <c r="CY24" s="539"/>
      <c r="CZ24" s="539"/>
      <c r="DA24" s="539"/>
      <c r="DB24" s="539"/>
      <c r="DC24" s="539"/>
      <c r="DD24" s="539"/>
      <c r="DE24" s="539"/>
      <c r="DF24" s="539"/>
      <c r="DG24" s="539"/>
      <c r="DH24" s="539"/>
      <c r="DI24" s="539"/>
      <c r="DJ24" s="539"/>
      <c r="DK24" s="539"/>
      <c r="DL24" s="539"/>
      <c r="DM24" s="539"/>
      <c r="DN24" s="539"/>
      <c r="DO24" s="539"/>
      <c r="DP24" s="539"/>
      <c r="DQ24" s="539"/>
      <c r="DR24" s="539"/>
      <c r="DS24" s="539"/>
      <c r="DT24" s="539"/>
      <c r="DU24" s="539"/>
      <c r="DV24" s="539"/>
      <c r="DW24" s="539"/>
      <c r="DX24" s="539"/>
      <c r="DY24" s="539"/>
      <c r="DZ24" s="539"/>
      <c r="EA24" s="539"/>
      <c r="EB24" s="539"/>
      <c r="EC24" s="539"/>
      <c r="ED24" s="539"/>
      <c r="EE24" s="539"/>
      <c r="EF24" s="539"/>
      <c r="EG24" s="539"/>
      <c r="EH24" s="539"/>
      <c r="EI24" s="539"/>
      <c r="EJ24" s="539"/>
      <c r="EK24" s="539"/>
      <c r="EL24" s="539"/>
      <c r="EM24" s="539"/>
      <c r="EN24" s="539"/>
      <c r="EO24" s="539"/>
      <c r="EP24" s="539"/>
      <c r="EQ24" s="539"/>
      <c r="ER24" s="539"/>
      <c r="ES24" s="539"/>
      <c r="ET24" s="539"/>
      <c r="EU24" s="539"/>
      <c r="EV24" s="539"/>
      <c r="EW24" s="539"/>
      <c r="EX24" s="539"/>
      <c r="EY24" s="539"/>
      <c r="EZ24" s="539"/>
      <c r="FA24" s="539"/>
      <c r="FB24" s="539"/>
      <c r="FC24" s="539"/>
      <c r="FD24" s="539"/>
      <c r="FE24" s="539"/>
      <c r="FF24" s="539"/>
      <c r="FG24" s="539"/>
      <c r="FH24" s="539"/>
      <c r="FI24" s="539"/>
      <c r="FJ24" s="539"/>
      <c r="FK24" s="539"/>
      <c r="FL24" s="539"/>
      <c r="FM24" s="539"/>
      <c r="FN24" s="539"/>
      <c r="FO24" s="539"/>
      <c r="FP24" s="539"/>
      <c r="FQ24" s="539"/>
      <c r="FR24" s="539"/>
      <c r="FS24" s="539"/>
      <c r="FT24" s="539"/>
      <c r="FU24" s="539"/>
      <c r="FV24" s="539"/>
      <c r="FW24" s="539"/>
      <c r="FX24" s="539"/>
      <c r="FY24" s="539"/>
      <c r="FZ24" s="539"/>
      <c r="GA24" s="539"/>
      <c r="GB24" s="539"/>
      <c r="GC24" s="539"/>
      <c r="GD24" s="539"/>
      <c r="GE24" s="539"/>
      <c r="GF24" s="539"/>
      <c r="GG24" s="539"/>
      <c r="GH24" s="539"/>
      <c r="GI24" s="539"/>
      <c r="GJ24" s="539"/>
      <c r="GK24" s="539"/>
      <c r="GL24" s="539"/>
      <c r="GM24" s="539"/>
      <c r="GN24" s="539"/>
      <c r="GO24" s="539"/>
      <c r="GP24" s="539"/>
      <c r="GQ24" s="539"/>
      <c r="GR24" s="539"/>
      <c r="GS24" s="539"/>
      <c r="GT24" s="539"/>
      <c r="GU24" s="539"/>
      <c r="GV24" s="539"/>
      <c r="GW24" s="539"/>
      <c r="GX24" s="539"/>
      <c r="GY24" s="539"/>
      <c r="GZ24" s="539"/>
      <c r="HA24" s="539"/>
      <c r="HB24" s="539"/>
      <c r="HC24" s="539"/>
      <c r="HD24" s="539"/>
      <c r="HE24" s="539"/>
      <c r="HF24" s="539"/>
      <c r="HG24" s="539"/>
      <c r="HH24" s="539"/>
      <c r="HI24" s="539"/>
      <c r="HJ24" s="539"/>
      <c r="HK24" s="539"/>
      <c r="HL24" s="539"/>
      <c r="HM24" s="539"/>
      <c r="HN24" s="539"/>
      <c r="HO24" s="539"/>
      <c r="HP24" s="539"/>
      <c r="HQ24" s="539"/>
      <c r="HR24" s="539"/>
      <c r="HS24" s="539"/>
      <c r="HT24" s="539"/>
      <c r="HU24" s="539"/>
      <c r="HV24" s="539"/>
      <c r="HW24" s="539"/>
      <c r="HX24" s="539"/>
      <c r="HY24" s="539"/>
      <c r="HZ24" s="539"/>
      <c r="IA24" s="539"/>
      <c r="IB24" s="539"/>
      <c r="IC24" s="539"/>
      <c r="ID24" s="539"/>
      <c r="IE24" s="539"/>
      <c r="IF24" s="539"/>
      <c r="IG24" s="539"/>
      <c r="IH24" s="539"/>
      <c r="II24" s="539"/>
      <c r="IJ24" s="539"/>
      <c r="IK24" s="539"/>
      <c r="IL24" s="539"/>
      <c r="IM24" s="539"/>
      <c r="IN24" s="539"/>
      <c r="IO24" s="539"/>
    </row>
    <row r="25" spans="1:249" ht="6" customHeight="1">
      <c r="C25" s="538"/>
      <c r="D25" s="538"/>
      <c r="J25" s="509"/>
      <c r="K25" s="509"/>
    </row>
    <row r="26" spans="1:249" hidden="1">
      <c r="A26" s="540"/>
      <c r="B26" s="541"/>
      <c r="C26" s="542"/>
      <c r="D26" s="542"/>
      <c r="E26" s="540"/>
      <c r="F26" s="540"/>
      <c r="G26" s="540"/>
      <c r="H26" s="540"/>
      <c r="I26" s="540"/>
      <c r="J26" s="509"/>
      <c r="K26" s="509"/>
    </row>
    <row r="27" spans="1:249" ht="15" hidden="1" customHeight="1">
      <c r="A27" s="540"/>
      <c r="B27" s="541"/>
      <c r="C27" s="540"/>
      <c r="D27" s="540"/>
      <c r="E27" s="540"/>
      <c r="F27" s="540"/>
      <c r="G27" s="540"/>
      <c r="H27" s="540"/>
      <c r="I27" s="540"/>
      <c r="J27" s="509"/>
      <c r="K27" s="509"/>
    </row>
    <row r="28" spans="1:249" ht="18.95" hidden="1" customHeight="1">
      <c r="A28" s="540"/>
      <c r="B28" s="541"/>
      <c r="C28" s="543"/>
      <c r="D28" s="543"/>
      <c r="E28" s="730"/>
      <c r="F28" s="730"/>
      <c r="G28" s="534"/>
      <c r="H28" s="534"/>
      <c r="I28" s="531"/>
    </row>
    <row r="29" spans="1:249" ht="15.75" hidden="1" customHeight="1">
      <c r="A29" s="540"/>
      <c r="B29" s="541"/>
      <c r="C29" s="540"/>
      <c r="D29" s="540"/>
      <c r="E29" s="540"/>
      <c r="F29" s="540"/>
      <c r="G29" s="540"/>
      <c r="H29" s="540"/>
      <c r="I29" s="543"/>
      <c r="J29" s="540"/>
      <c r="K29" s="540"/>
      <c r="L29" s="540"/>
      <c r="M29" s="540"/>
      <c r="N29" s="540"/>
      <c r="O29" s="540"/>
      <c r="P29" s="540"/>
      <c r="Q29" s="540"/>
      <c r="R29" s="540"/>
      <c r="S29" s="540"/>
      <c r="T29" s="540"/>
      <c r="U29" s="540"/>
      <c r="V29" s="540"/>
      <c r="W29" s="540"/>
      <c r="X29" s="540"/>
      <c r="Y29" s="540"/>
      <c r="Z29" s="540"/>
      <c r="AA29" s="540"/>
      <c r="AB29" s="540"/>
      <c r="AC29" s="540"/>
      <c r="AD29" s="540"/>
      <c r="AE29" s="540"/>
      <c r="AF29" s="540"/>
      <c r="AG29" s="540"/>
      <c r="AH29" s="540"/>
      <c r="AI29" s="540"/>
      <c r="AJ29" s="540"/>
      <c r="AK29" s="540"/>
      <c r="AL29" s="540"/>
      <c r="AM29" s="540"/>
      <c r="AN29" s="540"/>
      <c r="AO29" s="540"/>
      <c r="AP29" s="540"/>
      <c r="AQ29" s="540"/>
      <c r="AR29" s="540"/>
      <c r="AS29" s="540"/>
      <c r="AT29" s="540"/>
      <c r="AU29" s="540"/>
      <c r="AV29" s="540"/>
      <c r="AW29" s="540"/>
      <c r="AX29" s="540"/>
      <c r="AY29" s="540"/>
      <c r="AZ29" s="540"/>
      <c r="BA29" s="540"/>
      <c r="BB29" s="540"/>
      <c r="BC29" s="540"/>
      <c r="BD29" s="540"/>
      <c r="BE29" s="540"/>
      <c r="BF29" s="540"/>
      <c r="BG29" s="540"/>
      <c r="BH29" s="540"/>
      <c r="BI29" s="540"/>
      <c r="BJ29" s="540"/>
      <c r="BK29" s="540"/>
      <c r="BL29" s="540"/>
      <c r="BM29" s="540"/>
      <c r="BN29" s="540"/>
      <c r="BO29" s="540"/>
      <c r="BP29" s="540"/>
      <c r="BQ29" s="540"/>
      <c r="BR29" s="540"/>
      <c r="BS29" s="540"/>
      <c r="BT29" s="540"/>
      <c r="BU29" s="540"/>
      <c r="BV29" s="540"/>
      <c r="BW29" s="540"/>
      <c r="BX29" s="540"/>
      <c r="BY29" s="540"/>
      <c r="BZ29" s="540"/>
      <c r="CA29" s="540"/>
      <c r="CB29" s="540"/>
      <c r="CC29" s="540"/>
      <c r="CD29" s="540"/>
      <c r="CE29" s="540"/>
      <c r="CF29" s="540"/>
      <c r="CG29" s="540"/>
      <c r="CH29" s="540"/>
      <c r="CI29" s="540"/>
      <c r="CJ29" s="540"/>
      <c r="CK29" s="540"/>
      <c r="CL29" s="540"/>
      <c r="CM29" s="540"/>
      <c r="CN29" s="540"/>
      <c r="CO29" s="540"/>
      <c r="CP29" s="540"/>
      <c r="CQ29" s="540"/>
      <c r="CR29" s="540"/>
      <c r="CS29" s="540"/>
      <c r="CT29" s="540"/>
      <c r="CU29" s="540"/>
      <c r="CV29" s="540"/>
      <c r="CW29" s="540"/>
      <c r="CX29" s="540"/>
      <c r="CY29" s="540"/>
      <c r="CZ29" s="540"/>
      <c r="DA29" s="540"/>
      <c r="DB29" s="540"/>
      <c r="DC29" s="540"/>
      <c r="DD29" s="540"/>
      <c r="DE29" s="540"/>
      <c r="DF29" s="540"/>
      <c r="DG29" s="540"/>
      <c r="DH29" s="540"/>
      <c r="DI29" s="540"/>
      <c r="DJ29" s="540"/>
      <c r="DK29" s="540"/>
      <c r="DL29" s="540"/>
      <c r="DM29" s="540"/>
      <c r="DN29" s="540"/>
      <c r="DO29" s="540"/>
      <c r="DP29" s="540"/>
      <c r="DQ29" s="540"/>
      <c r="DR29" s="540"/>
      <c r="DS29" s="540"/>
      <c r="DT29" s="540"/>
      <c r="DU29" s="540"/>
      <c r="DV29" s="540"/>
      <c r="DW29" s="540"/>
      <c r="DX29" s="540"/>
      <c r="DY29" s="540"/>
      <c r="DZ29" s="540"/>
      <c r="EA29" s="540"/>
      <c r="EB29" s="540"/>
      <c r="EC29" s="540"/>
      <c r="ED29" s="540"/>
      <c r="EE29" s="540"/>
      <c r="EF29" s="540"/>
      <c r="EG29" s="540"/>
      <c r="EH29" s="540"/>
      <c r="EI29" s="540"/>
      <c r="EJ29" s="540"/>
      <c r="EK29" s="540"/>
      <c r="EL29" s="540"/>
      <c r="EM29" s="540"/>
      <c r="EN29" s="540"/>
      <c r="EO29" s="540"/>
      <c r="EP29" s="540"/>
      <c r="EQ29" s="540"/>
      <c r="ER29" s="540"/>
      <c r="ES29" s="540"/>
      <c r="ET29" s="540"/>
      <c r="EU29" s="540"/>
      <c r="EV29" s="540"/>
      <c r="EW29" s="540"/>
      <c r="EX29" s="540"/>
      <c r="EY29" s="540"/>
      <c r="EZ29" s="540"/>
      <c r="FA29" s="540"/>
      <c r="FB29" s="540"/>
      <c r="FC29" s="540"/>
      <c r="FD29" s="540"/>
      <c r="FE29" s="540"/>
      <c r="FF29" s="540"/>
      <c r="FG29" s="540"/>
      <c r="FH29" s="540"/>
      <c r="FI29" s="540"/>
      <c r="FJ29" s="540"/>
      <c r="FK29" s="540"/>
      <c r="FL29" s="540"/>
      <c r="FM29" s="540"/>
      <c r="FN29" s="540"/>
      <c r="FO29" s="540"/>
      <c r="FP29" s="540"/>
      <c r="FQ29" s="540"/>
      <c r="FR29" s="540"/>
      <c r="FS29" s="540"/>
      <c r="FT29" s="540"/>
      <c r="FU29" s="540"/>
      <c r="FV29" s="540"/>
      <c r="FW29" s="540"/>
      <c r="FX29" s="540"/>
      <c r="FY29" s="540"/>
      <c r="FZ29" s="540"/>
      <c r="GA29" s="540"/>
      <c r="GB29" s="540"/>
      <c r="GC29" s="540"/>
      <c r="GD29" s="540"/>
      <c r="GE29" s="540"/>
      <c r="GF29" s="540"/>
      <c r="GG29" s="540"/>
      <c r="GH29" s="540"/>
      <c r="GI29" s="540"/>
      <c r="GJ29" s="540"/>
      <c r="GK29" s="540"/>
      <c r="GL29" s="540"/>
      <c r="GM29" s="540"/>
      <c r="GN29" s="540"/>
      <c r="GO29" s="540"/>
      <c r="GP29" s="540"/>
      <c r="GQ29" s="540"/>
      <c r="GR29" s="540"/>
      <c r="GS29" s="540"/>
      <c r="GT29" s="540"/>
      <c r="GU29" s="540"/>
      <c r="GV29" s="540"/>
      <c r="GW29" s="540"/>
      <c r="GX29" s="540"/>
      <c r="GY29" s="540"/>
      <c r="GZ29" s="540"/>
      <c r="HA29" s="540"/>
      <c r="HB29" s="540"/>
      <c r="HC29" s="540"/>
      <c r="HD29" s="540"/>
      <c r="HE29" s="540"/>
      <c r="HF29" s="540"/>
      <c r="HG29" s="540"/>
      <c r="HH29" s="540"/>
      <c r="HI29" s="540"/>
      <c r="HJ29" s="540"/>
      <c r="HK29" s="540"/>
      <c r="HL29" s="540"/>
      <c r="HM29" s="540"/>
      <c r="HN29" s="540"/>
      <c r="HO29" s="540"/>
      <c r="HP29" s="540"/>
      <c r="HQ29" s="540"/>
      <c r="HR29" s="540"/>
      <c r="HS29" s="540"/>
      <c r="HT29" s="540"/>
      <c r="HU29" s="540"/>
      <c r="HV29" s="540"/>
      <c r="HW29" s="540"/>
      <c r="HX29" s="540"/>
      <c r="HY29" s="540"/>
      <c r="HZ29" s="540"/>
      <c r="IA29" s="540"/>
      <c r="IB29" s="540"/>
      <c r="IC29" s="540"/>
      <c r="ID29" s="540"/>
      <c r="IE29" s="540"/>
      <c r="IF29" s="540"/>
      <c r="IG29" s="540"/>
      <c r="IH29" s="540"/>
      <c r="II29" s="540"/>
      <c r="IJ29" s="540"/>
      <c r="IK29" s="540"/>
      <c r="IL29" s="540"/>
      <c r="IM29" s="540"/>
      <c r="IN29" s="540"/>
      <c r="IO29" s="540"/>
    </row>
    <row r="30" spans="1:249" ht="12.75" hidden="1" customHeight="1">
      <c r="A30" s="540"/>
      <c r="B30" s="541"/>
      <c r="C30" s="540"/>
      <c r="D30" s="540"/>
      <c r="E30" s="540"/>
      <c r="F30" s="540"/>
      <c r="G30" s="540"/>
      <c r="H30" s="540"/>
      <c r="I30" s="540"/>
      <c r="J30" s="540"/>
      <c r="K30" s="540"/>
      <c r="L30" s="540"/>
      <c r="M30" s="540"/>
      <c r="N30" s="540"/>
      <c r="O30" s="540"/>
      <c r="P30" s="540"/>
      <c r="Q30" s="540"/>
      <c r="R30" s="540"/>
      <c r="S30" s="540"/>
      <c r="T30" s="540"/>
      <c r="U30" s="540"/>
      <c r="V30" s="540"/>
      <c r="W30" s="540"/>
      <c r="X30" s="540"/>
      <c r="Y30" s="540"/>
      <c r="Z30" s="540"/>
      <c r="AA30" s="540"/>
      <c r="AB30" s="540"/>
      <c r="AC30" s="540"/>
      <c r="AD30" s="540"/>
      <c r="AE30" s="540"/>
      <c r="AF30" s="540"/>
      <c r="AG30" s="540"/>
      <c r="AH30" s="540"/>
      <c r="AI30" s="540"/>
      <c r="AJ30" s="540"/>
      <c r="AK30" s="540"/>
      <c r="AL30" s="540"/>
      <c r="AM30" s="540"/>
      <c r="AN30" s="540"/>
      <c r="AO30" s="540"/>
      <c r="AP30" s="540"/>
      <c r="AQ30" s="540"/>
      <c r="AR30" s="540"/>
      <c r="AS30" s="540"/>
      <c r="AT30" s="540"/>
      <c r="AU30" s="540"/>
      <c r="AV30" s="540"/>
      <c r="AW30" s="540"/>
      <c r="AX30" s="540"/>
      <c r="AY30" s="540"/>
      <c r="AZ30" s="540"/>
      <c r="BA30" s="540"/>
      <c r="BB30" s="540"/>
      <c r="BC30" s="540"/>
      <c r="BD30" s="540"/>
      <c r="BE30" s="540"/>
      <c r="BF30" s="540"/>
      <c r="BG30" s="540"/>
      <c r="BH30" s="540"/>
      <c r="BI30" s="540"/>
      <c r="BJ30" s="540"/>
      <c r="BK30" s="540"/>
      <c r="BL30" s="540"/>
      <c r="BM30" s="540"/>
      <c r="BN30" s="540"/>
      <c r="BO30" s="540"/>
      <c r="BP30" s="540"/>
      <c r="BQ30" s="540"/>
      <c r="BR30" s="540"/>
      <c r="BS30" s="540"/>
      <c r="BT30" s="540"/>
      <c r="BU30" s="540"/>
      <c r="BV30" s="540"/>
      <c r="BW30" s="540"/>
      <c r="BX30" s="540"/>
      <c r="BY30" s="540"/>
      <c r="BZ30" s="540"/>
      <c r="CA30" s="540"/>
      <c r="CB30" s="540"/>
      <c r="CC30" s="540"/>
      <c r="CD30" s="540"/>
      <c r="CE30" s="540"/>
      <c r="CF30" s="540"/>
      <c r="CG30" s="540"/>
      <c r="CH30" s="540"/>
      <c r="CI30" s="540"/>
      <c r="CJ30" s="540"/>
      <c r="CK30" s="540"/>
      <c r="CL30" s="540"/>
      <c r="CM30" s="540"/>
      <c r="CN30" s="540"/>
      <c r="CO30" s="540"/>
      <c r="CP30" s="540"/>
      <c r="CQ30" s="540"/>
      <c r="CR30" s="540"/>
      <c r="CS30" s="540"/>
      <c r="CT30" s="540"/>
      <c r="CU30" s="540"/>
      <c r="CV30" s="540"/>
      <c r="CW30" s="540"/>
      <c r="CX30" s="540"/>
      <c r="CY30" s="540"/>
      <c r="CZ30" s="540"/>
      <c r="DA30" s="540"/>
      <c r="DB30" s="540"/>
      <c r="DC30" s="540"/>
      <c r="DD30" s="540"/>
      <c r="DE30" s="540"/>
      <c r="DF30" s="540"/>
      <c r="DG30" s="540"/>
      <c r="DH30" s="540"/>
      <c r="DI30" s="540"/>
      <c r="DJ30" s="540"/>
      <c r="DK30" s="540"/>
      <c r="DL30" s="540"/>
      <c r="DM30" s="540"/>
      <c r="DN30" s="540"/>
      <c r="DO30" s="540"/>
      <c r="DP30" s="540"/>
      <c r="DQ30" s="540"/>
      <c r="DR30" s="540"/>
      <c r="DS30" s="540"/>
      <c r="DT30" s="540"/>
      <c r="DU30" s="540"/>
      <c r="DV30" s="540"/>
      <c r="DW30" s="540"/>
      <c r="DX30" s="540"/>
      <c r="DY30" s="540"/>
      <c r="DZ30" s="540"/>
      <c r="EA30" s="540"/>
      <c r="EB30" s="540"/>
      <c r="EC30" s="540"/>
      <c r="ED30" s="540"/>
      <c r="EE30" s="540"/>
      <c r="EF30" s="540"/>
      <c r="EG30" s="540"/>
      <c r="EH30" s="540"/>
      <c r="EI30" s="540"/>
      <c r="EJ30" s="540"/>
      <c r="EK30" s="540"/>
      <c r="EL30" s="540"/>
      <c r="EM30" s="540"/>
      <c r="EN30" s="540"/>
      <c r="EO30" s="540"/>
      <c r="EP30" s="540"/>
      <c r="EQ30" s="540"/>
      <c r="ER30" s="540"/>
      <c r="ES30" s="540"/>
      <c r="ET30" s="540"/>
      <c r="EU30" s="540"/>
      <c r="EV30" s="540"/>
      <c r="EW30" s="540"/>
      <c r="EX30" s="540"/>
      <c r="EY30" s="540"/>
      <c r="EZ30" s="540"/>
      <c r="FA30" s="540"/>
      <c r="FB30" s="540"/>
      <c r="FC30" s="540"/>
      <c r="FD30" s="540"/>
      <c r="FE30" s="540"/>
      <c r="FF30" s="540"/>
      <c r="FG30" s="540"/>
      <c r="FH30" s="540"/>
      <c r="FI30" s="540"/>
      <c r="FJ30" s="540"/>
      <c r="FK30" s="540"/>
      <c r="FL30" s="540"/>
      <c r="FM30" s="540"/>
      <c r="FN30" s="540"/>
      <c r="FO30" s="540"/>
      <c r="FP30" s="540"/>
      <c r="FQ30" s="540"/>
      <c r="FR30" s="540"/>
      <c r="FS30" s="540"/>
      <c r="FT30" s="540"/>
      <c r="FU30" s="540"/>
      <c r="FV30" s="540"/>
      <c r="FW30" s="540"/>
      <c r="FX30" s="540"/>
      <c r="FY30" s="540"/>
      <c r="FZ30" s="540"/>
      <c r="GA30" s="540"/>
      <c r="GB30" s="540"/>
      <c r="GC30" s="540"/>
      <c r="GD30" s="540"/>
      <c r="GE30" s="540"/>
      <c r="GF30" s="540"/>
      <c r="GG30" s="540"/>
      <c r="GH30" s="540"/>
      <c r="GI30" s="540"/>
      <c r="GJ30" s="540"/>
      <c r="GK30" s="540"/>
      <c r="GL30" s="540"/>
      <c r="GM30" s="540"/>
      <c r="GN30" s="540"/>
      <c r="GO30" s="540"/>
      <c r="GP30" s="540"/>
      <c r="GQ30" s="540"/>
      <c r="GR30" s="540"/>
      <c r="GS30" s="540"/>
      <c r="GT30" s="540"/>
      <c r="GU30" s="540"/>
      <c r="GV30" s="540"/>
      <c r="GW30" s="540"/>
      <c r="GX30" s="540"/>
      <c r="GY30" s="540"/>
      <c r="GZ30" s="540"/>
      <c r="HA30" s="540"/>
      <c r="HB30" s="540"/>
      <c r="HC30" s="540"/>
      <c r="HD30" s="540"/>
      <c r="HE30" s="540"/>
      <c r="HF30" s="540"/>
      <c r="HG30" s="540"/>
      <c r="HH30" s="540"/>
      <c r="HI30" s="540"/>
      <c r="HJ30" s="540"/>
      <c r="HK30" s="540"/>
      <c r="HL30" s="540"/>
      <c r="HM30" s="540"/>
      <c r="HN30" s="540"/>
      <c r="HO30" s="540"/>
      <c r="HP30" s="540"/>
      <c r="HQ30" s="540"/>
      <c r="HR30" s="540"/>
      <c r="HS30" s="540"/>
      <c r="HT30" s="540"/>
      <c r="HU30" s="540"/>
      <c r="HV30" s="540"/>
      <c r="HW30" s="540"/>
      <c r="HX30" s="540"/>
      <c r="HY30" s="540"/>
      <c r="HZ30" s="540"/>
      <c r="IA30" s="540"/>
      <c r="IB30" s="540"/>
      <c r="IC30" s="540"/>
      <c r="ID30" s="540"/>
      <c r="IE30" s="540"/>
      <c r="IF30" s="540"/>
      <c r="IG30" s="540"/>
      <c r="IH30" s="540"/>
      <c r="II30" s="540"/>
      <c r="IJ30" s="540"/>
      <c r="IK30" s="540"/>
      <c r="IL30" s="540"/>
      <c r="IM30" s="540"/>
      <c r="IN30" s="540"/>
      <c r="IO30" s="540"/>
    </row>
    <row r="31" spans="1:249" ht="12.75">
      <c r="A31" s="540"/>
      <c r="B31" s="541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0"/>
      <c r="X31" s="540"/>
      <c r="Y31" s="540"/>
      <c r="Z31" s="540"/>
      <c r="AA31" s="540"/>
      <c r="AB31" s="540"/>
      <c r="AC31" s="540"/>
      <c r="AD31" s="540"/>
      <c r="AE31" s="540"/>
      <c r="AF31" s="540"/>
      <c r="AG31" s="540"/>
      <c r="AH31" s="540"/>
      <c r="AI31" s="540"/>
      <c r="AJ31" s="540"/>
      <c r="AK31" s="540"/>
      <c r="AL31" s="540"/>
      <c r="AM31" s="540"/>
      <c r="AN31" s="540"/>
      <c r="AO31" s="540"/>
      <c r="AP31" s="540"/>
      <c r="AQ31" s="540"/>
      <c r="AR31" s="540"/>
      <c r="AS31" s="540"/>
      <c r="AT31" s="540"/>
      <c r="AU31" s="540"/>
      <c r="AV31" s="540"/>
      <c r="AW31" s="540"/>
      <c r="AX31" s="540"/>
      <c r="AY31" s="540"/>
      <c r="AZ31" s="540"/>
      <c r="BA31" s="540"/>
      <c r="BB31" s="540"/>
      <c r="BC31" s="540"/>
      <c r="BD31" s="540"/>
      <c r="BE31" s="540"/>
      <c r="BF31" s="540"/>
      <c r="BG31" s="540"/>
      <c r="BH31" s="540"/>
      <c r="BI31" s="540"/>
      <c r="BJ31" s="540"/>
      <c r="BK31" s="540"/>
      <c r="BL31" s="540"/>
      <c r="BM31" s="540"/>
      <c r="BN31" s="540"/>
      <c r="BO31" s="540"/>
      <c r="BP31" s="540"/>
      <c r="BQ31" s="540"/>
      <c r="BR31" s="540"/>
      <c r="BS31" s="540"/>
      <c r="BT31" s="540"/>
      <c r="BU31" s="540"/>
      <c r="BV31" s="540"/>
      <c r="BW31" s="540"/>
      <c r="BX31" s="540"/>
      <c r="BY31" s="540"/>
      <c r="BZ31" s="540"/>
      <c r="CA31" s="540"/>
      <c r="CB31" s="540"/>
      <c r="CC31" s="540"/>
      <c r="CD31" s="540"/>
      <c r="CE31" s="540"/>
      <c r="CF31" s="540"/>
      <c r="CG31" s="540"/>
      <c r="CH31" s="540"/>
      <c r="CI31" s="540"/>
      <c r="CJ31" s="540"/>
      <c r="CK31" s="540"/>
      <c r="CL31" s="540"/>
      <c r="CM31" s="540"/>
      <c r="CN31" s="540"/>
      <c r="CO31" s="540"/>
      <c r="CP31" s="540"/>
      <c r="CQ31" s="540"/>
      <c r="CR31" s="540"/>
      <c r="CS31" s="540"/>
      <c r="CT31" s="540"/>
      <c r="CU31" s="540"/>
      <c r="CV31" s="540"/>
      <c r="CW31" s="540"/>
      <c r="CX31" s="540"/>
      <c r="CY31" s="540"/>
      <c r="CZ31" s="540"/>
      <c r="DA31" s="540"/>
      <c r="DB31" s="540"/>
      <c r="DC31" s="540"/>
      <c r="DD31" s="540"/>
      <c r="DE31" s="540"/>
      <c r="DF31" s="540"/>
      <c r="DG31" s="540"/>
      <c r="DH31" s="540"/>
      <c r="DI31" s="540"/>
      <c r="DJ31" s="540"/>
      <c r="DK31" s="540"/>
      <c r="DL31" s="540"/>
      <c r="DM31" s="540"/>
      <c r="DN31" s="540"/>
      <c r="DO31" s="540"/>
      <c r="DP31" s="540"/>
      <c r="DQ31" s="540"/>
      <c r="DR31" s="540"/>
      <c r="DS31" s="540"/>
      <c r="DT31" s="540"/>
      <c r="DU31" s="540"/>
      <c r="DV31" s="540"/>
      <c r="DW31" s="540"/>
      <c r="DX31" s="540"/>
      <c r="DY31" s="540"/>
      <c r="DZ31" s="540"/>
      <c r="EA31" s="540"/>
      <c r="EB31" s="540"/>
      <c r="EC31" s="540"/>
      <c r="ED31" s="540"/>
      <c r="EE31" s="540"/>
      <c r="EF31" s="540"/>
      <c r="EG31" s="540"/>
      <c r="EH31" s="540"/>
      <c r="EI31" s="540"/>
      <c r="EJ31" s="540"/>
      <c r="EK31" s="540"/>
      <c r="EL31" s="540"/>
      <c r="EM31" s="540"/>
      <c r="EN31" s="540"/>
      <c r="EO31" s="540"/>
      <c r="EP31" s="540"/>
      <c r="EQ31" s="540"/>
      <c r="ER31" s="540"/>
      <c r="ES31" s="540"/>
      <c r="ET31" s="540"/>
      <c r="EU31" s="540"/>
      <c r="EV31" s="540"/>
      <c r="EW31" s="540"/>
      <c r="EX31" s="540"/>
      <c r="EY31" s="540"/>
      <c r="EZ31" s="540"/>
      <c r="FA31" s="540"/>
      <c r="FB31" s="540"/>
      <c r="FC31" s="540"/>
      <c r="FD31" s="540"/>
      <c r="FE31" s="540"/>
      <c r="FF31" s="540"/>
      <c r="FG31" s="540"/>
      <c r="FH31" s="540"/>
      <c r="FI31" s="540"/>
      <c r="FJ31" s="540"/>
      <c r="FK31" s="540"/>
      <c r="FL31" s="540"/>
      <c r="FM31" s="540"/>
      <c r="FN31" s="540"/>
      <c r="FO31" s="540"/>
      <c r="FP31" s="540"/>
      <c r="FQ31" s="540"/>
      <c r="FR31" s="540"/>
      <c r="FS31" s="540"/>
      <c r="FT31" s="540"/>
      <c r="FU31" s="540"/>
      <c r="FV31" s="540"/>
      <c r="FW31" s="540"/>
      <c r="FX31" s="540"/>
      <c r="FY31" s="540"/>
      <c r="FZ31" s="540"/>
      <c r="GA31" s="540"/>
      <c r="GB31" s="540"/>
      <c r="GC31" s="540"/>
      <c r="GD31" s="540"/>
      <c r="GE31" s="540"/>
      <c r="GF31" s="540"/>
      <c r="GG31" s="540"/>
      <c r="GH31" s="540"/>
      <c r="GI31" s="540"/>
      <c r="GJ31" s="540"/>
      <c r="GK31" s="540"/>
      <c r="GL31" s="540"/>
      <c r="GM31" s="540"/>
      <c r="GN31" s="540"/>
      <c r="GO31" s="540"/>
      <c r="GP31" s="540"/>
      <c r="GQ31" s="540"/>
      <c r="GR31" s="540"/>
      <c r="GS31" s="540"/>
      <c r="GT31" s="540"/>
      <c r="GU31" s="540"/>
      <c r="GV31" s="540"/>
      <c r="GW31" s="540"/>
      <c r="GX31" s="540"/>
      <c r="GY31" s="540"/>
      <c r="GZ31" s="540"/>
      <c r="HA31" s="540"/>
      <c r="HB31" s="540"/>
      <c r="HC31" s="540"/>
      <c r="HD31" s="540"/>
      <c r="HE31" s="540"/>
      <c r="HF31" s="540"/>
      <c r="HG31" s="540"/>
      <c r="HH31" s="540"/>
      <c r="HI31" s="540"/>
      <c r="HJ31" s="540"/>
      <c r="HK31" s="540"/>
      <c r="HL31" s="540"/>
      <c r="HM31" s="540"/>
      <c r="HN31" s="540"/>
      <c r="HO31" s="540"/>
      <c r="HP31" s="540"/>
      <c r="HQ31" s="540"/>
      <c r="HR31" s="540"/>
      <c r="HS31" s="540"/>
      <c r="HT31" s="540"/>
      <c r="HU31" s="540"/>
      <c r="HV31" s="540"/>
      <c r="HW31" s="540"/>
      <c r="HX31" s="540"/>
      <c r="HY31" s="540"/>
      <c r="HZ31" s="540"/>
      <c r="IA31" s="540"/>
      <c r="IB31" s="540"/>
      <c r="IC31" s="540"/>
      <c r="ID31" s="540"/>
      <c r="IE31" s="540"/>
      <c r="IF31" s="540"/>
      <c r="IG31" s="540"/>
      <c r="IH31" s="540"/>
      <c r="II31" s="540"/>
      <c r="IJ31" s="540"/>
      <c r="IK31" s="540"/>
      <c r="IL31" s="540"/>
      <c r="IM31" s="540"/>
      <c r="IN31" s="540"/>
      <c r="IO31" s="540"/>
    </row>
    <row r="32" spans="1:249" ht="12.75">
      <c r="A32" s="540"/>
      <c r="B32" s="541"/>
      <c r="C32" s="540"/>
      <c r="D32" s="540"/>
      <c r="E32" s="540"/>
      <c r="F32" s="540"/>
      <c r="G32" s="540"/>
      <c r="H32" s="540"/>
      <c r="I32" s="540"/>
      <c r="J32" s="540"/>
      <c r="K32" s="540"/>
      <c r="L32" s="540"/>
      <c r="M32" s="540"/>
      <c r="N32" s="540"/>
      <c r="O32" s="540"/>
      <c r="P32" s="540"/>
      <c r="Q32" s="540"/>
      <c r="R32" s="540"/>
      <c r="S32" s="540"/>
      <c r="T32" s="540"/>
      <c r="U32" s="540"/>
      <c r="V32" s="540"/>
      <c r="W32" s="540"/>
      <c r="X32" s="540"/>
      <c r="Y32" s="540"/>
      <c r="Z32" s="540"/>
      <c r="AA32" s="540"/>
      <c r="AB32" s="540"/>
      <c r="AC32" s="540"/>
      <c r="AD32" s="540"/>
      <c r="AE32" s="540"/>
      <c r="AF32" s="540"/>
      <c r="AG32" s="540"/>
      <c r="AH32" s="540"/>
      <c r="AI32" s="540"/>
      <c r="AJ32" s="540"/>
      <c r="AK32" s="540"/>
      <c r="AL32" s="540"/>
      <c r="AM32" s="540"/>
      <c r="AN32" s="540"/>
      <c r="AO32" s="540"/>
      <c r="AP32" s="540"/>
      <c r="AQ32" s="540"/>
      <c r="AR32" s="540"/>
      <c r="AS32" s="540"/>
      <c r="AT32" s="540"/>
      <c r="AU32" s="540"/>
      <c r="AV32" s="540"/>
      <c r="AW32" s="540"/>
      <c r="AX32" s="540"/>
      <c r="AY32" s="540"/>
      <c r="AZ32" s="540"/>
      <c r="BA32" s="540"/>
      <c r="BB32" s="540"/>
      <c r="BC32" s="540"/>
      <c r="BD32" s="540"/>
      <c r="BE32" s="540"/>
      <c r="BF32" s="540"/>
      <c r="BG32" s="540"/>
      <c r="BH32" s="540"/>
      <c r="BI32" s="540"/>
      <c r="BJ32" s="540"/>
      <c r="BK32" s="540"/>
      <c r="BL32" s="540"/>
      <c r="BM32" s="540"/>
      <c r="BN32" s="540"/>
      <c r="BO32" s="540"/>
      <c r="BP32" s="540"/>
      <c r="BQ32" s="540"/>
      <c r="BR32" s="540"/>
      <c r="BS32" s="540"/>
      <c r="BT32" s="540"/>
      <c r="BU32" s="540"/>
      <c r="BV32" s="540"/>
      <c r="BW32" s="540"/>
      <c r="BX32" s="540"/>
      <c r="BY32" s="540"/>
      <c r="BZ32" s="540"/>
      <c r="CA32" s="540"/>
      <c r="CB32" s="540"/>
      <c r="CC32" s="540"/>
      <c r="CD32" s="540"/>
      <c r="CE32" s="540"/>
      <c r="CF32" s="540"/>
      <c r="CG32" s="540"/>
      <c r="CH32" s="540"/>
      <c r="CI32" s="540"/>
      <c r="CJ32" s="540"/>
      <c r="CK32" s="540"/>
      <c r="CL32" s="540"/>
      <c r="CM32" s="540"/>
      <c r="CN32" s="540"/>
      <c r="CO32" s="540"/>
      <c r="CP32" s="540"/>
      <c r="CQ32" s="540"/>
      <c r="CR32" s="540"/>
      <c r="CS32" s="540"/>
      <c r="CT32" s="540"/>
      <c r="CU32" s="540"/>
      <c r="CV32" s="540"/>
      <c r="CW32" s="540"/>
      <c r="CX32" s="540"/>
      <c r="CY32" s="540"/>
      <c r="CZ32" s="540"/>
      <c r="DA32" s="540"/>
      <c r="DB32" s="540"/>
      <c r="DC32" s="540"/>
      <c r="DD32" s="540"/>
      <c r="DE32" s="540"/>
      <c r="DF32" s="540"/>
      <c r="DG32" s="540"/>
      <c r="DH32" s="540"/>
      <c r="DI32" s="540"/>
      <c r="DJ32" s="540"/>
      <c r="DK32" s="540"/>
      <c r="DL32" s="540"/>
      <c r="DM32" s="540"/>
      <c r="DN32" s="540"/>
      <c r="DO32" s="540"/>
      <c r="DP32" s="540"/>
      <c r="DQ32" s="540"/>
      <c r="DR32" s="540"/>
      <c r="DS32" s="540"/>
      <c r="DT32" s="540"/>
      <c r="DU32" s="540"/>
      <c r="DV32" s="540"/>
      <c r="DW32" s="540"/>
      <c r="DX32" s="540"/>
      <c r="DY32" s="540"/>
      <c r="DZ32" s="540"/>
      <c r="EA32" s="540"/>
      <c r="EB32" s="540"/>
      <c r="EC32" s="540"/>
      <c r="ED32" s="540"/>
      <c r="EE32" s="540"/>
      <c r="EF32" s="540"/>
      <c r="EG32" s="540"/>
      <c r="EH32" s="540"/>
      <c r="EI32" s="540"/>
      <c r="EJ32" s="540"/>
      <c r="EK32" s="540"/>
      <c r="EL32" s="540"/>
      <c r="EM32" s="540"/>
      <c r="EN32" s="540"/>
      <c r="EO32" s="540"/>
      <c r="EP32" s="540"/>
      <c r="EQ32" s="540"/>
      <c r="ER32" s="540"/>
      <c r="ES32" s="540"/>
      <c r="ET32" s="540"/>
      <c r="EU32" s="540"/>
      <c r="EV32" s="540"/>
      <c r="EW32" s="540"/>
      <c r="EX32" s="540"/>
      <c r="EY32" s="540"/>
      <c r="EZ32" s="540"/>
      <c r="FA32" s="540"/>
      <c r="FB32" s="540"/>
      <c r="FC32" s="540"/>
      <c r="FD32" s="540"/>
      <c r="FE32" s="540"/>
      <c r="FF32" s="540"/>
      <c r="FG32" s="540"/>
      <c r="FH32" s="540"/>
      <c r="FI32" s="540"/>
      <c r="FJ32" s="540"/>
      <c r="FK32" s="540"/>
      <c r="FL32" s="540"/>
      <c r="FM32" s="540"/>
      <c r="FN32" s="540"/>
      <c r="FO32" s="540"/>
      <c r="FP32" s="540"/>
      <c r="FQ32" s="540"/>
      <c r="FR32" s="540"/>
      <c r="FS32" s="540"/>
      <c r="FT32" s="540"/>
      <c r="FU32" s="540"/>
      <c r="FV32" s="540"/>
      <c r="FW32" s="540"/>
      <c r="FX32" s="540"/>
      <c r="FY32" s="540"/>
      <c r="FZ32" s="540"/>
      <c r="GA32" s="540"/>
      <c r="GB32" s="540"/>
      <c r="GC32" s="540"/>
      <c r="GD32" s="540"/>
      <c r="GE32" s="540"/>
      <c r="GF32" s="540"/>
      <c r="GG32" s="540"/>
      <c r="GH32" s="540"/>
      <c r="GI32" s="540"/>
      <c r="GJ32" s="540"/>
      <c r="GK32" s="540"/>
      <c r="GL32" s="540"/>
      <c r="GM32" s="540"/>
      <c r="GN32" s="540"/>
      <c r="GO32" s="540"/>
      <c r="GP32" s="540"/>
      <c r="GQ32" s="540"/>
      <c r="GR32" s="540"/>
      <c r="GS32" s="540"/>
      <c r="GT32" s="540"/>
      <c r="GU32" s="540"/>
      <c r="GV32" s="540"/>
      <c r="GW32" s="540"/>
      <c r="GX32" s="540"/>
      <c r="GY32" s="540"/>
      <c r="GZ32" s="540"/>
      <c r="HA32" s="540"/>
      <c r="HB32" s="540"/>
      <c r="HC32" s="540"/>
      <c r="HD32" s="540"/>
      <c r="HE32" s="540"/>
      <c r="HF32" s="540"/>
      <c r="HG32" s="540"/>
      <c r="HH32" s="540"/>
      <c r="HI32" s="540"/>
      <c r="HJ32" s="540"/>
      <c r="HK32" s="540"/>
      <c r="HL32" s="540"/>
      <c r="HM32" s="540"/>
      <c r="HN32" s="540"/>
      <c r="HO32" s="540"/>
      <c r="HP32" s="540"/>
      <c r="HQ32" s="540"/>
      <c r="HR32" s="540"/>
      <c r="HS32" s="540"/>
      <c r="HT32" s="540"/>
      <c r="HU32" s="540"/>
      <c r="HV32" s="540"/>
      <c r="HW32" s="540"/>
      <c r="HX32" s="540"/>
      <c r="HY32" s="540"/>
      <c r="HZ32" s="540"/>
      <c r="IA32" s="540"/>
      <c r="IB32" s="540"/>
      <c r="IC32" s="540"/>
      <c r="ID32" s="540"/>
      <c r="IE32" s="540"/>
      <c r="IF32" s="540"/>
      <c r="IG32" s="540"/>
      <c r="IH32" s="540"/>
      <c r="II32" s="540"/>
      <c r="IJ32" s="540"/>
      <c r="IK32" s="540"/>
      <c r="IL32" s="540"/>
      <c r="IM32" s="540"/>
      <c r="IN32" s="540"/>
      <c r="IO32" s="540"/>
    </row>
    <row r="33" spans="1:249" ht="12.75">
      <c r="A33" s="540"/>
      <c r="B33" s="541"/>
      <c r="C33" s="540"/>
      <c r="D33" s="540"/>
      <c r="E33" s="540"/>
      <c r="F33" s="540"/>
      <c r="G33" s="540"/>
      <c r="H33" s="540"/>
      <c r="I33" s="540"/>
      <c r="J33" s="540"/>
      <c r="K33" s="540"/>
      <c r="L33" s="540"/>
      <c r="M33" s="540"/>
      <c r="N33" s="540"/>
      <c r="O33" s="540"/>
      <c r="P33" s="540"/>
      <c r="Q33" s="540"/>
      <c r="R33" s="540"/>
      <c r="S33" s="540"/>
      <c r="T33" s="540"/>
      <c r="U33" s="540"/>
      <c r="V33" s="540"/>
      <c r="W33" s="540"/>
      <c r="X33" s="540"/>
      <c r="Y33" s="540"/>
      <c r="Z33" s="540"/>
      <c r="AA33" s="540"/>
      <c r="AB33" s="540"/>
      <c r="AC33" s="540"/>
      <c r="AD33" s="540"/>
      <c r="AE33" s="540"/>
      <c r="AF33" s="540"/>
      <c r="AG33" s="540"/>
      <c r="AH33" s="540"/>
      <c r="AI33" s="540"/>
      <c r="AJ33" s="540"/>
      <c r="AK33" s="540"/>
      <c r="AL33" s="540"/>
      <c r="AM33" s="540"/>
      <c r="AN33" s="540"/>
      <c r="AO33" s="540"/>
      <c r="AP33" s="540"/>
      <c r="AQ33" s="540"/>
      <c r="AR33" s="540"/>
      <c r="AS33" s="540"/>
      <c r="AT33" s="540"/>
      <c r="AU33" s="540"/>
      <c r="AV33" s="540"/>
      <c r="AW33" s="540"/>
      <c r="AX33" s="540"/>
      <c r="AY33" s="540"/>
      <c r="AZ33" s="540"/>
      <c r="BA33" s="540"/>
      <c r="BB33" s="540"/>
      <c r="BC33" s="540"/>
      <c r="BD33" s="540"/>
      <c r="BE33" s="540"/>
      <c r="BF33" s="540"/>
      <c r="BG33" s="540"/>
      <c r="BH33" s="540"/>
      <c r="BI33" s="540"/>
      <c r="BJ33" s="540"/>
      <c r="BK33" s="540"/>
      <c r="BL33" s="540"/>
      <c r="BM33" s="540"/>
      <c r="BN33" s="540"/>
      <c r="BO33" s="540"/>
      <c r="BP33" s="540"/>
      <c r="BQ33" s="540"/>
      <c r="BR33" s="540"/>
      <c r="BS33" s="540"/>
      <c r="BT33" s="540"/>
      <c r="BU33" s="540"/>
      <c r="BV33" s="540"/>
      <c r="BW33" s="540"/>
      <c r="BX33" s="540"/>
      <c r="BY33" s="540"/>
      <c r="BZ33" s="540"/>
      <c r="CA33" s="540"/>
      <c r="CB33" s="540"/>
      <c r="CC33" s="540"/>
      <c r="CD33" s="540"/>
      <c r="CE33" s="540"/>
      <c r="CF33" s="540"/>
      <c r="CG33" s="540"/>
      <c r="CH33" s="540"/>
      <c r="CI33" s="540"/>
      <c r="CJ33" s="540"/>
      <c r="CK33" s="540"/>
      <c r="CL33" s="540"/>
      <c r="CM33" s="540"/>
      <c r="CN33" s="540"/>
      <c r="CO33" s="540"/>
      <c r="CP33" s="540"/>
      <c r="CQ33" s="540"/>
      <c r="CR33" s="540"/>
      <c r="CS33" s="540"/>
      <c r="CT33" s="540"/>
      <c r="CU33" s="540"/>
      <c r="CV33" s="540"/>
      <c r="CW33" s="540"/>
      <c r="CX33" s="540"/>
      <c r="CY33" s="540"/>
      <c r="CZ33" s="540"/>
      <c r="DA33" s="540"/>
      <c r="DB33" s="540"/>
      <c r="DC33" s="540"/>
      <c r="DD33" s="540"/>
      <c r="DE33" s="540"/>
      <c r="DF33" s="540"/>
      <c r="DG33" s="540"/>
      <c r="DH33" s="540"/>
      <c r="DI33" s="540"/>
      <c r="DJ33" s="540"/>
      <c r="DK33" s="540"/>
      <c r="DL33" s="540"/>
      <c r="DM33" s="540"/>
      <c r="DN33" s="540"/>
      <c r="DO33" s="540"/>
      <c r="DP33" s="540"/>
      <c r="DQ33" s="540"/>
      <c r="DR33" s="540"/>
      <c r="DS33" s="540"/>
      <c r="DT33" s="540"/>
      <c r="DU33" s="540"/>
      <c r="DV33" s="540"/>
      <c r="DW33" s="540"/>
      <c r="DX33" s="540"/>
      <c r="DY33" s="540"/>
      <c r="DZ33" s="540"/>
      <c r="EA33" s="540"/>
      <c r="EB33" s="540"/>
      <c r="EC33" s="540"/>
      <c r="ED33" s="540"/>
      <c r="EE33" s="540"/>
      <c r="EF33" s="540"/>
      <c r="EG33" s="540"/>
      <c r="EH33" s="540"/>
      <c r="EI33" s="540"/>
      <c r="EJ33" s="540"/>
      <c r="EK33" s="540"/>
      <c r="EL33" s="540"/>
      <c r="EM33" s="540"/>
      <c r="EN33" s="540"/>
      <c r="EO33" s="540"/>
      <c r="EP33" s="540"/>
      <c r="EQ33" s="540"/>
      <c r="ER33" s="540"/>
      <c r="ES33" s="540"/>
      <c r="ET33" s="540"/>
      <c r="EU33" s="540"/>
      <c r="EV33" s="540"/>
      <c r="EW33" s="540"/>
      <c r="EX33" s="540"/>
      <c r="EY33" s="540"/>
      <c r="EZ33" s="540"/>
      <c r="FA33" s="540"/>
      <c r="FB33" s="540"/>
      <c r="FC33" s="540"/>
      <c r="FD33" s="540"/>
      <c r="FE33" s="540"/>
      <c r="FF33" s="540"/>
      <c r="FG33" s="540"/>
      <c r="FH33" s="540"/>
      <c r="FI33" s="540"/>
      <c r="FJ33" s="540"/>
      <c r="FK33" s="540"/>
      <c r="FL33" s="540"/>
      <c r="FM33" s="540"/>
      <c r="FN33" s="540"/>
      <c r="FO33" s="540"/>
      <c r="FP33" s="540"/>
      <c r="FQ33" s="540"/>
      <c r="FR33" s="540"/>
      <c r="FS33" s="540"/>
      <c r="FT33" s="540"/>
      <c r="FU33" s="540"/>
      <c r="FV33" s="540"/>
      <c r="FW33" s="540"/>
      <c r="FX33" s="540"/>
      <c r="FY33" s="540"/>
      <c r="FZ33" s="540"/>
      <c r="GA33" s="540"/>
      <c r="GB33" s="540"/>
      <c r="GC33" s="540"/>
      <c r="GD33" s="540"/>
      <c r="GE33" s="540"/>
      <c r="GF33" s="540"/>
      <c r="GG33" s="540"/>
      <c r="GH33" s="540"/>
      <c r="GI33" s="540"/>
      <c r="GJ33" s="540"/>
      <c r="GK33" s="540"/>
      <c r="GL33" s="540"/>
      <c r="GM33" s="540"/>
      <c r="GN33" s="540"/>
      <c r="GO33" s="540"/>
      <c r="GP33" s="540"/>
      <c r="GQ33" s="540"/>
      <c r="GR33" s="540"/>
      <c r="GS33" s="540"/>
      <c r="GT33" s="540"/>
      <c r="GU33" s="540"/>
      <c r="GV33" s="540"/>
      <c r="GW33" s="540"/>
      <c r="GX33" s="540"/>
      <c r="GY33" s="540"/>
      <c r="GZ33" s="540"/>
      <c r="HA33" s="540"/>
      <c r="HB33" s="540"/>
      <c r="HC33" s="540"/>
      <c r="HD33" s="540"/>
      <c r="HE33" s="540"/>
      <c r="HF33" s="540"/>
      <c r="HG33" s="540"/>
      <c r="HH33" s="540"/>
      <c r="HI33" s="540"/>
      <c r="HJ33" s="540"/>
      <c r="HK33" s="540"/>
      <c r="HL33" s="540"/>
      <c r="HM33" s="540"/>
      <c r="HN33" s="540"/>
      <c r="HO33" s="540"/>
      <c r="HP33" s="540"/>
      <c r="HQ33" s="540"/>
      <c r="HR33" s="540"/>
      <c r="HS33" s="540"/>
      <c r="HT33" s="540"/>
      <c r="HU33" s="540"/>
      <c r="HV33" s="540"/>
      <c r="HW33" s="540"/>
      <c r="HX33" s="540"/>
      <c r="HY33" s="540"/>
      <c r="HZ33" s="540"/>
      <c r="IA33" s="540"/>
      <c r="IB33" s="540"/>
      <c r="IC33" s="540"/>
      <c r="ID33" s="540"/>
      <c r="IE33" s="540"/>
      <c r="IF33" s="540"/>
      <c r="IG33" s="540"/>
      <c r="IH33" s="540"/>
      <c r="II33" s="540"/>
      <c r="IJ33" s="540"/>
      <c r="IK33" s="540"/>
      <c r="IL33" s="540"/>
      <c r="IM33" s="540"/>
      <c r="IN33" s="540"/>
      <c r="IO33" s="540"/>
    </row>
    <row r="34" spans="1:249" ht="18.75">
      <c r="A34" s="540"/>
      <c r="B34" s="541"/>
      <c r="C34" s="540"/>
      <c r="D34" s="540"/>
      <c r="E34" s="730" t="s">
        <v>36</v>
      </c>
      <c r="F34" s="730"/>
      <c r="G34" s="730"/>
      <c r="H34" s="730"/>
      <c r="I34" s="730"/>
      <c r="J34" s="540"/>
      <c r="K34" s="540"/>
      <c r="L34" s="540"/>
      <c r="M34" s="540"/>
      <c r="N34" s="540"/>
      <c r="O34" s="540"/>
      <c r="P34" s="540"/>
      <c r="Q34" s="540"/>
      <c r="R34" s="540"/>
      <c r="S34" s="540"/>
      <c r="T34" s="540"/>
      <c r="U34" s="540"/>
      <c r="V34" s="540"/>
      <c r="W34" s="540"/>
      <c r="X34" s="540"/>
      <c r="Y34" s="540"/>
      <c r="Z34" s="540"/>
      <c r="AA34" s="540"/>
      <c r="AB34" s="540"/>
      <c r="AC34" s="540"/>
      <c r="AD34" s="540"/>
      <c r="AE34" s="540"/>
      <c r="AF34" s="540"/>
      <c r="AG34" s="540"/>
      <c r="AH34" s="540"/>
      <c r="AI34" s="540"/>
      <c r="AJ34" s="540"/>
      <c r="AK34" s="540"/>
      <c r="AL34" s="540"/>
      <c r="AM34" s="540"/>
      <c r="AN34" s="540"/>
      <c r="AO34" s="540"/>
      <c r="AP34" s="540"/>
      <c r="AQ34" s="540"/>
      <c r="AR34" s="540"/>
      <c r="AS34" s="540"/>
      <c r="AT34" s="540"/>
      <c r="AU34" s="540"/>
      <c r="AV34" s="540"/>
      <c r="AW34" s="540"/>
      <c r="AX34" s="540"/>
      <c r="AY34" s="540"/>
      <c r="AZ34" s="540"/>
      <c r="BA34" s="540"/>
      <c r="BB34" s="540"/>
      <c r="BC34" s="540"/>
      <c r="BD34" s="540"/>
      <c r="BE34" s="540"/>
      <c r="BF34" s="540"/>
      <c r="BG34" s="540"/>
      <c r="BH34" s="540"/>
      <c r="BI34" s="540"/>
      <c r="BJ34" s="540"/>
      <c r="BK34" s="540"/>
      <c r="BL34" s="540"/>
      <c r="BM34" s="540"/>
      <c r="BN34" s="540"/>
      <c r="BO34" s="540"/>
      <c r="BP34" s="540"/>
      <c r="BQ34" s="540"/>
      <c r="BR34" s="540"/>
      <c r="BS34" s="540"/>
      <c r="BT34" s="540"/>
      <c r="BU34" s="540"/>
      <c r="BV34" s="540"/>
      <c r="BW34" s="540"/>
      <c r="BX34" s="540"/>
      <c r="BY34" s="540"/>
      <c r="BZ34" s="540"/>
      <c r="CA34" s="540"/>
      <c r="CB34" s="540"/>
      <c r="CC34" s="540"/>
      <c r="CD34" s="540"/>
      <c r="CE34" s="540"/>
      <c r="CF34" s="540"/>
      <c r="CG34" s="540"/>
      <c r="CH34" s="540"/>
      <c r="CI34" s="540"/>
      <c r="CJ34" s="540"/>
      <c r="CK34" s="540"/>
      <c r="CL34" s="540"/>
      <c r="CM34" s="540"/>
      <c r="CN34" s="540"/>
      <c r="CO34" s="540"/>
      <c r="CP34" s="540"/>
      <c r="CQ34" s="540"/>
      <c r="CR34" s="540"/>
      <c r="CS34" s="540"/>
      <c r="CT34" s="540"/>
      <c r="CU34" s="540"/>
      <c r="CV34" s="540"/>
      <c r="CW34" s="540"/>
      <c r="CX34" s="540"/>
      <c r="CY34" s="540"/>
      <c r="CZ34" s="540"/>
      <c r="DA34" s="540"/>
      <c r="DB34" s="540"/>
      <c r="DC34" s="540"/>
      <c r="DD34" s="540"/>
      <c r="DE34" s="540"/>
      <c r="DF34" s="540"/>
      <c r="DG34" s="540"/>
      <c r="DH34" s="540"/>
      <c r="DI34" s="540"/>
      <c r="DJ34" s="540"/>
      <c r="DK34" s="540"/>
      <c r="DL34" s="540"/>
      <c r="DM34" s="540"/>
      <c r="DN34" s="540"/>
      <c r="DO34" s="540"/>
      <c r="DP34" s="540"/>
      <c r="DQ34" s="540"/>
      <c r="DR34" s="540"/>
      <c r="DS34" s="540"/>
      <c r="DT34" s="540"/>
      <c r="DU34" s="540"/>
      <c r="DV34" s="540"/>
      <c r="DW34" s="540"/>
      <c r="DX34" s="540"/>
      <c r="DY34" s="540"/>
      <c r="DZ34" s="540"/>
      <c r="EA34" s="540"/>
      <c r="EB34" s="540"/>
      <c r="EC34" s="540"/>
      <c r="ED34" s="540"/>
      <c r="EE34" s="540"/>
      <c r="EF34" s="540"/>
      <c r="EG34" s="540"/>
      <c r="EH34" s="540"/>
      <c r="EI34" s="540"/>
      <c r="EJ34" s="540"/>
      <c r="EK34" s="540"/>
      <c r="EL34" s="540"/>
      <c r="EM34" s="540"/>
      <c r="EN34" s="540"/>
      <c r="EO34" s="540"/>
      <c r="EP34" s="540"/>
      <c r="EQ34" s="540"/>
      <c r="ER34" s="540"/>
      <c r="ES34" s="540"/>
      <c r="ET34" s="540"/>
      <c r="EU34" s="540"/>
      <c r="EV34" s="540"/>
      <c r="EW34" s="540"/>
      <c r="EX34" s="540"/>
      <c r="EY34" s="540"/>
      <c r="EZ34" s="540"/>
      <c r="FA34" s="540"/>
      <c r="FB34" s="540"/>
      <c r="FC34" s="540"/>
      <c r="FD34" s="540"/>
      <c r="FE34" s="540"/>
      <c r="FF34" s="540"/>
      <c r="FG34" s="540"/>
      <c r="FH34" s="540"/>
      <c r="FI34" s="540"/>
      <c r="FJ34" s="540"/>
      <c r="FK34" s="540"/>
      <c r="FL34" s="540"/>
      <c r="FM34" s="540"/>
      <c r="FN34" s="540"/>
      <c r="FO34" s="540"/>
      <c r="FP34" s="540"/>
      <c r="FQ34" s="540"/>
      <c r="FR34" s="540"/>
      <c r="FS34" s="540"/>
      <c r="FT34" s="540"/>
      <c r="FU34" s="540"/>
      <c r="FV34" s="540"/>
      <c r="FW34" s="540"/>
      <c r="FX34" s="540"/>
      <c r="FY34" s="540"/>
      <c r="FZ34" s="540"/>
      <c r="GA34" s="540"/>
      <c r="GB34" s="540"/>
      <c r="GC34" s="540"/>
      <c r="GD34" s="540"/>
      <c r="GE34" s="540"/>
      <c r="GF34" s="540"/>
      <c r="GG34" s="540"/>
      <c r="GH34" s="540"/>
      <c r="GI34" s="540"/>
      <c r="GJ34" s="540"/>
      <c r="GK34" s="540"/>
      <c r="GL34" s="540"/>
      <c r="GM34" s="540"/>
      <c r="GN34" s="540"/>
      <c r="GO34" s="540"/>
      <c r="GP34" s="540"/>
      <c r="GQ34" s="540"/>
      <c r="GR34" s="540"/>
      <c r="GS34" s="540"/>
      <c r="GT34" s="540"/>
      <c r="GU34" s="540"/>
      <c r="GV34" s="540"/>
      <c r="GW34" s="540"/>
      <c r="GX34" s="540"/>
      <c r="GY34" s="540"/>
      <c r="GZ34" s="540"/>
      <c r="HA34" s="540"/>
      <c r="HB34" s="540"/>
      <c r="HC34" s="540"/>
      <c r="HD34" s="540"/>
      <c r="HE34" s="540"/>
      <c r="HF34" s="540"/>
      <c r="HG34" s="540"/>
      <c r="HH34" s="540"/>
      <c r="HI34" s="540"/>
      <c r="HJ34" s="540"/>
      <c r="HK34" s="540"/>
      <c r="HL34" s="540"/>
      <c r="HM34" s="540"/>
      <c r="HN34" s="540"/>
      <c r="HO34" s="540"/>
      <c r="HP34" s="540"/>
      <c r="HQ34" s="540"/>
      <c r="HR34" s="540"/>
      <c r="HS34" s="540"/>
      <c r="HT34" s="540"/>
      <c r="HU34" s="540"/>
      <c r="HV34" s="540"/>
      <c r="HW34" s="540"/>
      <c r="HX34" s="540"/>
      <c r="HY34" s="540"/>
      <c r="HZ34" s="540"/>
      <c r="IA34" s="540"/>
      <c r="IB34" s="540"/>
      <c r="IC34" s="540"/>
      <c r="ID34" s="540"/>
      <c r="IE34" s="540"/>
      <c r="IF34" s="540"/>
      <c r="IG34" s="540"/>
      <c r="IH34" s="540"/>
      <c r="II34" s="540"/>
      <c r="IJ34" s="540"/>
      <c r="IK34" s="540"/>
      <c r="IL34" s="540"/>
      <c r="IM34" s="540"/>
      <c r="IN34" s="540"/>
      <c r="IO34" s="540"/>
    </row>
    <row r="35" spans="1:249" ht="12.75">
      <c r="A35" s="540"/>
      <c r="B35" s="541"/>
      <c r="C35" s="540"/>
      <c r="D35" s="540"/>
      <c r="E35" s="540"/>
      <c r="F35" s="540"/>
      <c r="G35" s="540"/>
      <c r="H35" s="540"/>
      <c r="I35" s="540"/>
      <c r="J35" s="540"/>
      <c r="K35" s="540"/>
      <c r="L35" s="540"/>
      <c r="M35" s="540"/>
      <c r="N35" s="540"/>
      <c r="O35" s="540"/>
      <c r="P35" s="540"/>
      <c r="Q35" s="540"/>
      <c r="R35" s="540"/>
      <c r="S35" s="540"/>
      <c r="T35" s="540"/>
      <c r="U35" s="540"/>
      <c r="V35" s="540"/>
      <c r="W35" s="540"/>
      <c r="X35" s="540"/>
      <c r="Y35" s="540"/>
      <c r="Z35" s="540"/>
      <c r="AA35" s="540"/>
      <c r="AB35" s="540"/>
      <c r="AC35" s="540"/>
      <c r="AD35" s="540"/>
      <c r="AE35" s="540"/>
      <c r="AF35" s="540"/>
      <c r="AG35" s="540"/>
      <c r="AH35" s="540"/>
      <c r="AI35" s="540"/>
      <c r="AJ35" s="540"/>
      <c r="AK35" s="540"/>
      <c r="AL35" s="540"/>
      <c r="AM35" s="540"/>
      <c r="AN35" s="540"/>
      <c r="AO35" s="540"/>
      <c r="AP35" s="540"/>
      <c r="AQ35" s="540"/>
      <c r="AR35" s="540"/>
      <c r="AS35" s="540"/>
      <c r="AT35" s="540"/>
      <c r="AU35" s="540"/>
      <c r="AV35" s="540"/>
      <c r="AW35" s="540"/>
      <c r="AX35" s="540"/>
      <c r="AY35" s="540"/>
      <c r="AZ35" s="540"/>
      <c r="BA35" s="540"/>
      <c r="BB35" s="540"/>
      <c r="BC35" s="540"/>
      <c r="BD35" s="540"/>
      <c r="BE35" s="540"/>
      <c r="BF35" s="540"/>
      <c r="BG35" s="540"/>
      <c r="BH35" s="540"/>
      <c r="BI35" s="540"/>
      <c r="BJ35" s="540"/>
      <c r="BK35" s="540"/>
      <c r="BL35" s="540"/>
      <c r="BM35" s="540"/>
      <c r="BN35" s="540"/>
      <c r="BO35" s="540"/>
      <c r="BP35" s="540"/>
      <c r="BQ35" s="540"/>
      <c r="BR35" s="540"/>
      <c r="BS35" s="540"/>
      <c r="BT35" s="540"/>
      <c r="BU35" s="540"/>
      <c r="BV35" s="540"/>
      <c r="BW35" s="540"/>
      <c r="BX35" s="540"/>
      <c r="BY35" s="540"/>
      <c r="BZ35" s="540"/>
      <c r="CA35" s="540"/>
      <c r="CB35" s="540"/>
      <c r="CC35" s="540"/>
      <c r="CD35" s="540"/>
      <c r="CE35" s="540"/>
      <c r="CF35" s="540"/>
      <c r="CG35" s="540"/>
      <c r="CH35" s="540"/>
      <c r="CI35" s="540"/>
      <c r="CJ35" s="540"/>
      <c r="CK35" s="540"/>
      <c r="CL35" s="540"/>
      <c r="CM35" s="540"/>
      <c r="CN35" s="540"/>
      <c r="CO35" s="540"/>
      <c r="CP35" s="540"/>
      <c r="CQ35" s="540"/>
      <c r="CR35" s="540"/>
      <c r="CS35" s="540"/>
      <c r="CT35" s="540"/>
      <c r="CU35" s="540"/>
      <c r="CV35" s="540"/>
      <c r="CW35" s="540"/>
      <c r="CX35" s="540"/>
      <c r="CY35" s="540"/>
      <c r="CZ35" s="540"/>
      <c r="DA35" s="540"/>
      <c r="DB35" s="540"/>
      <c r="DC35" s="540"/>
      <c r="DD35" s="540"/>
      <c r="DE35" s="540"/>
      <c r="DF35" s="540"/>
      <c r="DG35" s="540"/>
      <c r="DH35" s="540"/>
      <c r="DI35" s="540"/>
      <c r="DJ35" s="540"/>
      <c r="DK35" s="540"/>
      <c r="DL35" s="540"/>
      <c r="DM35" s="540"/>
      <c r="DN35" s="540"/>
      <c r="DO35" s="540"/>
      <c r="DP35" s="540"/>
      <c r="DQ35" s="540"/>
      <c r="DR35" s="540"/>
      <c r="DS35" s="540"/>
      <c r="DT35" s="540"/>
      <c r="DU35" s="540"/>
      <c r="DV35" s="540"/>
      <c r="DW35" s="540"/>
      <c r="DX35" s="540"/>
      <c r="DY35" s="540"/>
      <c r="DZ35" s="540"/>
      <c r="EA35" s="540"/>
      <c r="EB35" s="540"/>
      <c r="EC35" s="540"/>
      <c r="ED35" s="540"/>
      <c r="EE35" s="540"/>
      <c r="EF35" s="540"/>
      <c r="EG35" s="540"/>
      <c r="EH35" s="540"/>
      <c r="EI35" s="540"/>
      <c r="EJ35" s="540"/>
      <c r="EK35" s="540"/>
      <c r="EL35" s="540"/>
      <c r="EM35" s="540"/>
      <c r="EN35" s="540"/>
      <c r="EO35" s="540"/>
      <c r="EP35" s="540"/>
      <c r="EQ35" s="540"/>
      <c r="ER35" s="540"/>
      <c r="ES35" s="540"/>
      <c r="ET35" s="540"/>
      <c r="EU35" s="540"/>
      <c r="EV35" s="540"/>
      <c r="EW35" s="540"/>
      <c r="EX35" s="540"/>
      <c r="EY35" s="540"/>
      <c r="EZ35" s="540"/>
      <c r="FA35" s="540"/>
      <c r="FB35" s="540"/>
      <c r="FC35" s="540"/>
      <c r="FD35" s="540"/>
      <c r="FE35" s="540"/>
      <c r="FF35" s="540"/>
      <c r="FG35" s="540"/>
      <c r="FH35" s="540"/>
      <c r="FI35" s="540"/>
      <c r="FJ35" s="540"/>
      <c r="FK35" s="540"/>
      <c r="FL35" s="540"/>
      <c r="FM35" s="540"/>
      <c r="FN35" s="540"/>
      <c r="FO35" s="540"/>
      <c r="FP35" s="540"/>
      <c r="FQ35" s="540"/>
      <c r="FR35" s="540"/>
      <c r="FS35" s="540"/>
      <c r="FT35" s="540"/>
      <c r="FU35" s="540"/>
      <c r="FV35" s="540"/>
      <c r="FW35" s="540"/>
      <c r="FX35" s="540"/>
      <c r="FY35" s="540"/>
      <c r="FZ35" s="540"/>
      <c r="GA35" s="540"/>
      <c r="GB35" s="540"/>
      <c r="GC35" s="540"/>
      <c r="GD35" s="540"/>
      <c r="GE35" s="540"/>
      <c r="GF35" s="540"/>
      <c r="GG35" s="540"/>
      <c r="GH35" s="540"/>
      <c r="GI35" s="540"/>
      <c r="GJ35" s="540"/>
      <c r="GK35" s="540"/>
      <c r="GL35" s="540"/>
      <c r="GM35" s="540"/>
      <c r="GN35" s="540"/>
      <c r="GO35" s="540"/>
      <c r="GP35" s="540"/>
      <c r="GQ35" s="540"/>
      <c r="GR35" s="540"/>
      <c r="GS35" s="540"/>
      <c r="GT35" s="540"/>
      <c r="GU35" s="540"/>
      <c r="GV35" s="540"/>
      <c r="GW35" s="540"/>
      <c r="GX35" s="540"/>
      <c r="GY35" s="540"/>
      <c r="GZ35" s="540"/>
      <c r="HA35" s="540"/>
      <c r="HB35" s="540"/>
      <c r="HC35" s="540"/>
      <c r="HD35" s="540"/>
      <c r="HE35" s="540"/>
      <c r="HF35" s="540"/>
      <c r="HG35" s="540"/>
      <c r="HH35" s="540"/>
      <c r="HI35" s="540"/>
      <c r="HJ35" s="540"/>
      <c r="HK35" s="540"/>
      <c r="HL35" s="540"/>
      <c r="HM35" s="540"/>
      <c r="HN35" s="540"/>
      <c r="HO35" s="540"/>
      <c r="HP35" s="540"/>
      <c r="HQ35" s="540"/>
      <c r="HR35" s="540"/>
      <c r="HS35" s="540"/>
      <c r="HT35" s="540"/>
      <c r="HU35" s="540"/>
      <c r="HV35" s="540"/>
      <c r="HW35" s="540"/>
      <c r="HX35" s="540"/>
      <c r="HY35" s="540"/>
      <c r="HZ35" s="540"/>
      <c r="IA35" s="540"/>
      <c r="IB35" s="540"/>
      <c r="IC35" s="540"/>
      <c r="ID35" s="540"/>
      <c r="IE35" s="540"/>
      <c r="IF35" s="540"/>
      <c r="IG35" s="540"/>
      <c r="IH35" s="540"/>
      <c r="II35" s="540"/>
      <c r="IJ35" s="540"/>
      <c r="IK35" s="540"/>
      <c r="IL35" s="540"/>
      <c r="IM35" s="540"/>
      <c r="IN35" s="540"/>
      <c r="IO35" s="540"/>
    </row>
    <row r="36" spans="1:249">
      <c r="A36" s="540"/>
      <c r="B36" s="541"/>
      <c r="D36" s="540" t="s">
        <v>327</v>
      </c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540"/>
      <c r="P36" s="540"/>
      <c r="Q36" s="540"/>
      <c r="R36" s="540"/>
      <c r="S36" s="540"/>
      <c r="T36" s="540"/>
      <c r="U36" s="540"/>
      <c r="V36" s="540"/>
      <c r="W36" s="540"/>
      <c r="X36" s="540"/>
      <c r="Y36" s="540"/>
      <c r="Z36" s="540"/>
      <c r="AA36" s="540"/>
      <c r="AB36" s="540"/>
      <c r="AC36" s="540"/>
      <c r="AD36" s="540"/>
      <c r="AE36" s="540"/>
      <c r="AF36" s="540"/>
      <c r="AG36" s="540"/>
      <c r="AH36" s="540"/>
      <c r="AI36" s="540"/>
      <c r="AJ36" s="540"/>
      <c r="AK36" s="540"/>
      <c r="AL36" s="540"/>
      <c r="AM36" s="540"/>
      <c r="AN36" s="540"/>
      <c r="AO36" s="540"/>
      <c r="AP36" s="540"/>
      <c r="AQ36" s="540"/>
      <c r="AR36" s="540"/>
      <c r="AS36" s="540"/>
      <c r="AT36" s="540"/>
      <c r="AU36" s="540"/>
      <c r="AV36" s="540"/>
      <c r="AW36" s="540"/>
      <c r="AX36" s="540"/>
      <c r="AY36" s="540"/>
      <c r="AZ36" s="540"/>
      <c r="BA36" s="540"/>
      <c r="BB36" s="540"/>
      <c r="BC36" s="540"/>
      <c r="BD36" s="540"/>
      <c r="BE36" s="540"/>
      <c r="BF36" s="540"/>
      <c r="BG36" s="540"/>
      <c r="BH36" s="540"/>
      <c r="BI36" s="540"/>
      <c r="BJ36" s="540"/>
      <c r="BK36" s="540"/>
      <c r="BL36" s="540"/>
      <c r="BM36" s="540"/>
      <c r="BN36" s="540"/>
      <c r="BO36" s="540"/>
      <c r="BP36" s="540"/>
      <c r="BQ36" s="540"/>
      <c r="BR36" s="540"/>
      <c r="BS36" s="540"/>
      <c r="BT36" s="540"/>
      <c r="BU36" s="540"/>
      <c r="BV36" s="540"/>
      <c r="BW36" s="540"/>
      <c r="BX36" s="540"/>
      <c r="BY36" s="540"/>
      <c r="BZ36" s="540"/>
      <c r="CA36" s="540"/>
      <c r="CB36" s="540"/>
      <c r="CC36" s="540"/>
      <c r="CD36" s="540"/>
      <c r="CE36" s="540"/>
      <c r="CF36" s="540"/>
      <c r="CG36" s="540"/>
      <c r="CH36" s="540"/>
      <c r="CI36" s="540"/>
      <c r="CJ36" s="540"/>
      <c r="CK36" s="540"/>
      <c r="CL36" s="540"/>
      <c r="CM36" s="540"/>
      <c r="CN36" s="540"/>
      <c r="CO36" s="540"/>
      <c r="CP36" s="540"/>
      <c r="CQ36" s="540"/>
      <c r="CR36" s="540"/>
      <c r="CS36" s="540"/>
      <c r="CT36" s="540"/>
      <c r="CU36" s="540"/>
      <c r="CV36" s="540"/>
      <c r="CW36" s="540"/>
      <c r="CX36" s="540"/>
      <c r="CY36" s="540"/>
      <c r="CZ36" s="540"/>
      <c r="DA36" s="540"/>
      <c r="DB36" s="540"/>
      <c r="DC36" s="540"/>
      <c r="DD36" s="540"/>
      <c r="DE36" s="540"/>
      <c r="DF36" s="540"/>
      <c r="DG36" s="540"/>
      <c r="DH36" s="540"/>
      <c r="DI36" s="540"/>
      <c r="DJ36" s="540"/>
      <c r="DK36" s="540"/>
      <c r="DL36" s="540"/>
      <c r="DM36" s="540"/>
      <c r="DN36" s="540"/>
      <c r="DO36" s="540"/>
      <c r="DP36" s="540"/>
      <c r="DQ36" s="540"/>
      <c r="DR36" s="540"/>
      <c r="DS36" s="540"/>
      <c r="DT36" s="540"/>
      <c r="DU36" s="540"/>
      <c r="DV36" s="540"/>
      <c r="DW36" s="540"/>
      <c r="DX36" s="540"/>
      <c r="DY36" s="540"/>
      <c r="DZ36" s="540"/>
      <c r="EA36" s="540"/>
      <c r="EB36" s="540"/>
      <c r="EC36" s="540"/>
      <c r="ED36" s="540"/>
      <c r="EE36" s="540"/>
      <c r="EF36" s="540"/>
      <c r="EG36" s="540"/>
      <c r="EH36" s="540"/>
      <c r="EI36" s="540"/>
      <c r="EJ36" s="540"/>
      <c r="EK36" s="540"/>
      <c r="EL36" s="540"/>
      <c r="EM36" s="540"/>
      <c r="EN36" s="540"/>
      <c r="EO36" s="540"/>
      <c r="EP36" s="540"/>
      <c r="EQ36" s="540"/>
      <c r="ER36" s="540"/>
      <c r="ES36" s="540"/>
      <c r="ET36" s="540"/>
      <c r="EU36" s="540"/>
      <c r="EV36" s="540"/>
      <c r="EW36" s="540"/>
      <c r="EX36" s="540"/>
      <c r="EY36" s="540"/>
      <c r="EZ36" s="540"/>
      <c r="FA36" s="540"/>
      <c r="FB36" s="540"/>
      <c r="FC36" s="540"/>
      <c r="FD36" s="540"/>
      <c r="FE36" s="540"/>
      <c r="FF36" s="540"/>
      <c r="FG36" s="540"/>
      <c r="FH36" s="540"/>
      <c r="FI36" s="540"/>
      <c r="FJ36" s="540"/>
      <c r="FK36" s="540"/>
      <c r="FL36" s="540"/>
      <c r="FM36" s="540"/>
      <c r="FN36" s="540"/>
      <c r="FO36" s="540"/>
      <c r="FP36" s="540"/>
      <c r="FQ36" s="540"/>
      <c r="FR36" s="540"/>
      <c r="FS36" s="540"/>
      <c r="FT36" s="540"/>
      <c r="FU36" s="540"/>
      <c r="FV36" s="540"/>
      <c r="FW36" s="540"/>
      <c r="FX36" s="540"/>
      <c r="FY36" s="540"/>
      <c r="FZ36" s="540"/>
      <c r="GA36" s="540"/>
      <c r="GB36" s="540"/>
      <c r="GC36" s="540"/>
      <c r="GD36" s="540"/>
      <c r="GE36" s="540"/>
      <c r="GF36" s="540"/>
      <c r="GG36" s="540"/>
      <c r="GH36" s="540"/>
      <c r="GI36" s="540"/>
      <c r="GJ36" s="540"/>
      <c r="GK36" s="540"/>
      <c r="GL36" s="540"/>
      <c r="GM36" s="540"/>
      <c r="GN36" s="540"/>
      <c r="GO36" s="540"/>
      <c r="GP36" s="540"/>
      <c r="GQ36" s="540"/>
      <c r="GR36" s="540"/>
      <c r="GS36" s="540"/>
      <c r="GT36" s="540"/>
      <c r="GU36" s="540"/>
      <c r="GV36" s="540"/>
      <c r="GW36" s="540"/>
      <c r="GX36" s="540"/>
      <c r="GY36" s="540"/>
      <c r="GZ36" s="540"/>
      <c r="HA36" s="540"/>
      <c r="HB36" s="540"/>
      <c r="HC36" s="540"/>
      <c r="HD36" s="540"/>
      <c r="HE36" s="540"/>
      <c r="HF36" s="540"/>
      <c r="HG36" s="540"/>
      <c r="HH36" s="540"/>
      <c r="HI36" s="540"/>
      <c r="HJ36" s="540"/>
      <c r="HK36" s="540"/>
      <c r="HL36" s="540"/>
      <c r="HM36" s="540"/>
      <c r="HN36" s="540"/>
      <c r="HO36" s="540"/>
      <c r="HP36" s="540"/>
      <c r="HQ36" s="540"/>
      <c r="HR36" s="540"/>
      <c r="HS36" s="540"/>
      <c r="HT36" s="540"/>
      <c r="HU36" s="540"/>
      <c r="HV36" s="540"/>
      <c r="HW36" s="540"/>
      <c r="HX36" s="540"/>
      <c r="HY36" s="540"/>
      <c r="HZ36" s="540"/>
      <c r="IA36" s="540"/>
      <c r="IB36" s="540"/>
      <c r="IC36" s="540"/>
      <c r="ID36" s="540"/>
      <c r="IE36" s="540"/>
      <c r="IF36" s="540"/>
      <c r="IG36" s="540"/>
      <c r="IH36" s="540"/>
      <c r="II36" s="540"/>
      <c r="IJ36" s="540"/>
      <c r="IK36" s="540"/>
      <c r="IL36" s="540"/>
      <c r="IM36" s="540"/>
      <c r="IN36" s="540"/>
      <c r="IO36" s="540"/>
    </row>
    <row r="37" spans="1:249" ht="14.25" customHeight="1">
      <c r="A37" s="539"/>
      <c r="B37" s="541"/>
      <c r="D37" s="544"/>
      <c r="E37" s="545" t="s">
        <v>199</v>
      </c>
      <c r="F37" s="545" t="s">
        <v>328</v>
      </c>
      <c r="G37" s="484" t="s">
        <v>206</v>
      </c>
      <c r="H37" s="424"/>
      <c r="I37" s="540"/>
      <c r="J37" s="540"/>
      <c r="K37" s="540"/>
      <c r="L37" s="540"/>
      <c r="M37" s="540"/>
      <c r="N37" s="540"/>
      <c r="O37" s="540"/>
      <c r="P37" s="540"/>
      <c r="Q37" s="540"/>
      <c r="R37" s="540"/>
      <c r="S37" s="540"/>
      <c r="T37" s="540"/>
      <c r="U37" s="540"/>
      <c r="V37" s="540"/>
      <c r="W37" s="540"/>
      <c r="X37" s="540"/>
      <c r="Y37" s="540"/>
      <c r="Z37" s="540"/>
      <c r="AA37" s="540"/>
      <c r="AB37" s="540"/>
      <c r="AC37" s="540"/>
      <c r="AD37" s="540"/>
      <c r="AE37" s="540"/>
      <c r="AF37" s="540"/>
      <c r="AG37" s="540"/>
      <c r="AH37" s="540"/>
      <c r="AI37" s="540"/>
      <c r="AJ37" s="540"/>
      <c r="AK37" s="540"/>
      <c r="AL37" s="540"/>
      <c r="AM37" s="540"/>
      <c r="AN37" s="540"/>
      <c r="AO37" s="540"/>
      <c r="AP37" s="540"/>
      <c r="AQ37" s="540"/>
      <c r="AR37" s="540"/>
      <c r="AS37" s="540"/>
      <c r="AT37" s="540"/>
      <c r="AU37" s="540"/>
      <c r="AV37" s="540"/>
      <c r="AW37" s="540"/>
      <c r="AX37" s="540"/>
      <c r="AY37" s="540"/>
      <c r="AZ37" s="540"/>
      <c r="BA37" s="540"/>
      <c r="BB37" s="540"/>
      <c r="BC37" s="540"/>
      <c r="BD37" s="540"/>
      <c r="BE37" s="540"/>
      <c r="BF37" s="540"/>
      <c r="BG37" s="540"/>
      <c r="BH37" s="540"/>
      <c r="BI37" s="540"/>
      <c r="BJ37" s="540"/>
      <c r="BK37" s="540"/>
      <c r="BL37" s="540"/>
      <c r="BM37" s="540"/>
      <c r="BN37" s="540"/>
      <c r="BO37" s="540"/>
      <c r="BP37" s="540"/>
      <c r="BQ37" s="540"/>
      <c r="BR37" s="540"/>
      <c r="BS37" s="540"/>
      <c r="BT37" s="540"/>
      <c r="BU37" s="540"/>
      <c r="BV37" s="540"/>
      <c r="BW37" s="540"/>
      <c r="BX37" s="540"/>
      <c r="BY37" s="540"/>
      <c r="BZ37" s="540"/>
      <c r="CA37" s="540"/>
      <c r="CB37" s="540"/>
      <c r="CC37" s="540"/>
      <c r="CD37" s="540"/>
      <c r="CE37" s="540"/>
      <c r="CF37" s="540"/>
      <c r="CG37" s="540"/>
      <c r="CH37" s="540"/>
      <c r="CI37" s="540"/>
      <c r="CJ37" s="540"/>
      <c r="CK37" s="540"/>
      <c r="CL37" s="540"/>
      <c r="CM37" s="540"/>
      <c r="CN37" s="540"/>
      <c r="CO37" s="540"/>
      <c r="CP37" s="540"/>
      <c r="CQ37" s="540"/>
      <c r="CR37" s="540"/>
      <c r="CS37" s="540"/>
      <c r="CT37" s="540"/>
      <c r="CU37" s="540"/>
      <c r="CV37" s="540"/>
      <c r="CW37" s="540"/>
      <c r="CX37" s="540"/>
      <c r="CY37" s="540"/>
      <c r="CZ37" s="540"/>
      <c r="DA37" s="540"/>
      <c r="DB37" s="540"/>
      <c r="DC37" s="540"/>
      <c r="DD37" s="540"/>
      <c r="DE37" s="540"/>
      <c r="DF37" s="540"/>
      <c r="DG37" s="540"/>
      <c r="DH37" s="540"/>
      <c r="DI37" s="540"/>
      <c r="DJ37" s="540"/>
      <c r="DK37" s="540"/>
      <c r="DL37" s="540"/>
      <c r="DM37" s="540"/>
      <c r="DN37" s="540"/>
      <c r="DO37" s="540"/>
      <c r="DP37" s="540"/>
      <c r="DQ37" s="540"/>
      <c r="DR37" s="540"/>
      <c r="DS37" s="540"/>
      <c r="DT37" s="540"/>
      <c r="DU37" s="540"/>
      <c r="DV37" s="540"/>
      <c r="DW37" s="540"/>
      <c r="DX37" s="540"/>
      <c r="DY37" s="540"/>
      <c r="DZ37" s="540"/>
      <c r="EA37" s="540"/>
      <c r="EB37" s="540"/>
      <c r="EC37" s="540"/>
      <c r="ED37" s="540"/>
      <c r="EE37" s="540"/>
      <c r="EF37" s="540"/>
      <c r="EG37" s="540"/>
      <c r="EH37" s="540"/>
      <c r="EI37" s="540"/>
      <c r="EJ37" s="540"/>
      <c r="EK37" s="540"/>
      <c r="EL37" s="540"/>
      <c r="EM37" s="540"/>
      <c r="EN37" s="540"/>
      <c r="EO37" s="540"/>
      <c r="EP37" s="540"/>
      <c r="EQ37" s="540"/>
      <c r="ER37" s="540"/>
      <c r="ES37" s="540"/>
      <c r="ET37" s="540"/>
      <c r="EU37" s="540"/>
      <c r="EV37" s="540"/>
      <c r="EW37" s="540"/>
      <c r="EX37" s="540"/>
      <c r="EY37" s="540"/>
      <c r="EZ37" s="540"/>
      <c r="FA37" s="540"/>
      <c r="FB37" s="540"/>
      <c r="FC37" s="540"/>
      <c r="FD37" s="540"/>
      <c r="FE37" s="540"/>
      <c r="FF37" s="540"/>
      <c r="FG37" s="540"/>
      <c r="FH37" s="540"/>
      <c r="FI37" s="540"/>
      <c r="FJ37" s="540"/>
      <c r="FK37" s="540"/>
      <c r="FL37" s="540"/>
      <c r="FM37" s="540"/>
      <c r="FN37" s="540"/>
      <c r="FO37" s="540"/>
      <c r="FP37" s="540"/>
      <c r="FQ37" s="540"/>
      <c r="FR37" s="540"/>
      <c r="FS37" s="540"/>
      <c r="FT37" s="540"/>
      <c r="FU37" s="540"/>
      <c r="FV37" s="540"/>
      <c r="FW37" s="540"/>
      <c r="FX37" s="540"/>
      <c r="FY37" s="540"/>
      <c r="FZ37" s="540"/>
      <c r="GA37" s="540"/>
      <c r="GB37" s="540"/>
      <c r="GC37" s="540"/>
      <c r="GD37" s="540"/>
      <c r="GE37" s="540"/>
      <c r="GF37" s="540"/>
      <c r="GG37" s="540"/>
      <c r="GH37" s="540"/>
      <c r="GI37" s="540"/>
      <c r="GJ37" s="540"/>
      <c r="GK37" s="540"/>
      <c r="GL37" s="540"/>
      <c r="GM37" s="540"/>
      <c r="GN37" s="540"/>
      <c r="GO37" s="540"/>
      <c r="GP37" s="540"/>
      <c r="GQ37" s="540"/>
      <c r="GR37" s="540"/>
      <c r="GS37" s="540"/>
      <c r="GT37" s="540"/>
      <c r="GU37" s="540"/>
      <c r="GV37" s="540"/>
      <c r="GW37" s="540"/>
      <c r="GX37" s="540"/>
      <c r="GY37" s="540"/>
      <c r="GZ37" s="540"/>
      <c r="HA37" s="540"/>
      <c r="HB37" s="540"/>
      <c r="HC37" s="540"/>
      <c r="HD37" s="540"/>
      <c r="HE37" s="540"/>
      <c r="HF37" s="540"/>
      <c r="HG37" s="540"/>
      <c r="HH37" s="540"/>
      <c r="HI37" s="540"/>
      <c r="HJ37" s="540"/>
      <c r="HK37" s="540"/>
      <c r="HL37" s="540"/>
      <c r="HM37" s="540"/>
      <c r="HN37" s="540"/>
      <c r="HO37" s="540"/>
      <c r="HP37" s="540"/>
      <c r="HQ37" s="540"/>
      <c r="HR37" s="540"/>
      <c r="HS37" s="540"/>
      <c r="HT37" s="540"/>
      <c r="HU37" s="540"/>
      <c r="HV37" s="540"/>
      <c r="HW37" s="540"/>
      <c r="HX37" s="540"/>
      <c r="HY37" s="540"/>
      <c r="HZ37" s="540"/>
      <c r="IA37" s="540"/>
      <c r="IB37" s="540"/>
      <c r="IC37" s="540"/>
      <c r="ID37" s="540"/>
      <c r="IE37" s="540"/>
      <c r="IF37" s="540"/>
      <c r="IG37" s="540"/>
      <c r="IH37" s="540"/>
      <c r="II37" s="540"/>
      <c r="IJ37" s="540"/>
      <c r="IK37" s="540"/>
      <c r="IL37" s="540"/>
      <c r="IM37" s="540"/>
      <c r="IN37" s="504"/>
      <c r="IO37" s="504"/>
    </row>
    <row r="38" spans="1:249" ht="14.25" hidden="1" customHeight="1">
      <c r="A38" s="539"/>
      <c r="B38" s="541"/>
      <c r="D38" s="731" t="s">
        <v>212</v>
      </c>
      <c r="E38" s="546">
        <f>60000*1.5</f>
        <v>90000</v>
      </c>
      <c r="F38" s="547">
        <v>20870</v>
      </c>
      <c r="G38" s="548">
        <f>2.5*1.5*F38</f>
        <v>78262.5</v>
      </c>
      <c r="H38" s="549"/>
      <c r="I38" s="540"/>
      <c r="J38" s="540"/>
      <c r="K38" s="540"/>
      <c r="L38" s="540"/>
      <c r="M38" s="540"/>
      <c r="N38" s="540"/>
      <c r="O38" s="540"/>
      <c r="P38" s="540"/>
      <c r="Q38" s="540"/>
      <c r="R38" s="540"/>
      <c r="S38" s="540"/>
      <c r="T38" s="540"/>
      <c r="U38" s="540"/>
      <c r="V38" s="540"/>
      <c r="W38" s="540"/>
      <c r="X38" s="540"/>
      <c r="Y38" s="540"/>
      <c r="Z38" s="540"/>
      <c r="AA38" s="540"/>
      <c r="AB38" s="540"/>
      <c r="AC38" s="540"/>
      <c r="AD38" s="540"/>
      <c r="AE38" s="540"/>
      <c r="AF38" s="540"/>
      <c r="AG38" s="540"/>
      <c r="AH38" s="540"/>
      <c r="AI38" s="540"/>
      <c r="AJ38" s="540"/>
      <c r="AK38" s="540"/>
      <c r="AL38" s="540"/>
      <c r="AM38" s="540"/>
      <c r="AN38" s="540"/>
      <c r="AO38" s="540"/>
      <c r="AP38" s="540"/>
      <c r="AQ38" s="540"/>
      <c r="AR38" s="540"/>
      <c r="AS38" s="540"/>
      <c r="AT38" s="540"/>
      <c r="AU38" s="540"/>
      <c r="AV38" s="540"/>
      <c r="AW38" s="540"/>
      <c r="AX38" s="540"/>
      <c r="AY38" s="540"/>
      <c r="AZ38" s="540"/>
      <c r="BA38" s="540"/>
      <c r="BB38" s="540"/>
      <c r="BC38" s="540"/>
      <c r="BD38" s="540"/>
      <c r="BE38" s="540"/>
      <c r="BF38" s="540"/>
      <c r="BG38" s="540"/>
      <c r="BH38" s="540"/>
      <c r="BI38" s="540"/>
      <c r="BJ38" s="540"/>
      <c r="BK38" s="540"/>
      <c r="BL38" s="540"/>
      <c r="BM38" s="540"/>
      <c r="BN38" s="540"/>
      <c r="BO38" s="540"/>
      <c r="BP38" s="540"/>
      <c r="BQ38" s="540"/>
      <c r="BR38" s="540"/>
      <c r="BS38" s="540"/>
      <c r="BT38" s="540"/>
      <c r="BU38" s="540"/>
      <c r="BV38" s="540"/>
      <c r="BW38" s="540"/>
      <c r="BX38" s="540"/>
      <c r="BY38" s="540"/>
      <c r="BZ38" s="540"/>
      <c r="CA38" s="540"/>
      <c r="CB38" s="540"/>
      <c r="CC38" s="540"/>
      <c r="CD38" s="540"/>
      <c r="CE38" s="540"/>
      <c r="CF38" s="540"/>
      <c r="CG38" s="540"/>
      <c r="CH38" s="540"/>
      <c r="CI38" s="540"/>
      <c r="CJ38" s="540"/>
      <c r="CK38" s="540"/>
      <c r="CL38" s="540"/>
      <c r="CM38" s="540"/>
      <c r="CN38" s="540"/>
      <c r="CO38" s="540"/>
      <c r="CP38" s="540"/>
      <c r="CQ38" s="540"/>
      <c r="CR38" s="540"/>
      <c r="CS38" s="540"/>
      <c r="CT38" s="540"/>
      <c r="CU38" s="540"/>
      <c r="CV38" s="540"/>
      <c r="CW38" s="540"/>
      <c r="CX38" s="540"/>
      <c r="CY38" s="540"/>
      <c r="CZ38" s="540"/>
      <c r="DA38" s="540"/>
      <c r="DB38" s="540"/>
      <c r="DC38" s="540"/>
      <c r="DD38" s="540"/>
      <c r="DE38" s="540"/>
      <c r="DF38" s="540"/>
      <c r="DG38" s="540"/>
      <c r="DH38" s="540"/>
      <c r="DI38" s="540"/>
      <c r="DJ38" s="540"/>
      <c r="DK38" s="540"/>
      <c r="DL38" s="540"/>
      <c r="DM38" s="540"/>
      <c r="DN38" s="540"/>
      <c r="DO38" s="540"/>
      <c r="DP38" s="540"/>
      <c r="DQ38" s="540"/>
      <c r="DR38" s="540"/>
      <c r="DS38" s="540"/>
      <c r="DT38" s="540"/>
      <c r="DU38" s="540"/>
      <c r="DV38" s="540"/>
      <c r="DW38" s="540"/>
      <c r="DX38" s="540"/>
      <c r="DY38" s="540"/>
      <c r="DZ38" s="540"/>
      <c r="EA38" s="540"/>
      <c r="EB38" s="540"/>
      <c r="EC38" s="540"/>
      <c r="ED38" s="540"/>
      <c r="EE38" s="540"/>
      <c r="EF38" s="540"/>
      <c r="EG38" s="540"/>
      <c r="EH38" s="540"/>
      <c r="EI38" s="540"/>
      <c r="EJ38" s="540"/>
      <c r="EK38" s="540"/>
      <c r="EL38" s="540"/>
      <c r="EM38" s="540"/>
      <c r="EN38" s="540"/>
      <c r="EO38" s="540"/>
      <c r="EP38" s="540"/>
      <c r="EQ38" s="540"/>
      <c r="ER38" s="540"/>
      <c r="ES38" s="540"/>
      <c r="ET38" s="540"/>
      <c r="EU38" s="540"/>
      <c r="EV38" s="540"/>
      <c r="EW38" s="540"/>
      <c r="EX38" s="540"/>
      <c r="EY38" s="540"/>
      <c r="EZ38" s="540"/>
      <c r="FA38" s="540"/>
      <c r="FB38" s="540"/>
      <c r="FC38" s="540"/>
      <c r="FD38" s="540"/>
      <c r="FE38" s="540"/>
      <c r="FF38" s="540"/>
      <c r="FG38" s="540"/>
      <c r="FH38" s="540"/>
      <c r="FI38" s="540"/>
      <c r="FJ38" s="540"/>
      <c r="FK38" s="540"/>
      <c r="FL38" s="540"/>
      <c r="FM38" s="540"/>
      <c r="FN38" s="540"/>
      <c r="FO38" s="540"/>
      <c r="FP38" s="540"/>
      <c r="FQ38" s="540"/>
      <c r="FR38" s="540"/>
      <c r="FS38" s="540"/>
      <c r="FT38" s="540"/>
      <c r="FU38" s="540"/>
      <c r="FV38" s="540"/>
      <c r="FW38" s="540"/>
      <c r="FX38" s="540"/>
      <c r="FY38" s="540"/>
      <c r="FZ38" s="540"/>
      <c r="GA38" s="540"/>
      <c r="GB38" s="540"/>
      <c r="GC38" s="540"/>
      <c r="GD38" s="540"/>
      <c r="GE38" s="540"/>
      <c r="GF38" s="540"/>
      <c r="GG38" s="540"/>
      <c r="GH38" s="540"/>
      <c r="GI38" s="540"/>
      <c r="GJ38" s="540"/>
      <c r="GK38" s="540"/>
      <c r="GL38" s="540"/>
      <c r="GM38" s="540"/>
      <c r="GN38" s="540"/>
      <c r="GO38" s="540"/>
      <c r="GP38" s="540"/>
      <c r="GQ38" s="540"/>
      <c r="GR38" s="540"/>
      <c r="GS38" s="540"/>
      <c r="GT38" s="540"/>
      <c r="GU38" s="540"/>
      <c r="GV38" s="540"/>
      <c r="GW38" s="540"/>
      <c r="GX38" s="540"/>
      <c r="GY38" s="540"/>
      <c r="GZ38" s="540"/>
      <c r="HA38" s="540"/>
      <c r="HB38" s="540"/>
      <c r="HC38" s="540"/>
      <c r="HD38" s="540"/>
      <c r="HE38" s="540"/>
      <c r="HF38" s="540"/>
      <c r="HG38" s="540"/>
      <c r="HH38" s="540"/>
      <c r="HI38" s="540"/>
      <c r="HJ38" s="540"/>
      <c r="HK38" s="540"/>
      <c r="HL38" s="540"/>
      <c r="HM38" s="540"/>
      <c r="HN38" s="540"/>
      <c r="HO38" s="540"/>
      <c r="HP38" s="540"/>
      <c r="HQ38" s="540"/>
      <c r="HR38" s="540"/>
      <c r="HS38" s="540"/>
      <c r="HT38" s="540"/>
      <c r="HU38" s="540"/>
      <c r="HV38" s="540"/>
      <c r="HW38" s="540"/>
      <c r="HX38" s="540"/>
      <c r="HY38" s="540"/>
      <c r="HZ38" s="540"/>
      <c r="IA38" s="540"/>
      <c r="IB38" s="540"/>
      <c r="IC38" s="540"/>
      <c r="ID38" s="540"/>
      <c r="IE38" s="540"/>
      <c r="IF38" s="540"/>
      <c r="IG38" s="540"/>
      <c r="IH38" s="540"/>
      <c r="II38" s="540"/>
      <c r="IJ38" s="540"/>
      <c r="IK38" s="540"/>
      <c r="IL38" s="540"/>
      <c r="IM38" s="540"/>
      <c r="IN38" s="504"/>
      <c r="IO38" s="504"/>
    </row>
    <row r="39" spans="1:249" ht="14.25" hidden="1" customHeight="1">
      <c r="A39" s="539"/>
      <c r="B39" s="541"/>
      <c r="D39" s="731"/>
      <c r="E39" s="546"/>
      <c r="F39" s="550"/>
      <c r="G39" s="551"/>
      <c r="H39" s="549"/>
      <c r="I39" s="540"/>
      <c r="J39" s="540"/>
      <c r="K39" s="540"/>
      <c r="L39" s="540"/>
      <c r="M39" s="540"/>
      <c r="N39" s="540"/>
      <c r="O39" s="540"/>
      <c r="P39" s="540"/>
      <c r="Q39" s="540"/>
      <c r="R39" s="540"/>
      <c r="S39" s="540"/>
      <c r="T39" s="540"/>
      <c r="U39" s="540"/>
      <c r="V39" s="540"/>
      <c r="W39" s="540"/>
      <c r="X39" s="540"/>
      <c r="Y39" s="540"/>
      <c r="Z39" s="540"/>
      <c r="AA39" s="540"/>
      <c r="AB39" s="540"/>
      <c r="AC39" s="540"/>
      <c r="AD39" s="540"/>
      <c r="AE39" s="540"/>
      <c r="AF39" s="540"/>
      <c r="AG39" s="540"/>
      <c r="AH39" s="540"/>
      <c r="AI39" s="540"/>
      <c r="AJ39" s="540"/>
      <c r="AK39" s="540"/>
      <c r="AL39" s="540"/>
      <c r="AM39" s="540"/>
      <c r="AN39" s="540"/>
      <c r="AO39" s="540"/>
      <c r="AP39" s="540"/>
      <c r="AQ39" s="540"/>
      <c r="AR39" s="540"/>
      <c r="AS39" s="540"/>
      <c r="AT39" s="540"/>
      <c r="AU39" s="540"/>
      <c r="AV39" s="540"/>
      <c r="AW39" s="540"/>
      <c r="AX39" s="540"/>
      <c r="AY39" s="540"/>
      <c r="AZ39" s="540"/>
      <c r="BA39" s="540"/>
      <c r="BB39" s="540"/>
      <c r="BC39" s="540"/>
      <c r="BD39" s="540"/>
      <c r="BE39" s="540"/>
      <c r="BF39" s="540"/>
      <c r="BG39" s="540"/>
      <c r="BH39" s="540"/>
      <c r="BI39" s="540"/>
      <c r="BJ39" s="540"/>
      <c r="BK39" s="540"/>
      <c r="BL39" s="540"/>
      <c r="BM39" s="540"/>
      <c r="BN39" s="540"/>
      <c r="BO39" s="540"/>
      <c r="BP39" s="540"/>
      <c r="BQ39" s="540"/>
      <c r="BR39" s="540"/>
      <c r="BS39" s="540"/>
      <c r="BT39" s="540"/>
      <c r="BU39" s="540"/>
      <c r="BV39" s="540"/>
      <c r="BW39" s="540"/>
      <c r="BX39" s="540"/>
      <c r="BY39" s="540"/>
      <c r="BZ39" s="540"/>
      <c r="CA39" s="540"/>
      <c r="CB39" s="540"/>
      <c r="CC39" s="540"/>
      <c r="CD39" s="540"/>
      <c r="CE39" s="540"/>
      <c r="CF39" s="540"/>
      <c r="CG39" s="540"/>
      <c r="CH39" s="540"/>
      <c r="CI39" s="540"/>
      <c r="CJ39" s="540"/>
      <c r="CK39" s="540"/>
      <c r="CL39" s="540"/>
      <c r="CM39" s="540"/>
      <c r="CN39" s="540"/>
      <c r="CO39" s="540"/>
      <c r="CP39" s="540"/>
      <c r="CQ39" s="540"/>
      <c r="CR39" s="540"/>
      <c r="CS39" s="540"/>
      <c r="CT39" s="540"/>
      <c r="CU39" s="540"/>
      <c r="CV39" s="540"/>
      <c r="CW39" s="540"/>
      <c r="CX39" s="540"/>
      <c r="CY39" s="540"/>
      <c r="CZ39" s="540"/>
      <c r="DA39" s="540"/>
      <c r="DB39" s="540"/>
      <c r="DC39" s="540"/>
      <c r="DD39" s="540"/>
      <c r="DE39" s="540"/>
      <c r="DF39" s="540"/>
      <c r="DG39" s="540"/>
      <c r="DH39" s="540"/>
      <c r="DI39" s="540"/>
      <c r="DJ39" s="540"/>
      <c r="DK39" s="540"/>
      <c r="DL39" s="540"/>
      <c r="DM39" s="540"/>
      <c r="DN39" s="540"/>
      <c r="DO39" s="540"/>
      <c r="DP39" s="540"/>
      <c r="DQ39" s="540"/>
      <c r="DR39" s="540"/>
      <c r="DS39" s="540"/>
      <c r="DT39" s="540"/>
      <c r="DU39" s="540"/>
      <c r="DV39" s="540"/>
      <c r="DW39" s="540"/>
      <c r="DX39" s="540"/>
      <c r="DY39" s="540"/>
      <c r="DZ39" s="540"/>
      <c r="EA39" s="540"/>
      <c r="EB39" s="540"/>
      <c r="EC39" s="540"/>
      <c r="ED39" s="540"/>
      <c r="EE39" s="540"/>
      <c r="EF39" s="540"/>
      <c r="EG39" s="540"/>
      <c r="EH39" s="540"/>
      <c r="EI39" s="540"/>
      <c r="EJ39" s="540"/>
      <c r="EK39" s="540"/>
      <c r="EL39" s="540"/>
      <c r="EM39" s="540"/>
      <c r="EN39" s="540"/>
      <c r="EO39" s="540"/>
      <c r="EP39" s="540"/>
      <c r="EQ39" s="540"/>
      <c r="ER39" s="540"/>
      <c r="ES39" s="540"/>
      <c r="ET39" s="540"/>
      <c r="EU39" s="540"/>
      <c r="EV39" s="540"/>
      <c r="EW39" s="540"/>
      <c r="EX39" s="540"/>
      <c r="EY39" s="540"/>
      <c r="EZ39" s="540"/>
      <c r="FA39" s="540"/>
      <c r="FB39" s="540"/>
      <c r="FC39" s="540"/>
      <c r="FD39" s="540"/>
      <c r="FE39" s="540"/>
      <c r="FF39" s="540"/>
      <c r="FG39" s="540"/>
      <c r="FH39" s="540"/>
      <c r="FI39" s="540"/>
      <c r="FJ39" s="540"/>
      <c r="FK39" s="540"/>
      <c r="FL39" s="540"/>
      <c r="FM39" s="540"/>
      <c r="FN39" s="540"/>
      <c r="FO39" s="540"/>
      <c r="FP39" s="540"/>
      <c r="FQ39" s="540"/>
      <c r="FR39" s="540"/>
      <c r="FS39" s="540"/>
      <c r="FT39" s="540"/>
      <c r="FU39" s="540"/>
      <c r="FV39" s="540"/>
      <c r="FW39" s="540"/>
      <c r="FX39" s="540"/>
      <c r="FY39" s="540"/>
      <c r="FZ39" s="540"/>
      <c r="GA39" s="540"/>
      <c r="GB39" s="540"/>
      <c r="GC39" s="540"/>
      <c r="GD39" s="540"/>
      <c r="GE39" s="540"/>
      <c r="GF39" s="540"/>
      <c r="GG39" s="540"/>
      <c r="GH39" s="540"/>
      <c r="GI39" s="540"/>
      <c r="GJ39" s="540"/>
      <c r="GK39" s="540"/>
      <c r="GL39" s="540"/>
      <c r="GM39" s="540"/>
      <c r="GN39" s="540"/>
      <c r="GO39" s="540"/>
      <c r="GP39" s="540"/>
      <c r="GQ39" s="540"/>
      <c r="GR39" s="540"/>
      <c r="GS39" s="540"/>
      <c r="GT39" s="540"/>
      <c r="GU39" s="540"/>
      <c r="GV39" s="540"/>
      <c r="GW39" s="540"/>
      <c r="GX39" s="540"/>
      <c r="GY39" s="540"/>
      <c r="GZ39" s="540"/>
      <c r="HA39" s="540"/>
      <c r="HB39" s="540"/>
      <c r="HC39" s="540"/>
      <c r="HD39" s="540"/>
      <c r="HE39" s="540"/>
      <c r="HF39" s="540"/>
      <c r="HG39" s="540"/>
      <c r="HH39" s="540"/>
      <c r="HI39" s="540"/>
      <c r="HJ39" s="540"/>
      <c r="HK39" s="540"/>
      <c r="HL39" s="540"/>
      <c r="HM39" s="540"/>
      <c r="HN39" s="540"/>
      <c r="HO39" s="540"/>
      <c r="HP39" s="540"/>
      <c r="HQ39" s="540"/>
      <c r="HR39" s="540"/>
      <c r="HS39" s="540"/>
      <c r="HT39" s="540"/>
      <c r="HU39" s="540"/>
      <c r="HV39" s="540"/>
      <c r="HW39" s="540"/>
      <c r="HX39" s="540"/>
      <c r="HY39" s="540"/>
      <c r="HZ39" s="540"/>
      <c r="IA39" s="540"/>
      <c r="IB39" s="540"/>
      <c r="IC39" s="540"/>
      <c r="ID39" s="540"/>
      <c r="IE39" s="540"/>
      <c r="IF39" s="540"/>
      <c r="IG39" s="540"/>
      <c r="IH39" s="540"/>
      <c r="II39" s="540"/>
      <c r="IJ39" s="540"/>
      <c r="IK39" s="540"/>
      <c r="IL39" s="540"/>
      <c r="IM39" s="540"/>
      <c r="IN39" s="504"/>
      <c r="IO39" s="504"/>
    </row>
    <row r="40" spans="1:249">
      <c r="B40" s="541"/>
      <c r="D40" s="545" t="s">
        <v>213</v>
      </c>
      <c r="E40" s="546">
        <f>210*3300</f>
        <v>693000</v>
      </c>
      <c r="F40" s="546">
        <v>27910</v>
      </c>
      <c r="G40" s="552">
        <f>(210*14/100)*F40</f>
        <v>820554</v>
      </c>
      <c r="H40" s="553"/>
      <c r="I40" s="540"/>
      <c r="J40" s="540"/>
      <c r="K40" s="540"/>
      <c r="L40" s="540"/>
      <c r="M40" s="540"/>
      <c r="N40" s="540"/>
      <c r="O40" s="540"/>
      <c r="P40" s="540"/>
      <c r="Q40" s="540"/>
      <c r="R40" s="540"/>
      <c r="S40" s="540"/>
      <c r="T40" s="540"/>
      <c r="U40" s="540"/>
      <c r="V40" s="540"/>
      <c r="W40" s="540"/>
      <c r="X40" s="540"/>
      <c r="Y40" s="540"/>
      <c r="Z40" s="540"/>
      <c r="AA40" s="540"/>
      <c r="AB40" s="540"/>
      <c r="AC40" s="540"/>
      <c r="AD40" s="540"/>
      <c r="AE40" s="540"/>
      <c r="AF40" s="540"/>
      <c r="AG40" s="540"/>
      <c r="AH40" s="540"/>
      <c r="AI40" s="540"/>
      <c r="AJ40" s="540"/>
      <c r="AK40" s="540"/>
      <c r="AL40" s="540"/>
      <c r="AM40" s="540"/>
      <c r="AN40" s="540"/>
      <c r="AO40" s="540"/>
      <c r="AP40" s="540"/>
      <c r="AQ40" s="540"/>
      <c r="AR40" s="540"/>
      <c r="AS40" s="540"/>
      <c r="AT40" s="540"/>
      <c r="AU40" s="540"/>
      <c r="AV40" s="540"/>
      <c r="AW40" s="540"/>
      <c r="AX40" s="540"/>
      <c r="AY40" s="540"/>
      <c r="AZ40" s="540"/>
      <c r="BA40" s="540"/>
      <c r="BB40" s="540"/>
      <c r="BC40" s="540"/>
      <c r="BD40" s="540"/>
      <c r="BE40" s="540"/>
      <c r="BF40" s="540"/>
      <c r="BG40" s="540"/>
      <c r="BH40" s="540"/>
      <c r="BI40" s="540"/>
      <c r="BJ40" s="540"/>
      <c r="BK40" s="540"/>
      <c r="BL40" s="540"/>
      <c r="BM40" s="540"/>
      <c r="BN40" s="540"/>
      <c r="BO40" s="540"/>
      <c r="BP40" s="540"/>
      <c r="BQ40" s="540"/>
      <c r="BR40" s="540"/>
      <c r="BS40" s="540"/>
      <c r="BT40" s="540"/>
      <c r="BU40" s="540"/>
      <c r="BV40" s="540"/>
      <c r="BW40" s="540"/>
      <c r="BX40" s="540"/>
      <c r="BY40" s="540"/>
      <c r="BZ40" s="540"/>
      <c r="CA40" s="540"/>
      <c r="CB40" s="540"/>
      <c r="CC40" s="540"/>
      <c r="CD40" s="540"/>
      <c r="CE40" s="540"/>
      <c r="CF40" s="540"/>
      <c r="CG40" s="540"/>
      <c r="CH40" s="540"/>
      <c r="CI40" s="540"/>
      <c r="CJ40" s="540"/>
      <c r="CK40" s="540"/>
      <c r="CL40" s="540"/>
      <c r="CM40" s="540"/>
      <c r="CN40" s="540"/>
      <c r="CO40" s="540"/>
      <c r="CP40" s="540"/>
      <c r="CQ40" s="540"/>
      <c r="CR40" s="540"/>
      <c r="CS40" s="540"/>
      <c r="CT40" s="540"/>
      <c r="CU40" s="540"/>
      <c r="CV40" s="540"/>
      <c r="CW40" s="540"/>
      <c r="CX40" s="540"/>
      <c r="CY40" s="540"/>
      <c r="CZ40" s="540"/>
      <c r="DA40" s="540"/>
      <c r="DB40" s="540"/>
      <c r="DC40" s="540"/>
      <c r="DD40" s="540"/>
      <c r="DE40" s="540"/>
      <c r="DF40" s="540"/>
      <c r="DG40" s="540"/>
      <c r="DH40" s="540"/>
      <c r="DI40" s="540"/>
      <c r="DJ40" s="540"/>
      <c r="DK40" s="540"/>
      <c r="DL40" s="540"/>
      <c r="DM40" s="540"/>
      <c r="DN40" s="540"/>
      <c r="DO40" s="540"/>
      <c r="DP40" s="540"/>
      <c r="DQ40" s="540"/>
      <c r="DR40" s="540"/>
      <c r="DS40" s="540"/>
      <c r="DT40" s="540"/>
      <c r="DU40" s="540"/>
      <c r="DV40" s="540"/>
      <c r="DW40" s="540"/>
      <c r="DX40" s="540"/>
      <c r="DY40" s="540"/>
      <c r="DZ40" s="540"/>
      <c r="EA40" s="540"/>
      <c r="EB40" s="540"/>
      <c r="EC40" s="540"/>
      <c r="ED40" s="540"/>
      <c r="EE40" s="540"/>
      <c r="EF40" s="540"/>
      <c r="EG40" s="540"/>
      <c r="EH40" s="540"/>
      <c r="EI40" s="540"/>
      <c r="EJ40" s="540"/>
      <c r="EK40" s="540"/>
      <c r="EL40" s="540"/>
      <c r="EM40" s="540"/>
      <c r="EN40" s="540"/>
      <c r="EO40" s="540"/>
      <c r="EP40" s="540"/>
      <c r="EQ40" s="540"/>
      <c r="ER40" s="540"/>
      <c r="ES40" s="540"/>
      <c r="ET40" s="540"/>
      <c r="EU40" s="540"/>
      <c r="EV40" s="540"/>
      <c r="EW40" s="540"/>
      <c r="EX40" s="540"/>
      <c r="EY40" s="540"/>
      <c r="EZ40" s="540"/>
      <c r="FA40" s="540"/>
      <c r="FB40" s="540"/>
      <c r="FC40" s="540"/>
      <c r="FD40" s="540"/>
      <c r="FE40" s="540"/>
      <c r="FF40" s="540"/>
      <c r="FG40" s="540"/>
      <c r="FH40" s="540"/>
      <c r="FI40" s="540"/>
      <c r="FJ40" s="540"/>
      <c r="FK40" s="540"/>
      <c r="FL40" s="540"/>
      <c r="FM40" s="540"/>
      <c r="FN40" s="540"/>
      <c r="FO40" s="540"/>
      <c r="FP40" s="540"/>
      <c r="FQ40" s="540"/>
      <c r="FR40" s="540"/>
      <c r="FS40" s="540"/>
      <c r="FT40" s="540"/>
      <c r="FU40" s="540"/>
      <c r="FV40" s="540"/>
      <c r="FW40" s="540"/>
      <c r="FX40" s="540"/>
      <c r="FY40" s="540"/>
      <c r="FZ40" s="540"/>
      <c r="GA40" s="540"/>
      <c r="GB40" s="540"/>
      <c r="GC40" s="540"/>
      <c r="GD40" s="540"/>
      <c r="GE40" s="540"/>
      <c r="GF40" s="540"/>
      <c r="GG40" s="540"/>
      <c r="GH40" s="540"/>
      <c r="GI40" s="540"/>
      <c r="GJ40" s="540"/>
      <c r="GK40" s="540"/>
      <c r="GL40" s="540"/>
      <c r="GM40" s="540"/>
      <c r="GN40" s="540"/>
      <c r="GO40" s="540"/>
      <c r="GP40" s="540"/>
      <c r="GQ40" s="540"/>
      <c r="GR40" s="540"/>
      <c r="GS40" s="540"/>
      <c r="GT40" s="540"/>
      <c r="GU40" s="540"/>
      <c r="GV40" s="540"/>
      <c r="GW40" s="540"/>
      <c r="GX40" s="540"/>
      <c r="GY40" s="540"/>
      <c r="GZ40" s="540"/>
      <c r="HA40" s="540"/>
      <c r="HB40" s="540"/>
      <c r="HC40" s="540"/>
      <c r="HD40" s="540"/>
      <c r="HE40" s="540"/>
      <c r="HF40" s="540"/>
      <c r="HG40" s="540"/>
      <c r="HH40" s="540"/>
      <c r="HI40" s="540"/>
      <c r="HJ40" s="540"/>
      <c r="HK40" s="540"/>
      <c r="HL40" s="540"/>
      <c r="HM40" s="540"/>
      <c r="HN40" s="540"/>
      <c r="HO40" s="540"/>
      <c r="HP40" s="540"/>
      <c r="HQ40" s="540"/>
      <c r="HR40" s="540"/>
      <c r="HS40" s="540"/>
      <c r="HT40" s="540"/>
      <c r="HU40" s="540"/>
      <c r="HV40" s="540"/>
      <c r="HW40" s="540"/>
      <c r="HX40" s="540"/>
      <c r="HY40" s="540"/>
      <c r="HZ40" s="540"/>
      <c r="IA40" s="540"/>
      <c r="IB40" s="540"/>
      <c r="IC40" s="540"/>
      <c r="ID40" s="540"/>
      <c r="IE40" s="540"/>
      <c r="IF40" s="540"/>
      <c r="IG40" s="540"/>
      <c r="IH40" s="540"/>
      <c r="II40" s="540"/>
      <c r="IJ40" s="540"/>
      <c r="IK40" s="540"/>
      <c r="IL40" s="540"/>
      <c r="IM40" s="540"/>
      <c r="IN40" s="504"/>
      <c r="IO40" s="504"/>
    </row>
    <row r="41" spans="1:249" ht="15.75">
      <c r="A41" s="432"/>
      <c r="B41" s="478"/>
      <c r="C41" s="554"/>
      <c r="D41" s="554"/>
      <c r="E41" s="432"/>
      <c r="F41" s="432"/>
      <c r="G41" s="432"/>
      <c r="H41" s="432"/>
      <c r="I41" s="432"/>
      <c r="J41" s="432"/>
      <c r="K41" s="432"/>
      <c r="L41" s="432"/>
      <c r="M41" s="432"/>
      <c r="N41" s="432"/>
      <c r="O41" s="432"/>
      <c r="P41" s="432"/>
      <c r="Q41" s="432"/>
      <c r="R41" s="432"/>
      <c r="S41" s="432"/>
      <c r="T41" s="432"/>
      <c r="U41" s="432"/>
      <c r="V41" s="432"/>
      <c r="W41" s="432"/>
      <c r="X41" s="432"/>
      <c r="Y41" s="432"/>
      <c r="Z41" s="432"/>
      <c r="AA41" s="432"/>
      <c r="AB41" s="432"/>
      <c r="AC41" s="432"/>
      <c r="AD41" s="432"/>
      <c r="AE41" s="432"/>
      <c r="AF41" s="432"/>
      <c r="AG41" s="432"/>
      <c r="AH41" s="432"/>
      <c r="AI41" s="432"/>
      <c r="AJ41" s="432"/>
      <c r="AK41" s="432"/>
      <c r="AL41" s="432"/>
      <c r="AM41" s="432"/>
      <c r="AN41" s="432"/>
      <c r="AO41" s="432"/>
      <c r="AP41" s="432"/>
      <c r="AQ41" s="432"/>
      <c r="AR41" s="432"/>
      <c r="AS41" s="432"/>
      <c r="AT41" s="432"/>
      <c r="AU41" s="432"/>
      <c r="AV41" s="432"/>
      <c r="AW41" s="432"/>
      <c r="AX41" s="432"/>
      <c r="AY41" s="432"/>
      <c r="AZ41" s="432"/>
      <c r="BA41" s="432"/>
      <c r="BB41" s="432"/>
      <c r="BC41" s="432"/>
      <c r="BD41" s="432"/>
      <c r="BE41" s="432"/>
      <c r="BF41" s="432"/>
      <c r="BG41" s="432"/>
      <c r="BH41" s="432"/>
      <c r="BI41" s="432"/>
      <c r="BJ41" s="432"/>
      <c r="BK41" s="432"/>
      <c r="BL41" s="432"/>
      <c r="BM41" s="432"/>
      <c r="BN41" s="432"/>
      <c r="BO41" s="432"/>
      <c r="BP41" s="432"/>
      <c r="BQ41" s="432"/>
      <c r="BR41" s="432"/>
      <c r="BS41" s="432"/>
      <c r="BT41" s="432"/>
      <c r="BU41" s="432"/>
      <c r="BV41" s="432"/>
      <c r="BW41" s="432"/>
      <c r="BX41" s="432"/>
      <c r="BY41" s="432"/>
      <c r="BZ41" s="432"/>
      <c r="CA41" s="432"/>
      <c r="CB41" s="432"/>
      <c r="CC41" s="432"/>
      <c r="CD41" s="432"/>
      <c r="CE41" s="432"/>
      <c r="CF41" s="432"/>
      <c r="CG41" s="432"/>
      <c r="CH41" s="432"/>
      <c r="CI41" s="432"/>
      <c r="CJ41" s="432"/>
      <c r="CK41" s="432"/>
      <c r="CL41" s="432"/>
      <c r="CM41" s="432"/>
      <c r="CN41" s="432"/>
      <c r="CO41" s="432"/>
      <c r="CP41" s="432"/>
      <c r="CQ41" s="432"/>
      <c r="CR41" s="432"/>
      <c r="CS41" s="432"/>
      <c r="CT41" s="432"/>
      <c r="CU41" s="432"/>
      <c r="CV41" s="432"/>
      <c r="CW41" s="432"/>
      <c r="CX41" s="432"/>
      <c r="CY41" s="432"/>
      <c r="CZ41" s="432"/>
      <c r="DA41" s="432"/>
      <c r="DB41" s="432"/>
      <c r="DC41" s="432"/>
      <c r="DD41" s="432"/>
      <c r="DE41" s="432"/>
      <c r="DF41" s="432"/>
      <c r="DG41" s="432"/>
      <c r="DH41" s="432"/>
      <c r="DI41" s="432"/>
      <c r="DJ41" s="432"/>
      <c r="DK41" s="432"/>
      <c r="DL41" s="432"/>
      <c r="DM41" s="432"/>
      <c r="DN41" s="432"/>
      <c r="DO41" s="432"/>
      <c r="DP41" s="432"/>
      <c r="DQ41" s="432"/>
      <c r="DR41" s="432"/>
      <c r="DS41" s="432"/>
      <c r="DT41" s="432"/>
      <c r="DU41" s="432"/>
      <c r="DV41" s="432"/>
      <c r="DW41" s="432"/>
      <c r="DX41" s="432"/>
      <c r="DY41" s="432"/>
      <c r="DZ41" s="432"/>
      <c r="EA41" s="432"/>
      <c r="EB41" s="432"/>
      <c r="EC41" s="432"/>
      <c r="ED41" s="432"/>
      <c r="EE41" s="432"/>
      <c r="EF41" s="432"/>
      <c r="EG41" s="432"/>
      <c r="EH41" s="432"/>
      <c r="EI41" s="432"/>
      <c r="EJ41" s="432"/>
      <c r="EK41" s="432"/>
      <c r="EL41" s="432"/>
      <c r="EM41" s="432"/>
      <c r="EN41" s="432"/>
      <c r="EO41" s="432"/>
      <c r="EP41" s="432"/>
      <c r="EQ41" s="432"/>
      <c r="ER41" s="432"/>
      <c r="ES41" s="432"/>
      <c r="ET41" s="432"/>
      <c r="EU41" s="432"/>
      <c r="EV41" s="432"/>
      <c r="EW41" s="432"/>
      <c r="EX41" s="432"/>
      <c r="EY41" s="432"/>
      <c r="EZ41" s="432"/>
      <c r="FA41" s="432"/>
      <c r="FB41" s="432"/>
      <c r="FC41" s="432"/>
      <c r="FD41" s="432"/>
      <c r="FE41" s="432"/>
      <c r="FF41" s="432"/>
      <c r="FG41" s="432"/>
      <c r="FH41" s="432"/>
      <c r="FI41" s="432"/>
      <c r="FJ41" s="432"/>
      <c r="FK41" s="432"/>
      <c r="FL41" s="432"/>
      <c r="FM41" s="432"/>
      <c r="FN41" s="432"/>
      <c r="FO41" s="432"/>
      <c r="FP41" s="432"/>
      <c r="FQ41" s="432"/>
      <c r="FR41" s="432"/>
      <c r="FS41" s="432"/>
      <c r="FT41" s="432"/>
      <c r="FU41" s="432"/>
      <c r="FV41" s="432"/>
      <c r="FW41" s="432"/>
      <c r="FX41" s="432"/>
      <c r="FY41" s="432"/>
      <c r="FZ41" s="432"/>
      <c r="GA41" s="432"/>
      <c r="GB41" s="432"/>
      <c r="GC41" s="432"/>
      <c r="GD41" s="432"/>
      <c r="GE41" s="432"/>
      <c r="GF41" s="432"/>
      <c r="GG41" s="432"/>
      <c r="GH41" s="432"/>
      <c r="GI41" s="432"/>
      <c r="GJ41" s="432"/>
      <c r="GK41" s="432"/>
      <c r="GL41" s="432"/>
      <c r="GM41" s="432"/>
      <c r="GN41" s="432"/>
      <c r="GO41" s="432"/>
      <c r="GP41" s="432"/>
      <c r="GQ41" s="432"/>
      <c r="GR41" s="432"/>
      <c r="GS41" s="432"/>
      <c r="GT41" s="432"/>
      <c r="GU41" s="432"/>
      <c r="GV41" s="432"/>
      <c r="GW41" s="432"/>
      <c r="GX41" s="432"/>
      <c r="GY41" s="432"/>
      <c r="GZ41" s="432"/>
      <c r="HA41" s="432"/>
      <c r="HB41" s="432"/>
      <c r="HC41" s="432"/>
      <c r="HD41" s="432"/>
      <c r="HE41" s="432"/>
      <c r="HF41" s="432"/>
      <c r="HG41" s="432"/>
      <c r="HH41" s="432"/>
      <c r="HI41" s="432"/>
      <c r="HJ41" s="432"/>
      <c r="HK41" s="432"/>
      <c r="HL41" s="432"/>
      <c r="HM41" s="432"/>
      <c r="HN41" s="432"/>
      <c r="HO41" s="432"/>
      <c r="HP41" s="432"/>
      <c r="HQ41" s="432"/>
      <c r="HR41" s="432"/>
      <c r="HS41" s="432"/>
      <c r="HT41" s="432"/>
      <c r="HU41" s="432"/>
      <c r="HV41" s="432"/>
      <c r="HW41" s="432"/>
      <c r="HX41" s="432"/>
      <c r="HY41" s="432"/>
      <c r="HZ41" s="432"/>
      <c r="IA41" s="432"/>
      <c r="IB41" s="432"/>
      <c r="IC41" s="432"/>
      <c r="ID41" s="432"/>
      <c r="IE41" s="432"/>
      <c r="IF41" s="504"/>
      <c r="IG41" s="504"/>
      <c r="IH41" s="504"/>
      <c r="II41" s="504"/>
      <c r="IJ41" s="504"/>
      <c r="IK41" s="504"/>
      <c r="IL41" s="504"/>
      <c r="IM41" s="504"/>
      <c r="IN41" s="504"/>
      <c r="IO41" s="504"/>
    </row>
    <row r="42" spans="1:249" ht="15.75">
      <c r="C42" s="554"/>
      <c r="D42" s="554" t="s">
        <v>329</v>
      </c>
      <c r="IF42" s="504"/>
      <c r="IG42" s="504"/>
      <c r="IH42" s="504"/>
      <c r="II42" s="504"/>
      <c r="IJ42" s="504"/>
      <c r="IK42" s="504"/>
      <c r="IL42" s="504"/>
      <c r="IM42" s="504"/>
      <c r="IN42" s="504"/>
      <c r="IO42" s="504"/>
    </row>
    <row r="43" spans="1:249" ht="15.75">
      <c r="C43" s="509"/>
      <c r="D43" s="555" t="s">
        <v>330</v>
      </c>
      <c r="IF43" s="504"/>
      <c r="IG43" s="504"/>
      <c r="IH43" s="504"/>
      <c r="II43" s="504"/>
      <c r="IJ43" s="504"/>
      <c r="IK43" s="504"/>
      <c r="IL43" s="504"/>
      <c r="IM43" s="504"/>
      <c r="IN43" s="504"/>
      <c r="IO43" s="504"/>
    </row>
    <row r="44" spans="1:249">
      <c r="D44" s="507" t="s">
        <v>331</v>
      </c>
      <c r="J44" s="509"/>
      <c r="K44" s="509"/>
    </row>
    <row r="45" spans="1:249">
      <c r="D45" s="507" t="s">
        <v>332</v>
      </c>
      <c r="I45" s="509"/>
      <c r="J45" s="509"/>
    </row>
    <row r="46" spans="1:249">
      <c r="J46" s="509"/>
      <c r="K46" s="509"/>
    </row>
    <row r="47" spans="1:249">
      <c r="J47" s="509"/>
      <c r="K47" s="509"/>
    </row>
    <row r="48" spans="1:249">
      <c r="J48" s="509"/>
      <c r="K48" s="509"/>
    </row>
    <row r="49" spans="2:11">
      <c r="J49" s="509"/>
      <c r="K49" s="509"/>
    </row>
    <row r="50" spans="2:11">
      <c r="J50" s="509"/>
      <c r="K50" s="509"/>
    </row>
    <row r="51" spans="2:11">
      <c r="J51" s="509"/>
      <c r="K51" s="509"/>
    </row>
    <row r="52" spans="2:11">
      <c r="J52" s="509"/>
      <c r="K52" s="509"/>
    </row>
    <row r="53" spans="2:11">
      <c r="J53" s="509"/>
      <c r="K53" s="509"/>
    </row>
    <row r="54" spans="2:11">
      <c r="J54" s="509"/>
      <c r="K54" s="509"/>
    </row>
    <row r="55" spans="2:11" s="507" customFormat="1">
      <c r="B55" s="528"/>
      <c r="J55" s="509"/>
      <c r="K55" s="509"/>
    </row>
    <row r="56" spans="2:11" s="507" customFormat="1">
      <c r="B56" s="528"/>
      <c r="J56" s="509"/>
      <c r="K56" s="509"/>
    </row>
    <row r="57" spans="2:11" s="507" customFormat="1">
      <c r="B57" s="528"/>
      <c r="K57" s="509"/>
    </row>
  </sheetData>
  <mergeCells count="20">
    <mergeCell ref="J5:N5"/>
    <mergeCell ref="A6:A9"/>
    <mergeCell ref="B6:B9"/>
    <mergeCell ref="C6:D6"/>
    <mergeCell ref="E6:E9"/>
    <mergeCell ref="F6:F9"/>
    <mergeCell ref="G6:G9"/>
    <mergeCell ref="H6:H9"/>
    <mergeCell ref="A10:B10"/>
    <mergeCell ref="A19:B19"/>
    <mergeCell ref="A20:B20"/>
    <mergeCell ref="E21:I21"/>
    <mergeCell ref="A3:I3"/>
    <mergeCell ref="A4:I4"/>
    <mergeCell ref="F22:H22"/>
    <mergeCell ref="E28:F28"/>
    <mergeCell ref="E34:I34"/>
    <mergeCell ref="D38:D39"/>
    <mergeCell ref="I6:I9"/>
    <mergeCell ref="C7:D7"/>
  </mergeCells>
  <pageMargins left="1" right="0.24" top="0.25" bottom="0.32" header="0.18" footer="0.23"/>
  <pageSetup fitToWidth="2" fitToHeight="0" orientation="portrait" r:id="rId1"/>
  <rowBreaks count="1" manualBreakCount="1">
    <brk id="35" max="8" man="1"/>
  </rowBreaks>
  <colBreaks count="1" manualBreakCount="1">
    <brk id="9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39FF8-5B76-4F33-A601-C91126AE48D2}">
  <sheetPr>
    <tabColor rgb="FFFFFF00"/>
  </sheetPr>
  <dimension ref="A1:IZ62"/>
  <sheetViews>
    <sheetView zoomScaleNormal="100" workbookViewId="0">
      <pane xSplit="5" ySplit="10" topLeftCell="F11" activePane="bottomRight" state="frozen"/>
      <selection activeCell="H9" sqref="H9"/>
      <selection pane="topRight" activeCell="H9" sqref="H9"/>
      <selection pane="bottomLeft" activeCell="H9" sqref="H9"/>
      <selection pane="bottomRight" activeCell="G9" sqref="G9:H9"/>
    </sheetView>
  </sheetViews>
  <sheetFormatPr defaultRowHeight="15"/>
  <cols>
    <col min="1" max="1" width="5.7109375" style="478" customWidth="1"/>
    <col min="2" max="2" width="22" style="478" customWidth="1"/>
    <col min="3" max="3" width="5.7109375" style="478" customWidth="1"/>
    <col min="4" max="4" width="4.85546875" style="478" customWidth="1"/>
    <col min="5" max="5" width="5.28515625" style="478" bestFit="1" customWidth="1"/>
    <col min="6" max="6" width="11.28515625" style="432" customWidth="1"/>
    <col min="7" max="7" width="11.5703125" style="432" customWidth="1"/>
    <col min="8" max="9" width="10.7109375" style="432" customWidth="1"/>
    <col min="10" max="10" width="11" style="432" customWidth="1"/>
    <col min="11" max="12" width="9.85546875" style="432" customWidth="1"/>
    <col min="13" max="13" width="11.28515625" style="432" customWidth="1"/>
    <col min="14" max="14" width="11.42578125" style="432" customWidth="1"/>
    <col min="15" max="15" width="12.42578125" style="432" customWidth="1"/>
    <col min="16" max="16" width="12.85546875" style="498" customWidth="1"/>
    <col min="17" max="17" width="19.140625" style="498" customWidth="1"/>
    <col min="18" max="18" width="11.28515625" style="498" hidden="1" customWidth="1"/>
    <col min="19" max="19" width="1.140625" style="478" hidden="1" customWidth="1"/>
    <col min="20" max="20" width="6.7109375" style="478" hidden="1" customWidth="1"/>
    <col min="21" max="21" width="14.5703125" style="432" hidden="1" customWidth="1"/>
    <col min="22" max="22" width="13.7109375" style="432" customWidth="1"/>
    <col min="23" max="27" width="9.140625" style="432" customWidth="1"/>
    <col min="28" max="260" width="8.85546875" style="432"/>
    <col min="261" max="261" width="8.85546875" style="428"/>
    <col min="262" max="262" width="4.7109375" style="428" customWidth="1"/>
    <col min="263" max="263" width="27.5703125" style="428" customWidth="1"/>
    <col min="264" max="264" width="4.42578125" style="428" customWidth="1"/>
    <col min="265" max="266" width="5.42578125" style="428" customWidth="1"/>
    <col min="267" max="267" width="12.7109375" style="428" customWidth="1"/>
    <col min="268" max="268" width="14.5703125" style="428" customWidth="1"/>
    <col min="269" max="269" width="14.28515625" style="428" customWidth="1"/>
    <col min="270" max="270" width="13" style="428" customWidth="1"/>
    <col min="271" max="271" width="11.85546875" style="428" customWidth="1"/>
    <col min="272" max="272" width="11.28515625" style="428" customWidth="1"/>
    <col min="273" max="273" width="15.5703125" style="428" customWidth="1"/>
    <col min="274" max="274" width="14.42578125" style="428" customWidth="1"/>
    <col min="275" max="275" width="0" style="428" hidden="1" customWidth="1"/>
    <col min="276" max="276" width="4.7109375" style="428" customWidth="1"/>
    <col min="277" max="277" width="14.5703125" style="428" bestFit="1" customWidth="1"/>
    <col min="278" max="283" width="9.140625" style="428" customWidth="1"/>
    <col min="284" max="517" width="8.85546875" style="428"/>
    <col min="518" max="518" width="4.7109375" style="428" customWidth="1"/>
    <col min="519" max="519" width="27.5703125" style="428" customWidth="1"/>
    <col min="520" max="520" width="4.42578125" style="428" customWidth="1"/>
    <col min="521" max="522" width="5.42578125" style="428" customWidth="1"/>
    <col min="523" max="523" width="12.7109375" style="428" customWidth="1"/>
    <col min="524" max="524" width="14.5703125" style="428" customWidth="1"/>
    <col min="525" max="525" width="14.28515625" style="428" customWidth="1"/>
    <col min="526" max="526" width="13" style="428" customWidth="1"/>
    <col min="527" max="527" width="11.85546875" style="428" customWidth="1"/>
    <col min="528" max="528" width="11.28515625" style="428" customWidth="1"/>
    <col min="529" max="529" width="15.5703125" style="428" customWidth="1"/>
    <col min="530" max="530" width="14.42578125" style="428" customWidth="1"/>
    <col min="531" max="531" width="0" style="428" hidden="1" customWidth="1"/>
    <col min="532" max="532" width="4.7109375" style="428" customWidth="1"/>
    <col min="533" max="533" width="14.5703125" style="428" bestFit="1" customWidth="1"/>
    <col min="534" max="539" width="9.140625" style="428" customWidth="1"/>
    <col min="540" max="773" width="8.85546875" style="428"/>
    <col min="774" max="774" width="4.7109375" style="428" customWidth="1"/>
    <col min="775" max="775" width="27.5703125" style="428" customWidth="1"/>
    <col min="776" max="776" width="4.42578125" style="428" customWidth="1"/>
    <col min="777" max="778" width="5.42578125" style="428" customWidth="1"/>
    <col min="779" max="779" width="12.7109375" style="428" customWidth="1"/>
    <col min="780" max="780" width="14.5703125" style="428" customWidth="1"/>
    <col min="781" max="781" width="14.28515625" style="428" customWidth="1"/>
    <col min="782" max="782" width="13" style="428" customWidth="1"/>
    <col min="783" max="783" width="11.85546875" style="428" customWidth="1"/>
    <col min="784" max="784" width="11.28515625" style="428" customWidth="1"/>
    <col min="785" max="785" width="15.5703125" style="428" customWidth="1"/>
    <col min="786" max="786" width="14.42578125" style="428" customWidth="1"/>
    <col min="787" max="787" width="0" style="428" hidden="1" customWidth="1"/>
    <col min="788" max="788" width="4.7109375" style="428" customWidth="1"/>
    <col min="789" max="789" width="14.5703125" style="428" bestFit="1" customWidth="1"/>
    <col min="790" max="795" width="9.140625" style="428" customWidth="1"/>
    <col min="796" max="1029" width="8.85546875" style="428"/>
    <col min="1030" max="1030" width="4.7109375" style="428" customWidth="1"/>
    <col min="1031" max="1031" width="27.5703125" style="428" customWidth="1"/>
    <col min="1032" max="1032" width="4.42578125" style="428" customWidth="1"/>
    <col min="1033" max="1034" width="5.42578125" style="428" customWidth="1"/>
    <col min="1035" max="1035" width="12.7109375" style="428" customWidth="1"/>
    <col min="1036" max="1036" width="14.5703125" style="428" customWidth="1"/>
    <col min="1037" max="1037" width="14.28515625" style="428" customWidth="1"/>
    <col min="1038" max="1038" width="13" style="428" customWidth="1"/>
    <col min="1039" max="1039" width="11.85546875" style="428" customWidth="1"/>
    <col min="1040" max="1040" width="11.28515625" style="428" customWidth="1"/>
    <col min="1041" max="1041" width="15.5703125" style="428" customWidth="1"/>
    <col min="1042" max="1042" width="14.42578125" style="428" customWidth="1"/>
    <col min="1043" max="1043" width="0" style="428" hidden="1" customWidth="1"/>
    <col min="1044" max="1044" width="4.7109375" style="428" customWidth="1"/>
    <col min="1045" max="1045" width="14.5703125" style="428" bestFit="1" customWidth="1"/>
    <col min="1046" max="1051" width="9.140625" style="428" customWidth="1"/>
    <col min="1052" max="1285" width="8.85546875" style="428"/>
    <col min="1286" max="1286" width="4.7109375" style="428" customWidth="1"/>
    <col min="1287" max="1287" width="27.5703125" style="428" customWidth="1"/>
    <col min="1288" max="1288" width="4.42578125" style="428" customWidth="1"/>
    <col min="1289" max="1290" width="5.42578125" style="428" customWidth="1"/>
    <col min="1291" max="1291" width="12.7109375" style="428" customWidth="1"/>
    <col min="1292" max="1292" width="14.5703125" style="428" customWidth="1"/>
    <col min="1293" max="1293" width="14.28515625" style="428" customWidth="1"/>
    <col min="1294" max="1294" width="13" style="428" customWidth="1"/>
    <col min="1295" max="1295" width="11.85546875" style="428" customWidth="1"/>
    <col min="1296" max="1296" width="11.28515625" style="428" customWidth="1"/>
    <col min="1297" max="1297" width="15.5703125" style="428" customWidth="1"/>
    <col min="1298" max="1298" width="14.42578125" style="428" customWidth="1"/>
    <col min="1299" max="1299" width="0" style="428" hidden="1" customWidth="1"/>
    <col min="1300" max="1300" width="4.7109375" style="428" customWidth="1"/>
    <col min="1301" max="1301" width="14.5703125" style="428" bestFit="1" customWidth="1"/>
    <col min="1302" max="1307" width="9.140625" style="428" customWidth="1"/>
    <col min="1308" max="1541" width="8.85546875" style="428"/>
    <col min="1542" max="1542" width="4.7109375" style="428" customWidth="1"/>
    <col min="1543" max="1543" width="27.5703125" style="428" customWidth="1"/>
    <col min="1544" max="1544" width="4.42578125" style="428" customWidth="1"/>
    <col min="1545" max="1546" width="5.42578125" style="428" customWidth="1"/>
    <col min="1547" max="1547" width="12.7109375" style="428" customWidth="1"/>
    <col min="1548" max="1548" width="14.5703125" style="428" customWidth="1"/>
    <col min="1549" max="1549" width="14.28515625" style="428" customWidth="1"/>
    <col min="1550" max="1550" width="13" style="428" customWidth="1"/>
    <col min="1551" max="1551" width="11.85546875" style="428" customWidth="1"/>
    <col min="1552" max="1552" width="11.28515625" style="428" customWidth="1"/>
    <col min="1553" max="1553" width="15.5703125" style="428" customWidth="1"/>
    <col min="1554" max="1554" width="14.42578125" style="428" customWidth="1"/>
    <col min="1555" max="1555" width="0" style="428" hidden="1" customWidth="1"/>
    <col min="1556" max="1556" width="4.7109375" style="428" customWidth="1"/>
    <col min="1557" max="1557" width="14.5703125" style="428" bestFit="1" customWidth="1"/>
    <col min="1558" max="1563" width="9.140625" style="428" customWidth="1"/>
    <col min="1564" max="1797" width="8.85546875" style="428"/>
    <col min="1798" max="1798" width="4.7109375" style="428" customWidth="1"/>
    <col min="1799" max="1799" width="27.5703125" style="428" customWidth="1"/>
    <col min="1800" max="1800" width="4.42578125" style="428" customWidth="1"/>
    <col min="1801" max="1802" width="5.42578125" style="428" customWidth="1"/>
    <col min="1803" max="1803" width="12.7109375" style="428" customWidth="1"/>
    <col min="1804" max="1804" width="14.5703125" style="428" customWidth="1"/>
    <col min="1805" max="1805" width="14.28515625" style="428" customWidth="1"/>
    <col min="1806" max="1806" width="13" style="428" customWidth="1"/>
    <col min="1807" max="1807" width="11.85546875" style="428" customWidth="1"/>
    <col min="1808" max="1808" width="11.28515625" style="428" customWidth="1"/>
    <col min="1809" max="1809" width="15.5703125" style="428" customWidth="1"/>
    <col min="1810" max="1810" width="14.42578125" style="428" customWidth="1"/>
    <col min="1811" max="1811" width="0" style="428" hidden="1" customWidth="1"/>
    <col min="1812" max="1812" width="4.7109375" style="428" customWidth="1"/>
    <col min="1813" max="1813" width="14.5703125" style="428" bestFit="1" customWidth="1"/>
    <col min="1814" max="1819" width="9.140625" style="428" customWidth="1"/>
    <col min="1820" max="2053" width="8.85546875" style="428"/>
    <col min="2054" max="2054" width="4.7109375" style="428" customWidth="1"/>
    <col min="2055" max="2055" width="27.5703125" style="428" customWidth="1"/>
    <col min="2056" max="2056" width="4.42578125" style="428" customWidth="1"/>
    <col min="2057" max="2058" width="5.42578125" style="428" customWidth="1"/>
    <col min="2059" max="2059" width="12.7109375" style="428" customWidth="1"/>
    <col min="2060" max="2060" width="14.5703125" style="428" customWidth="1"/>
    <col min="2061" max="2061" width="14.28515625" style="428" customWidth="1"/>
    <col min="2062" max="2062" width="13" style="428" customWidth="1"/>
    <col min="2063" max="2063" width="11.85546875" style="428" customWidth="1"/>
    <col min="2064" max="2064" width="11.28515625" style="428" customWidth="1"/>
    <col min="2065" max="2065" width="15.5703125" style="428" customWidth="1"/>
    <col min="2066" max="2066" width="14.42578125" style="428" customWidth="1"/>
    <col min="2067" max="2067" width="0" style="428" hidden="1" customWidth="1"/>
    <col min="2068" max="2068" width="4.7109375" style="428" customWidth="1"/>
    <col min="2069" max="2069" width="14.5703125" style="428" bestFit="1" customWidth="1"/>
    <col min="2070" max="2075" width="9.140625" style="428" customWidth="1"/>
    <col min="2076" max="2309" width="8.85546875" style="428"/>
    <col min="2310" max="2310" width="4.7109375" style="428" customWidth="1"/>
    <col min="2311" max="2311" width="27.5703125" style="428" customWidth="1"/>
    <col min="2312" max="2312" width="4.42578125" style="428" customWidth="1"/>
    <col min="2313" max="2314" width="5.42578125" style="428" customWidth="1"/>
    <col min="2315" max="2315" width="12.7109375" style="428" customWidth="1"/>
    <col min="2316" max="2316" width="14.5703125" style="428" customWidth="1"/>
    <col min="2317" max="2317" width="14.28515625" style="428" customWidth="1"/>
    <col min="2318" max="2318" width="13" style="428" customWidth="1"/>
    <col min="2319" max="2319" width="11.85546875" style="428" customWidth="1"/>
    <col min="2320" max="2320" width="11.28515625" style="428" customWidth="1"/>
    <col min="2321" max="2321" width="15.5703125" style="428" customWidth="1"/>
    <col min="2322" max="2322" width="14.42578125" style="428" customWidth="1"/>
    <col min="2323" max="2323" width="0" style="428" hidden="1" customWidth="1"/>
    <col min="2324" max="2324" width="4.7109375" style="428" customWidth="1"/>
    <col min="2325" max="2325" width="14.5703125" style="428" bestFit="1" customWidth="1"/>
    <col min="2326" max="2331" width="9.140625" style="428" customWidth="1"/>
    <col min="2332" max="2565" width="8.85546875" style="428"/>
    <col min="2566" max="2566" width="4.7109375" style="428" customWidth="1"/>
    <col min="2567" max="2567" width="27.5703125" style="428" customWidth="1"/>
    <col min="2568" max="2568" width="4.42578125" style="428" customWidth="1"/>
    <col min="2569" max="2570" width="5.42578125" style="428" customWidth="1"/>
    <col min="2571" max="2571" width="12.7109375" style="428" customWidth="1"/>
    <col min="2572" max="2572" width="14.5703125" style="428" customWidth="1"/>
    <col min="2573" max="2573" width="14.28515625" style="428" customWidth="1"/>
    <col min="2574" max="2574" width="13" style="428" customWidth="1"/>
    <col min="2575" max="2575" width="11.85546875" style="428" customWidth="1"/>
    <col min="2576" max="2576" width="11.28515625" style="428" customWidth="1"/>
    <col min="2577" max="2577" width="15.5703125" style="428" customWidth="1"/>
    <col min="2578" max="2578" width="14.42578125" style="428" customWidth="1"/>
    <col min="2579" max="2579" width="0" style="428" hidden="1" customWidth="1"/>
    <col min="2580" max="2580" width="4.7109375" style="428" customWidth="1"/>
    <col min="2581" max="2581" width="14.5703125" style="428" bestFit="1" customWidth="1"/>
    <col min="2582" max="2587" width="9.140625" style="428" customWidth="1"/>
    <col min="2588" max="2821" width="8.85546875" style="428"/>
    <col min="2822" max="2822" width="4.7109375" style="428" customWidth="1"/>
    <col min="2823" max="2823" width="27.5703125" style="428" customWidth="1"/>
    <col min="2824" max="2824" width="4.42578125" style="428" customWidth="1"/>
    <col min="2825" max="2826" width="5.42578125" style="428" customWidth="1"/>
    <col min="2827" max="2827" width="12.7109375" style="428" customWidth="1"/>
    <col min="2828" max="2828" width="14.5703125" style="428" customWidth="1"/>
    <col min="2829" max="2829" width="14.28515625" style="428" customWidth="1"/>
    <col min="2830" max="2830" width="13" style="428" customWidth="1"/>
    <col min="2831" max="2831" width="11.85546875" style="428" customWidth="1"/>
    <col min="2832" max="2832" width="11.28515625" style="428" customWidth="1"/>
    <col min="2833" max="2833" width="15.5703125" style="428" customWidth="1"/>
    <col min="2834" max="2834" width="14.42578125" style="428" customWidth="1"/>
    <col min="2835" max="2835" width="0" style="428" hidden="1" customWidth="1"/>
    <col min="2836" max="2836" width="4.7109375" style="428" customWidth="1"/>
    <col min="2837" max="2837" width="14.5703125" style="428" bestFit="1" customWidth="1"/>
    <col min="2838" max="2843" width="9.140625" style="428" customWidth="1"/>
    <col min="2844" max="3077" width="8.85546875" style="428"/>
    <col min="3078" max="3078" width="4.7109375" style="428" customWidth="1"/>
    <col min="3079" max="3079" width="27.5703125" style="428" customWidth="1"/>
    <col min="3080" max="3080" width="4.42578125" style="428" customWidth="1"/>
    <col min="3081" max="3082" width="5.42578125" style="428" customWidth="1"/>
    <col min="3083" max="3083" width="12.7109375" style="428" customWidth="1"/>
    <col min="3084" max="3084" width="14.5703125" style="428" customWidth="1"/>
    <col min="3085" max="3085" width="14.28515625" style="428" customWidth="1"/>
    <col min="3086" max="3086" width="13" style="428" customWidth="1"/>
    <col min="3087" max="3087" width="11.85546875" style="428" customWidth="1"/>
    <col min="3088" max="3088" width="11.28515625" style="428" customWidth="1"/>
    <col min="3089" max="3089" width="15.5703125" style="428" customWidth="1"/>
    <col min="3090" max="3090" width="14.42578125" style="428" customWidth="1"/>
    <col min="3091" max="3091" width="0" style="428" hidden="1" customWidth="1"/>
    <col min="3092" max="3092" width="4.7109375" style="428" customWidth="1"/>
    <col min="3093" max="3093" width="14.5703125" style="428" bestFit="1" customWidth="1"/>
    <col min="3094" max="3099" width="9.140625" style="428" customWidth="1"/>
    <col min="3100" max="3333" width="8.85546875" style="428"/>
    <col min="3334" max="3334" width="4.7109375" style="428" customWidth="1"/>
    <col min="3335" max="3335" width="27.5703125" style="428" customWidth="1"/>
    <col min="3336" max="3336" width="4.42578125" style="428" customWidth="1"/>
    <col min="3337" max="3338" width="5.42578125" style="428" customWidth="1"/>
    <col min="3339" max="3339" width="12.7109375" style="428" customWidth="1"/>
    <col min="3340" max="3340" width="14.5703125" style="428" customWidth="1"/>
    <col min="3341" max="3341" width="14.28515625" style="428" customWidth="1"/>
    <col min="3342" max="3342" width="13" style="428" customWidth="1"/>
    <col min="3343" max="3343" width="11.85546875" style="428" customWidth="1"/>
    <col min="3344" max="3344" width="11.28515625" style="428" customWidth="1"/>
    <col min="3345" max="3345" width="15.5703125" style="428" customWidth="1"/>
    <col min="3346" max="3346" width="14.42578125" style="428" customWidth="1"/>
    <col min="3347" max="3347" width="0" style="428" hidden="1" customWidth="1"/>
    <col min="3348" max="3348" width="4.7109375" style="428" customWidth="1"/>
    <col min="3349" max="3349" width="14.5703125" style="428" bestFit="1" customWidth="1"/>
    <col min="3350" max="3355" width="9.140625" style="428" customWidth="1"/>
    <col min="3356" max="3589" width="8.85546875" style="428"/>
    <col min="3590" max="3590" width="4.7109375" style="428" customWidth="1"/>
    <col min="3591" max="3591" width="27.5703125" style="428" customWidth="1"/>
    <col min="3592" max="3592" width="4.42578125" style="428" customWidth="1"/>
    <col min="3593" max="3594" width="5.42578125" style="428" customWidth="1"/>
    <col min="3595" max="3595" width="12.7109375" style="428" customWidth="1"/>
    <col min="3596" max="3596" width="14.5703125" style="428" customWidth="1"/>
    <col min="3597" max="3597" width="14.28515625" style="428" customWidth="1"/>
    <col min="3598" max="3598" width="13" style="428" customWidth="1"/>
    <col min="3599" max="3599" width="11.85546875" style="428" customWidth="1"/>
    <col min="3600" max="3600" width="11.28515625" style="428" customWidth="1"/>
    <col min="3601" max="3601" width="15.5703125" style="428" customWidth="1"/>
    <col min="3602" max="3602" width="14.42578125" style="428" customWidth="1"/>
    <col min="3603" max="3603" width="0" style="428" hidden="1" customWidth="1"/>
    <col min="3604" max="3604" width="4.7109375" style="428" customWidth="1"/>
    <col min="3605" max="3605" width="14.5703125" style="428" bestFit="1" customWidth="1"/>
    <col min="3606" max="3611" width="9.140625" style="428" customWidth="1"/>
    <col min="3612" max="3845" width="8.85546875" style="428"/>
    <col min="3846" max="3846" width="4.7109375" style="428" customWidth="1"/>
    <col min="3847" max="3847" width="27.5703125" style="428" customWidth="1"/>
    <col min="3848" max="3848" width="4.42578125" style="428" customWidth="1"/>
    <col min="3849" max="3850" width="5.42578125" style="428" customWidth="1"/>
    <col min="3851" max="3851" width="12.7109375" style="428" customWidth="1"/>
    <col min="3852" max="3852" width="14.5703125" style="428" customWidth="1"/>
    <col min="3853" max="3853" width="14.28515625" style="428" customWidth="1"/>
    <col min="3854" max="3854" width="13" style="428" customWidth="1"/>
    <col min="3855" max="3855" width="11.85546875" style="428" customWidth="1"/>
    <col min="3856" max="3856" width="11.28515625" style="428" customWidth="1"/>
    <col min="3857" max="3857" width="15.5703125" style="428" customWidth="1"/>
    <col min="3858" max="3858" width="14.42578125" style="428" customWidth="1"/>
    <col min="3859" max="3859" width="0" style="428" hidden="1" customWidth="1"/>
    <col min="3860" max="3860" width="4.7109375" style="428" customWidth="1"/>
    <col min="3861" max="3861" width="14.5703125" style="428" bestFit="1" customWidth="1"/>
    <col min="3862" max="3867" width="9.140625" style="428" customWidth="1"/>
    <col min="3868" max="4101" width="8.85546875" style="428"/>
    <col min="4102" max="4102" width="4.7109375" style="428" customWidth="1"/>
    <col min="4103" max="4103" width="27.5703125" style="428" customWidth="1"/>
    <col min="4104" max="4104" width="4.42578125" style="428" customWidth="1"/>
    <col min="4105" max="4106" width="5.42578125" style="428" customWidth="1"/>
    <col min="4107" max="4107" width="12.7109375" style="428" customWidth="1"/>
    <col min="4108" max="4108" width="14.5703125" style="428" customWidth="1"/>
    <col min="4109" max="4109" width="14.28515625" style="428" customWidth="1"/>
    <col min="4110" max="4110" width="13" style="428" customWidth="1"/>
    <col min="4111" max="4111" width="11.85546875" style="428" customWidth="1"/>
    <col min="4112" max="4112" width="11.28515625" style="428" customWidth="1"/>
    <col min="4113" max="4113" width="15.5703125" style="428" customWidth="1"/>
    <col min="4114" max="4114" width="14.42578125" style="428" customWidth="1"/>
    <col min="4115" max="4115" width="0" style="428" hidden="1" customWidth="1"/>
    <col min="4116" max="4116" width="4.7109375" style="428" customWidth="1"/>
    <col min="4117" max="4117" width="14.5703125" style="428" bestFit="1" customWidth="1"/>
    <col min="4118" max="4123" width="9.140625" style="428" customWidth="1"/>
    <col min="4124" max="4357" width="8.85546875" style="428"/>
    <col min="4358" max="4358" width="4.7109375" style="428" customWidth="1"/>
    <col min="4359" max="4359" width="27.5703125" style="428" customWidth="1"/>
    <col min="4360" max="4360" width="4.42578125" style="428" customWidth="1"/>
    <col min="4361" max="4362" width="5.42578125" style="428" customWidth="1"/>
    <col min="4363" max="4363" width="12.7109375" style="428" customWidth="1"/>
    <col min="4364" max="4364" width="14.5703125" style="428" customWidth="1"/>
    <col min="4365" max="4365" width="14.28515625" style="428" customWidth="1"/>
    <col min="4366" max="4366" width="13" style="428" customWidth="1"/>
    <col min="4367" max="4367" width="11.85546875" style="428" customWidth="1"/>
    <col min="4368" max="4368" width="11.28515625" style="428" customWidth="1"/>
    <col min="4369" max="4369" width="15.5703125" style="428" customWidth="1"/>
    <col min="4370" max="4370" width="14.42578125" style="428" customWidth="1"/>
    <col min="4371" max="4371" width="0" style="428" hidden="1" customWidth="1"/>
    <col min="4372" max="4372" width="4.7109375" style="428" customWidth="1"/>
    <col min="4373" max="4373" width="14.5703125" style="428" bestFit="1" customWidth="1"/>
    <col min="4374" max="4379" width="9.140625" style="428" customWidth="1"/>
    <col min="4380" max="4613" width="8.85546875" style="428"/>
    <col min="4614" max="4614" width="4.7109375" style="428" customWidth="1"/>
    <col min="4615" max="4615" width="27.5703125" style="428" customWidth="1"/>
    <col min="4616" max="4616" width="4.42578125" style="428" customWidth="1"/>
    <col min="4617" max="4618" width="5.42578125" style="428" customWidth="1"/>
    <col min="4619" max="4619" width="12.7109375" style="428" customWidth="1"/>
    <col min="4620" max="4620" width="14.5703125" style="428" customWidth="1"/>
    <col min="4621" max="4621" width="14.28515625" style="428" customWidth="1"/>
    <col min="4622" max="4622" width="13" style="428" customWidth="1"/>
    <col min="4623" max="4623" width="11.85546875" style="428" customWidth="1"/>
    <col min="4624" max="4624" width="11.28515625" style="428" customWidth="1"/>
    <col min="4625" max="4625" width="15.5703125" style="428" customWidth="1"/>
    <col min="4626" max="4626" width="14.42578125" style="428" customWidth="1"/>
    <col min="4627" max="4627" width="0" style="428" hidden="1" customWidth="1"/>
    <col min="4628" max="4628" width="4.7109375" style="428" customWidth="1"/>
    <col min="4629" max="4629" width="14.5703125" style="428" bestFit="1" customWidth="1"/>
    <col min="4630" max="4635" width="9.140625" style="428" customWidth="1"/>
    <col min="4636" max="4869" width="8.85546875" style="428"/>
    <col min="4870" max="4870" width="4.7109375" style="428" customWidth="1"/>
    <col min="4871" max="4871" width="27.5703125" style="428" customWidth="1"/>
    <col min="4872" max="4872" width="4.42578125" style="428" customWidth="1"/>
    <col min="4873" max="4874" width="5.42578125" style="428" customWidth="1"/>
    <col min="4875" max="4875" width="12.7109375" style="428" customWidth="1"/>
    <col min="4876" max="4876" width="14.5703125" style="428" customWidth="1"/>
    <col min="4877" max="4877" width="14.28515625" style="428" customWidth="1"/>
    <col min="4878" max="4878" width="13" style="428" customWidth="1"/>
    <col min="4879" max="4879" width="11.85546875" style="428" customWidth="1"/>
    <col min="4880" max="4880" width="11.28515625" style="428" customWidth="1"/>
    <col min="4881" max="4881" width="15.5703125" style="428" customWidth="1"/>
    <col min="4882" max="4882" width="14.42578125" style="428" customWidth="1"/>
    <col min="4883" max="4883" width="0" style="428" hidden="1" customWidth="1"/>
    <col min="4884" max="4884" width="4.7109375" style="428" customWidth="1"/>
    <col min="4885" max="4885" width="14.5703125" style="428" bestFit="1" customWidth="1"/>
    <col min="4886" max="4891" width="9.140625" style="428" customWidth="1"/>
    <col min="4892" max="5125" width="8.85546875" style="428"/>
    <col min="5126" max="5126" width="4.7109375" style="428" customWidth="1"/>
    <col min="5127" max="5127" width="27.5703125" style="428" customWidth="1"/>
    <col min="5128" max="5128" width="4.42578125" style="428" customWidth="1"/>
    <col min="5129" max="5130" width="5.42578125" style="428" customWidth="1"/>
    <col min="5131" max="5131" width="12.7109375" style="428" customWidth="1"/>
    <col min="5132" max="5132" width="14.5703125" style="428" customWidth="1"/>
    <col min="5133" max="5133" width="14.28515625" style="428" customWidth="1"/>
    <col min="5134" max="5134" width="13" style="428" customWidth="1"/>
    <col min="5135" max="5135" width="11.85546875" style="428" customWidth="1"/>
    <col min="5136" max="5136" width="11.28515625" style="428" customWidth="1"/>
    <col min="5137" max="5137" width="15.5703125" style="428" customWidth="1"/>
    <col min="5138" max="5138" width="14.42578125" style="428" customWidth="1"/>
    <col min="5139" max="5139" width="0" style="428" hidden="1" customWidth="1"/>
    <col min="5140" max="5140" width="4.7109375" style="428" customWidth="1"/>
    <col min="5141" max="5141" width="14.5703125" style="428" bestFit="1" customWidth="1"/>
    <col min="5142" max="5147" width="9.140625" style="428" customWidth="1"/>
    <col min="5148" max="5381" width="8.85546875" style="428"/>
    <col min="5382" max="5382" width="4.7109375" style="428" customWidth="1"/>
    <col min="5383" max="5383" width="27.5703125" style="428" customWidth="1"/>
    <col min="5384" max="5384" width="4.42578125" style="428" customWidth="1"/>
    <col min="5385" max="5386" width="5.42578125" style="428" customWidth="1"/>
    <col min="5387" max="5387" width="12.7109375" style="428" customWidth="1"/>
    <col min="5388" max="5388" width="14.5703125" style="428" customWidth="1"/>
    <col min="5389" max="5389" width="14.28515625" style="428" customWidth="1"/>
    <col min="5390" max="5390" width="13" style="428" customWidth="1"/>
    <col min="5391" max="5391" width="11.85546875" style="428" customWidth="1"/>
    <col min="5392" max="5392" width="11.28515625" style="428" customWidth="1"/>
    <col min="5393" max="5393" width="15.5703125" style="428" customWidth="1"/>
    <col min="5394" max="5394" width="14.42578125" style="428" customWidth="1"/>
    <col min="5395" max="5395" width="0" style="428" hidden="1" customWidth="1"/>
    <col min="5396" max="5396" width="4.7109375" style="428" customWidth="1"/>
    <col min="5397" max="5397" width="14.5703125" style="428" bestFit="1" customWidth="1"/>
    <col min="5398" max="5403" width="9.140625" style="428" customWidth="1"/>
    <col min="5404" max="5637" width="8.85546875" style="428"/>
    <col min="5638" max="5638" width="4.7109375" style="428" customWidth="1"/>
    <col min="5639" max="5639" width="27.5703125" style="428" customWidth="1"/>
    <col min="5640" max="5640" width="4.42578125" style="428" customWidth="1"/>
    <col min="5641" max="5642" width="5.42578125" style="428" customWidth="1"/>
    <col min="5643" max="5643" width="12.7109375" style="428" customWidth="1"/>
    <col min="5644" max="5644" width="14.5703125" style="428" customWidth="1"/>
    <col min="5645" max="5645" width="14.28515625" style="428" customWidth="1"/>
    <col min="5646" max="5646" width="13" style="428" customWidth="1"/>
    <col min="5647" max="5647" width="11.85546875" style="428" customWidth="1"/>
    <col min="5648" max="5648" width="11.28515625" style="428" customWidth="1"/>
    <col min="5649" max="5649" width="15.5703125" style="428" customWidth="1"/>
    <col min="5650" max="5650" width="14.42578125" style="428" customWidth="1"/>
    <col min="5651" max="5651" width="0" style="428" hidden="1" customWidth="1"/>
    <col min="5652" max="5652" width="4.7109375" style="428" customWidth="1"/>
    <col min="5653" max="5653" width="14.5703125" style="428" bestFit="1" customWidth="1"/>
    <col min="5654" max="5659" width="9.140625" style="428" customWidth="1"/>
    <col min="5660" max="5893" width="8.85546875" style="428"/>
    <col min="5894" max="5894" width="4.7109375" style="428" customWidth="1"/>
    <col min="5895" max="5895" width="27.5703125" style="428" customWidth="1"/>
    <col min="5896" max="5896" width="4.42578125" style="428" customWidth="1"/>
    <col min="5897" max="5898" width="5.42578125" style="428" customWidth="1"/>
    <col min="5899" max="5899" width="12.7109375" style="428" customWidth="1"/>
    <col min="5900" max="5900" width="14.5703125" style="428" customWidth="1"/>
    <col min="5901" max="5901" width="14.28515625" style="428" customWidth="1"/>
    <col min="5902" max="5902" width="13" style="428" customWidth="1"/>
    <col min="5903" max="5903" width="11.85546875" style="428" customWidth="1"/>
    <col min="5904" max="5904" width="11.28515625" style="428" customWidth="1"/>
    <col min="5905" max="5905" width="15.5703125" style="428" customWidth="1"/>
    <col min="5906" max="5906" width="14.42578125" style="428" customWidth="1"/>
    <col min="5907" max="5907" width="0" style="428" hidden="1" customWidth="1"/>
    <col min="5908" max="5908" width="4.7109375" style="428" customWidth="1"/>
    <col min="5909" max="5909" width="14.5703125" style="428" bestFit="1" customWidth="1"/>
    <col min="5910" max="5915" width="9.140625" style="428" customWidth="1"/>
    <col min="5916" max="6149" width="8.85546875" style="428"/>
    <col min="6150" max="6150" width="4.7109375" style="428" customWidth="1"/>
    <col min="6151" max="6151" width="27.5703125" style="428" customWidth="1"/>
    <col min="6152" max="6152" width="4.42578125" style="428" customWidth="1"/>
    <col min="6153" max="6154" width="5.42578125" style="428" customWidth="1"/>
    <col min="6155" max="6155" width="12.7109375" style="428" customWidth="1"/>
    <col min="6156" max="6156" width="14.5703125" style="428" customWidth="1"/>
    <col min="6157" max="6157" width="14.28515625" style="428" customWidth="1"/>
    <col min="6158" max="6158" width="13" style="428" customWidth="1"/>
    <col min="6159" max="6159" width="11.85546875" style="428" customWidth="1"/>
    <col min="6160" max="6160" width="11.28515625" style="428" customWidth="1"/>
    <col min="6161" max="6161" width="15.5703125" style="428" customWidth="1"/>
    <col min="6162" max="6162" width="14.42578125" style="428" customWidth="1"/>
    <col min="6163" max="6163" width="0" style="428" hidden="1" customWidth="1"/>
    <col min="6164" max="6164" width="4.7109375" style="428" customWidth="1"/>
    <col min="6165" max="6165" width="14.5703125" style="428" bestFit="1" customWidth="1"/>
    <col min="6166" max="6171" width="9.140625" style="428" customWidth="1"/>
    <col min="6172" max="6405" width="8.85546875" style="428"/>
    <col min="6406" max="6406" width="4.7109375" style="428" customWidth="1"/>
    <col min="6407" max="6407" width="27.5703125" style="428" customWidth="1"/>
    <col min="6408" max="6408" width="4.42578125" style="428" customWidth="1"/>
    <col min="6409" max="6410" width="5.42578125" style="428" customWidth="1"/>
    <col min="6411" max="6411" width="12.7109375" style="428" customWidth="1"/>
    <col min="6412" max="6412" width="14.5703125" style="428" customWidth="1"/>
    <col min="6413" max="6413" width="14.28515625" style="428" customWidth="1"/>
    <col min="6414" max="6414" width="13" style="428" customWidth="1"/>
    <col min="6415" max="6415" width="11.85546875" style="428" customWidth="1"/>
    <col min="6416" max="6416" width="11.28515625" style="428" customWidth="1"/>
    <col min="6417" max="6417" width="15.5703125" style="428" customWidth="1"/>
    <col min="6418" max="6418" width="14.42578125" style="428" customWidth="1"/>
    <col min="6419" max="6419" width="0" style="428" hidden="1" customWidth="1"/>
    <col min="6420" max="6420" width="4.7109375" style="428" customWidth="1"/>
    <col min="6421" max="6421" width="14.5703125" style="428" bestFit="1" customWidth="1"/>
    <col min="6422" max="6427" width="9.140625" style="428" customWidth="1"/>
    <col min="6428" max="6661" width="8.85546875" style="428"/>
    <col min="6662" max="6662" width="4.7109375" style="428" customWidth="1"/>
    <col min="6663" max="6663" width="27.5703125" style="428" customWidth="1"/>
    <col min="6664" max="6664" width="4.42578125" style="428" customWidth="1"/>
    <col min="6665" max="6666" width="5.42578125" style="428" customWidth="1"/>
    <col min="6667" max="6667" width="12.7109375" style="428" customWidth="1"/>
    <col min="6668" max="6668" width="14.5703125" style="428" customWidth="1"/>
    <col min="6669" max="6669" width="14.28515625" style="428" customWidth="1"/>
    <col min="6670" max="6670" width="13" style="428" customWidth="1"/>
    <col min="6671" max="6671" width="11.85546875" style="428" customWidth="1"/>
    <col min="6672" max="6672" width="11.28515625" style="428" customWidth="1"/>
    <col min="6673" max="6673" width="15.5703125" style="428" customWidth="1"/>
    <col min="6674" max="6674" width="14.42578125" style="428" customWidth="1"/>
    <col min="6675" max="6675" width="0" style="428" hidden="1" customWidth="1"/>
    <col min="6676" max="6676" width="4.7109375" style="428" customWidth="1"/>
    <col min="6677" max="6677" width="14.5703125" style="428" bestFit="1" customWidth="1"/>
    <col min="6678" max="6683" width="9.140625" style="428" customWidth="1"/>
    <col min="6684" max="6917" width="8.85546875" style="428"/>
    <col min="6918" max="6918" width="4.7109375" style="428" customWidth="1"/>
    <col min="6919" max="6919" width="27.5703125" style="428" customWidth="1"/>
    <col min="6920" max="6920" width="4.42578125" style="428" customWidth="1"/>
    <col min="6921" max="6922" width="5.42578125" style="428" customWidth="1"/>
    <col min="6923" max="6923" width="12.7109375" style="428" customWidth="1"/>
    <col min="6924" max="6924" width="14.5703125" style="428" customWidth="1"/>
    <col min="6925" max="6925" width="14.28515625" style="428" customWidth="1"/>
    <col min="6926" max="6926" width="13" style="428" customWidth="1"/>
    <col min="6927" max="6927" width="11.85546875" style="428" customWidth="1"/>
    <col min="6928" max="6928" width="11.28515625" style="428" customWidth="1"/>
    <col min="6929" max="6929" width="15.5703125" style="428" customWidth="1"/>
    <col min="6930" max="6930" width="14.42578125" style="428" customWidth="1"/>
    <col min="6931" max="6931" width="0" style="428" hidden="1" customWidth="1"/>
    <col min="6932" max="6932" width="4.7109375" style="428" customWidth="1"/>
    <col min="6933" max="6933" width="14.5703125" style="428" bestFit="1" customWidth="1"/>
    <col min="6934" max="6939" width="9.140625" style="428" customWidth="1"/>
    <col min="6940" max="7173" width="8.85546875" style="428"/>
    <col min="7174" max="7174" width="4.7109375" style="428" customWidth="1"/>
    <col min="7175" max="7175" width="27.5703125" style="428" customWidth="1"/>
    <col min="7176" max="7176" width="4.42578125" style="428" customWidth="1"/>
    <col min="7177" max="7178" width="5.42578125" style="428" customWidth="1"/>
    <col min="7179" max="7179" width="12.7109375" style="428" customWidth="1"/>
    <col min="7180" max="7180" width="14.5703125" style="428" customWidth="1"/>
    <col min="7181" max="7181" width="14.28515625" style="428" customWidth="1"/>
    <col min="7182" max="7182" width="13" style="428" customWidth="1"/>
    <col min="7183" max="7183" width="11.85546875" style="428" customWidth="1"/>
    <col min="7184" max="7184" width="11.28515625" style="428" customWidth="1"/>
    <col min="7185" max="7185" width="15.5703125" style="428" customWidth="1"/>
    <col min="7186" max="7186" width="14.42578125" style="428" customWidth="1"/>
    <col min="7187" max="7187" width="0" style="428" hidden="1" customWidth="1"/>
    <col min="7188" max="7188" width="4.7109375" style="428" customWidth="1"/>
    <col min="7189" max="7189" width="14.5703125" style="428" bestFit="1" customWidth="1"/>
    <col min="7190" max="7195" width="9.140625" style="428" customWidth="1"/>
    <col min="7196" max="7429" width="8.85546875" style="428"/>
    <col min="7430" max="7430" width="4.7109375" style="428" customWidth="1"/>
    <col min="7431" max="7431" width="27.5703125" style="428" customWidth="1"/>
    <col min="7432" max="7432" width="4.42578125" style="428" customWidth="1"/>
    <col min="7433" max="7434" width="5.42578125" style="428" customWidth="1"/>
    <col min="7435" max="7435" width="12.7109375" style="428" customWidth="1"/>
    <col min="7436" max="7436" width="14.5703125" style="428" customWidth="1"/>
    <col min="7437" max="7437" width="14.28515625" style="428" customWidth="1"/>
    <col min="7438" max="7438" width="13" style="428" customWidth="1"/>
    <col min="7439" max="7439" width="11.85546875" style="428" customWidth="1"/>
    <col min="7440" max="7440" width="11.28515625" style="428" customWidth="1"/>
    <col min="7441" max="7441" width="15.5703125" style="428" customWidth="1"/>
    <col min="7442" max="7442" width="14.42578125" style="428" customWidth="1"/>
    <col min="7443" max="7443" width="0" style="428" hidden="1" customWidth="1"/>
    <col min="7444" max="7444" width="4.7109375" style="428" customWidth="1"/>
    <col min="7445" max="7445" width="14.5703125" style="428" bestFit="1" customWidth="1"/>
    <col min="7446" max="7451" width="9.140625" style="428" customWidth="1"/>
    <col min="7452" max="7685" width="8.85546875" style="428"/>
    <col min="7686" max="7686" width="4.7109375" style="428" customWidth="1"/>
    <col min="7687" max="7687" width="27.5703125" style="428" customWidth="1"/>
    <col min="7688" max="7688" width="4.42578125" style="428" customWidth="1"/>
    <col min="7689" max="7690" width="5.42578125" style="428" customWidth="1"/>
    <col min="7691" max="7691" width="12.7109375" style="428" customWidth="1"/>
    <col min="7692" max="7692" width="14.5703125" style="428" customWidth="1"/>
    <col min="7693" max="7693" width="14.28515625" style="428" customWidth="1"/>
    <col min="7694" max="7694" width="13" style="428" customWidth="1"/>
    <col min="7695" max="7695" width="11.85546875" style="428" customWidth="1"/>
    <col min="7696" max="7696" width="11.28515625" style="428" customWidth="1"/>
    <col min="7697" max="7697" width="15.5703125" style="428" customWidth="1"/>
    <col min="7698" max="7698" width="14.42578125" style="428" customWidth="1"/>
    <col min="7699" max="7699" width="0" style="428" hidden="1" customWidth="1"/>
    <col min="7700" max="7700" width="4.7109375" style="428" customWidth="1"/>
    <col min="7701" max="7701" width="14.5703125" style="428" bestFit="1" customWidth="1"/>
    <col min="7702" max="7707" width="9.140625" style="428" customWidth="1"/>
    <col min="7708" max="7941" width="8.85546875" style="428"/>
    <col min="7942" max="7942" width="4.7109375" style="428" customWidth="1"/>
    <col min="7943" max="7943" width="27.5703125" style="428" customWidth="1"/>
    <col min="7944" max="7944" width="4.42578125" style="428" customWidth="1"/>
    <col min="7945" max="7946" width="5.42578125" style="428" customWidth="1"/>
    <col min="7947" max="7947" width="12.7109375" style="428" customWidth="1"/>
    <col min="7948" max="7948" width="14.5703125" style="428" customWidth="1"/>
    <col min="7949" max="7949" width="14.28515625" style="428" customWidth="1"/>
    <col min="7950" max="7950" width="13" style="428" customWidth="1"/>
    <col min="7951" max="7951" width="11.85546875" style="428" customWidth="1"/>
    <col min="7952" max="7952" width="11.28515625" style="428" customWidth="1"/>
    <col min="7953" max="7953" width="15.5703125" style="428" customWidth="1"/>
    <col min="7954" max="7954" width="14.42578125" style="428" customWidth="1"/>
    <col min="7955" max="7955" width="0" style="428" hidden="1" customWidth="1"/>
    <col min="7956" max="7956" width="4.7109375" style="428" customWidth="1"/>
    <col min="7957" max="7957" width="14.5703125" style="428" bestFit="1" customWidth="1"/>
    <col min="7958" max="7963" width="9.140625" style="428" customWidth="1"/>
    <col min="7964" max="8197" width="8.85546875" style="428"/>
    <col min="8198" max="8198" width="4.7109375" style="428" customWidth="1"/>
    <col min="8199" max="8199" width="27.5703125" style="428" customWidth="1"/>
    <col min="8200" max="8200" width="4.42578125" style="428" customWidth="1"/>
    <col min="8201" max="8202" width="5.42578125" style="428" customWidth="1"/>
    <col min="8203" max="8203" width="12.7109375" style="428" customWidth="1"/>
    <col min="8204" max="8204" width="14.5703125" style="428" customWidth="1"/>
    <col min="8205" max="8205" width="14.28515625" style="428" customWidth="1"/>
    <col min="8206" max="8206" width="13" style="428" customWidth="1"/>
    <col min="8207" max="8207" width="11.85546875" style="428" customWidth="1"/>
    <col min="8208" max="8208" width="11.28515625" style="428" customWidth="1"/>
    <col min="8209" max="8209" width="15.5703125" style="428" customWidth="1"/>
    <col min="8210" max="8210" width="14.42578125" style="428" customWidth="1"/>
    <col min="8211" max="8211" width="0" style="428" hidden="1" customWidth="1"/>
    <col min="8212" max="8212" width="4.7109375" style="428" customWidth="1"/>
    <col min="8213" max="8213" width="14.5703125" style="428" bestFit="1" customWidth="1"/>
    <col min="8214" max="8219" width="9.140625" style="428" customWidth="1"/>
    <col min="8220" max="8453" width="8.85546875" style="428"/>
    <col min="8454" max="8454" width="4.7109375" style="428" customWidth="1"/>
    <col min="8455" max="8455" width="27.5703125" style="428" customWidth="1"/>
    <col min="8456" max="8456" width="4.42578125" style="428" customWidth="1"/>
    <col min="8457" max="8458" width="5.42578125" style="428" customWidth="1"/>
    <col min="8459" max="8459" width="12.7109375" style="428" customWidth="1"/>
    <col min="8460" max="8460" width="14.5703125" style="428" customWidth="1"/>
    <col min="8461" max="8461" width="14.28515625" style="428" customWidth="1"/>
    <col min="8462" max="8462" width="13" style="428" customWidth="1"/>
    <col min="8463" max="8463" width="11.85546875" style="428" customWidth="1"/>
    <col min="8464" max="8464" width="11.28515625" style="428" customWidth="1"/>
    <col min="8465" max="8465" width="15.5703125" style="428" customWidth="1"/>
    <col min="8466" max="8466" width="14.42578125" style="428" customWidth="1"/>
    <col min="8467" max="8467" width="0" style="428" hidden="1" customWidth="1"/>
    <col min="8468" max="8468" width="4.7109375" style="428" customWidth="1"/>
    <col min="8469" max="8469" width="14.5703125" style="428" bestFit="1" customWidth="1"/>
    <col min="8470" max="8475" width="9.140625" style="428" customWidth="1"/>
    <col min="8476" max="8709" width="8.85546875" style="428"/>
    <col min="8710" max="8710" width="4.7109375" style="428" customWidth="1"/>
    <col min="8711" max="8711" width="27.5703125" style="428" customWidth="1"/>
    <col min="8712" max="8712" width="4.42578125" style="428" customWidth="1"/>
    <col min="8713" max="8714" width="5.42578125" style="428" customWidth="1"/>
    <col min="8715" max="8715" width="12.7109375" style="428" customWidth="1"/>
    <col min="8716" max="8716" width="14.5703125" style="428" customWidth="1"/>
    <col min="8717" max="8717" width="14.28515625" style="428" customWidth="1"/>
    <col min="8718" max="8718" width="13" style="428" customWidth="1"/>
    <col min="8719" max="8719" width="11.85546875" style="428" customWidth="1"/>
    <col min="8720" max="8720" width="11.28515625" style="428" customWidth="1"/>
    <col min="8721" max="8721" width="15.5703125" style="428" customWidth="1"/>
    <col min="8722" max="8722" width="14.42578125" style="428" customWidth="1"/>
    <col min="8723" max="8723" width="0" style="428" hidden="1" customWidth="1"/>
    <col min="8724" max="8724" width="4.7109375" style="428" customWidth="1"/>
    <col min="8725" max="8725" width="14.5703125" style="428" bestFit="1" customWidth="1"/>
    <col min="8726" max="8731" width="9.140625" style="428" customWidth="1"/>
    <col min="8732" max="8965" width="8.85546875" style="428"/>
    <col min="8966" max="8966" width="4.7109375" style="428" customWidth="1"/>
    <col min="8967" max="8967" width="27.5703125" style="428" customWidth="1"/>
    <col min="8968" max="8968" width="4.42578125" style="428" customWidth="1"/>
    <col min="8969" max="8970" width="5.42578125" style="428" customWidth="1"/>
    <col min="8971" max="8971" width="12.7109375" style="428" customWidth="1"/>
    <col min="8972" max="8972" width="14.5703125" style="428" customWidth="1"/>
    <col min="8973" max="8973" width="14.28515625" style="428" customWidth="1"/>
    <col min="8974" max="8974" width="13" style="428" customWidth="1"/>
    <col min="8975" max="8975" width="11.85546875" style="428" customWidth="1"/>
    <col min="8976" max="8976" width="11.28515625" style="428" customWidth="1"/>
    <col min="8977" max="8977" width="15.5703125" style="428" customWidth="1"/>
    <col min="8978" max="8978" width="14.42578125" style="428" customWidth="1"/>
    <col min="8979" max="8979" width="0" style="428" hidden="1" customWidth="1"/>
    <col min="8980" max="8980" width="4.7109375" style="428" customWidth="1"/>
    <col min="8981" max="8981" width="14.5703125" style="428" bestFit="1" customWidth="1"/>
    <col min="8982" max="8987" width="9.140625" style="428" customWidth="1"/>
    <col min="8988" max="9221" width="8.85546875" style="428"/>
    <col min="9222" max="9222" width="4.7109375" style="428" customWidth="1"/>
    <col min="9223" max="9223" width="27.5703125" style="428" customWidth="1"/>
    <col min="9224" max="9224" width="4.42578125" style="428" customWidth="1"/>
    <col min="9225" max="9226" width="5.42578125" style="428" customWidth="1"/>
    <col min="9227" max="9227" width="12.7109375" style="428" customWidth="1"/>
    <col min="9228" max="9228" width="14.5703125" style="428" customWidth="1"/>
    <col min="9229" max="9229" width="14.28515625" style="428" customWidth="1"/>
    <col min="9230" max="9230" width="13" style="428" customWidth="1"/>
    <col min="9231" max="9231" width="11.85546875" style="428" customWidth="1"/>
    <col min="9232" max="9232" width="11.28515625" style="428" customWidth="1"/>
    <col min="9233" max="9233" width="15.5703125" style="428" customWidth="1"/>
    <col min="9234" max="9234" width="14.42578125" style="428" customWidth="1"/>
    <col min="9235" max="9235" width="0" style="428" hidden="1" customWidth="1"/>
    <col min="9236" max="9236" width="4.7109375" style="428" customWidth="1"/>
    <col min="9237" max="9237" width="14.5703125" style="428" bestFit="1" customWidth="1"/>
    <col min="9238" max="9243" width="9.140625" style="428" customWidth="1"/>
    <col min="9244" max="9477" width="8.85546875" style="428"/>
    <col min="9478" max="9478" width="4.7109375" style="428" customWidth="1"/>
    <col min="9479" max="9479" width="27.5703125" style="428" customWidth="1"/>
    <col min="9480" max="9480" width="4.42578125" style="428" customWidth="1"/>
    <col min="9481" max="9482" width="5.42578125" style="428" customWidth="1"/>
    <col min="9483" max="9483" width="12.7109375" style="428" customWidth="1"/>
    <col min="9484" max="9484" width="14.5703125" style="428" customWidth="1"/>
    <col min="9485" max="9485" width="14.28515625" style="428" customWidth="1"/>
    <col min="9486" max="9486" width="13" style="428" customWidth="1"/>
    <col min="9487" max="9487" width="11.85546875" style="428" customWidth="1"/>
    <col min="9488" max="9488" width="11.28515625" style="428" customWidth="1"/>
    <col min="9489" max="9489" width="15.5703125" style="428" customWidth="1"/>
    <col min="9490" max="9490" width="14.42578125" style="428" customWidth="1"/>
    <col min="9491" max="9491" width="0" style="428" hidden="1" customWidth="1"/>
    <col min="9492" max="9492" width="4.7109375" style="428" customWidth="1"/>
    <col min="9493" max="9493" width="14.5703125" style="428" bestFit="1" customWidth="1"/>
    <col min="9494" max="9499" width="9.140625" style="428" customWidth="1"/>
    <col min="9500" max="9733" width="8.85546875" style="428"/>
    <col min="9734" max="9734" width="4.7109375" style="428" customWidth="1"/>
    <col min="9735" max="9735" width="27.5703125" style="428" customWidth="1"/>
    <col min="9736" max="9736" width="4.42578125" style="428" customWidth="1"/>
    <col min="9737" max="9738" width="5.42578125" style="428" customWidth="1"/>
    <col min="9739" max="9739" width="12.7109375" style="428" customWidth="1"/>
    <col min="9740" max="9740" width="14.5703125" style="428" customWidth="1"/>
    <col min="9741" max="9741" width="14.28515625" style="428" customWidth="1"/>
    <col min="9742" max="9742" width="13" style="428" customWidth="1"/>
    <col min="9743" max="9743" width="11.85546875" style="428" customWidth="1"/>
    <col min="9744" max="9744" width="11.28515625" style="428" customWidth="1"/>
    <col min="9745" max="9745" width="15.5703125" style="428" customWidth="1"/>
    <col min="9746" max="9746" width="14.42578125" style="428" customWidth="1"/>
    <col min="9747" max="9747" width="0" style="428" hidden="1" customWidth="1"/>
    <col min="9748" max="9748" width="4.7109375" style="428" customWidth="1"/>
    <col min="9749" max="9749" width="14.5703125" style="428" bestFit="1" customWidth="1"/>
    <col min="9750" max="9755" width="9.140625" style="428" customWidth="1"/>
    <col min="9756" max="9989" width="8.85546875" style="428"/>
    <col min="9990" max="9990" width="4.7109375" style="428" customWidth="1"/>
    <col min="9991" max="9991" width="27.5703125" style="428" customWidth="1"/>
    <col min="9992" max="9992" width="4.42578125" style="428" customWidth="1"/>
    <col min="9993" max="9994" width="5.42578125" style="428" customWidth="1"/>
    <col min="9995" max="9995" width="12.7109375" style="428" customWidth="1"/>
    <col min="9996" max="9996" width="14.5703125" style="428" customWidth="1"/>
    <col min="9997" max="9997" width="14.28515625" style="428" customWidth="1"/>
    <col min="9998" max="9998" width="13" style="428" customWidth="1"/>
    <col min="9999" max="9999" width="11.85546875" style="428" customWidth="1"/>
    <col min="10000" max="10000" width="11.28515625" style="428" customWidth="1"/>
    <col min="10001" max="10001" width="15.5703125" style="428" customWidth="1"/>
    <col min="10002" max="10002" width="14.42578125" style="428" customWidth="1"/>
    <col min="10003" max="10003" width="0" style="428" hidden="1" customWidth="1"/>
    <col min="10004" max="10004" width="4.7109375" style="428" customWidth="1"/>
    <col min="10005" max="10005" width="14.5703125" style="428" bestFit="1" customWidth="1"/>
    <col min="10006" max="10011" width="9.140625" style="428" customWidth="1"/>
    <col min="10012" max="10245" width="8.85546875" style="428"/>
    <col min="10246" max="10246" width="4.7109375" style="428" customWidth="1"/>
    <col min="10247" max="10247" width="27.5703125" style="428" customWidth="1"/>
    <col min="10248" max="10248" width="4.42578125" style="428" customWidth="1"/>
    <col min="10249" max="10250" width="5.42578125" style="428" customWidth="1"/>
    <col min="10251" max="10251" width="12.7109375" style="428" customWidth="1"/>
    <col min="10252" max="10252" width="14.5703125" style="428" customWidth="1"/>
    <col min="10253" max="10253" width="14.28515625" style="428" customWidth="1"/>
    <col min="10254" max="10254" width="13" style="428" customWidth="1"/>
    <col min="10255" max="10255" width="11.85546875" style="428" customWidth="1"/>
    <col min="10256" max="10256" width="11.28515625" style="428" customWidth="1"/>
    <col min="10257" max="10257" width="15.5703125" style="428" customWidth="1"/>
    <col min="10258" max="10258" width="14.42578125" style="428" customWidth="1"/>
    <col min="10259" max="10259" width="0" style="428" hidden="1" customWidth="1"/>
    <col min="10260" max="10260" width="4.7109375" style="428" customWidth="1"/>
    <col min="10261" max="10261" width="14.5703125" style="428" bestFit="1" customWidth="1"/>
    <col min="10262" max="10267" width="9.140625" style="428" customWidth="1"/>
    <col min="10268" max="10501" width="8.85546875" style="428"/>
    <col min="10502" max="10502" width="4.7109375" style="428" customWidth="1"/>
    <col min="10503" max="10503" width="27.5703125" style="428" customWidth="1"/>
    <col min="10504" max="10504" width="4.42578125" style="428" customWidth="1"/>
    <col min="10505" max="10506" width="5.42578125" style="428" customWidth="1"/>
    <col min="10507" max="10507" width="12.7109375" style="428" customWidth="1"/>
    <col min="10508" max="10508" width="14.5703125" style="428" customWidth="1"/>
    <col min="10509" max="10509" width="14.28515625" style="428" customWidth="1"/>
    <col min="10510" max="10510" width="13" style="428" customWidth="1"/>
    <col min="10511" max="10511" width="11.85546875" style="428" customWidth="1"/>
    <col min="10512" max="10512" width="11.28515625" style="428" customWidth="1"/>
    <col min="10513" max="10513" width="15.5703125" style="428" customWidth="1"/>
    <col min="10514" max="10514" width="14.42578125" style="428" customWidth="1"/>
    <col min="10515" max="10515" width="0" style="428" hidden="1" customWidth="1"/>
    <col min="10516" max="10516" width="4.7109375" style="428" customWidth="1"/>
    <col min="10517" max="10517" width="14.5703125" style="428" bestFit="1" customWidth="1"/>
    <col min="10518" max="10523" width="9.140625" style="428" customWidth="1"/>
    <col min="10524" max="10757" width="8.85546875" style="428"/>
    <col min="10758" max="10758" width="4.7109375" style="428" customWidth="1"/>
    <col min="10759" max="10759" width="27.5703125" style="428" customWidth="1"/>
    <col min="10760" max="10760" width="4.42578125" style="428" customWidth="1"/>
    <col min="10761" max="10762" width="5.42578125" style="428" customWidth="1"/>
    <col min="10763" max="10763" width="12.7109375" style="428" customWidth="1"/>
    <col min="10764" max="10764" width="14.5703125" style="428" customWidth="1"/>
    <col min="10765" max="10765" width="14.28515625" style="428" customWidth="1"/>
    <col min="10766" max="10766" width="13" style="428" customWidth="1"/>
    <col min="10767" max="10767" width="11.85546875" style="428" customWidth="1"/>
    <col min="10768" max="10768" width="11.28515625" style="428" customWidth="1"/>
    <col min="10769" max="10769" width="15.5703125" style="428" customWidth="1"/>
    <col min="10770" max="10770" width="14.42578125" style="428" customWidth="1"/>
    <col min="10771" max="10771" width="0" style="428" hidden="1" customWidth="1"/>
    <col min="10772" max="10772" width="4.7109375" style="428" customWidth="1"/>
    <col min="10773" max="10773" width="14.5703125" style="428" bestFit="1" customWidth="1"/>
    <col min="10774" max="10779" width="9.140625" style="428" customWidth="1"/>
    <col min="10780" max="11013" width="8.85546875" style="428"/>
    <col min="11014" max="11014" width="4.7109375" style="428" customWidth="1"/>
    <col min="11015" max="11015" width="27.5703125" style="428" customWidth="1"/>
    <col min="11016" max="11016" width="4.42578125" style="428" customWidth="1"/>
    <col min="11017" max="11018" width="5.42578125" style="428" customWidth="1"/>
    <col min="11019" max="11019" width="12.7109375" style="428" customWidth="1"/>
    <col min="11020" max="11020" width="14.5703125" style="428" customWidth="1"/>
    <col min="11021" max="11021" width="14.28515625" style="428" customWidth="1"/>
    <col min="11022" max="11022" width="13" style="428" customWidth="1"/>
    <col min="11023" max="11023" width="11.85546875" style="428" customWidth="1"/>
    <col min="11024" max="11024" width="11.28515625" style="428" customWidth="1"/>
    <col min="11025" max="11025" width="15.5703125" style="428" customWidth="1"/>
    <col min="11026" max="11026" width="14.42578125" style="428" customWidth="1"/>
    <col min="11027" max="11027" width="0" style="428" hidden="1" customWidth="1"/>
    <col min="11028" max="11028" width="4.7109375" style="428" customWidth="1"/>
    <col min="11029" max="11029" width="14.5703125" style="428" bestFit="1" customWidth="1"/>
    <col min="11030" max="11035" width="9.140625" style="428" customWidth="1"/>
    <col min="11036" max="11269" width="8.85546875" style="428"/>
    <col min="11270" max="11270" width="4.7109375" style="428" customWidth="1"/>
    <col min="11271" max="11271" width="27.5703125" style="428" customWidth="1"/>
    <col min="11272" max="11272" width="4.42578125" style="428" customWidth="1"/>
    <col min="11273" max="11274" width="5.42578125" style="428" customWidth="1"/>
    <col min="11275" max="11275" width="12.7109375" style="428" customWidth="1"/>
    <col min="11276" max="11276" width="14.5703125" style="428" customWidth="1"/>
    <col min="11277" max="11277" width="14.28515625" style="428" customWidth="1"/>
    <col min="11278" max="11278" width="13" style="428" customWidth="1"/>
    <col min="11279" max="11279" width="11.85546875" style="428" customWidth="1"/>
    <col min="11280" max="11280" width="11.28515625" style="428" customWidth="1"/>
    <col min="11281" max="11281" width="15.5703125" style="428" customWidth="1"/>
    <col min="11282" max="11282" width="14.42578125" style="428" customWidth="1"/>
    <col min="11283" max="11283" width="0" style="428" hidden="1" customWidth="1"/>
    <col min="11284" max="11284" width="4.7109375" style="428" customWidth="1"/>
    <col min="11285" max="11285" width="14.5703125" style="428" bestFit="1" customWidth="1"/>
    <col min="11286" max="11291" width="9.140625" style="428" customWidth="1"/>
    <col min="11292" max="11525" width="8.85546875" style="428"/>
    <col min="11526" max="11526" width="4.7109375" style="428" customWidth="1"/>
    <col min="11527" max="11527" width="27.5703125" style="428" customWidth="1"/>
    <col min="11528" max="11528" width="4.42578125" style="428" customWidth="1"/>
    <col min="11529" max="11530" width="5.42578125" style="428" customWidth="1"/>
    <col min="11531" max="11531" width="12.7109375" style="428" customWidth="1"/>
    <col min="11532" max="11532" width="14.5703125" style="428" customWidth="1"/>
    <col min="11533" max="11533" width="14.28515625" style="428" customWidth="1"/>
    <col min="11534" max="11534" width="13" style="428" customWidth="1"/>
    <col min="11535" max="11535" width="11.85546875" style="428" customWidth="1"/>
    <col min="11536" max="11536" width="11.28515625" style="428" customWidth="1"/>
    <col min="11537" max="11537" width="15.5703125" style="428" customWidth="1"/>
    <col min="11538" max="11538" width="14.42578125" style="428" customWidth="1"/>
    <col min="11539" max="11539" width="0" style="428" hidden="1" customWidth="1"/>
    <col min="11540" max="11540" width="4.7109375" style="428" customWidth="1"/>
    <col min="11541" max="11541" width="14.5703125" style="428" bestFit="1" customWidth="1"/>
    <col min="11542" max="11547" width="9.140625" style="428" customWidth="1"/>
    <col min="11548" max="11781" width="8.85546875" style="428"/>
    <col min="11782" max="11782" width="4.7109375" style="428" customWidth="1"/>
    <col min="11783" max="11783" width="27.5703125" style="428" customWidth="1"/>
    <col min="11784" max="11784" width="4.42578125" style="428" customWidth="1"/>
    <col min="11785" max="11786" width="5.42578125" style="428" customWidth="1"/>
    <col min="11787" max="11787" width="12.7109375" style="428" customWidth="1"/>
    <col min="11788" max="11788" width="14.5703125" style="428" customWidth="1"/>
    <col min="11789" max="11789" width="14.28515625" style="428" customWidth="1"/>
    <col min="11790" max="11790" width="13" style="428" customWidth="1"/>
    <col min="11791" max="11791" width="11.85546875" style="428" customWidth="1"/>
    <col min="11792" max="11792" width="11.28515625" style="428" customWidth="1"/>
    <col min="11793" max="11793" width="15.5703125" style="428" customWidth="1"/>
    <col min="11794" max="11794" width="14.42578125" style="428" customWidth="1"/>
    <col min="11795" max="11795" width="0" style="428" hidden="1" customWidth="1"/>
    <col min="11796" max="11796" width="4.7109375" style="428" customWidth="1"/>
    <col min="11797" max="11797" width="14.5703125" style="428" bestFit="1" customWidth="1"/>
    <col min="11798" max="11803" width="9.140625" style="428" customWidth="1"/>
    <col min="11804" max="12037" width="8.85546875" style="428"/>
    <col min="12038" max="12038" width="4.7109375" style="428" customWidth="1"/>
    <col min="12039" max="12039" width="27.5703125" style="428" customWidth="1"/>
    <col min="12040" max="12040" width="4.42578125" style="428" customWidth="1"/>
    <col min="12041" max="12042" width="5.42578125" style="428" customWidth="1"/>
    <col min="12043" max="12043" width="12.7109375" style="428" customWidth="1"/>
    <col min="12044" max="12044" width="14.5703125" style="428" customWidth="1"/>
    <col min="12045" max="12045" width="14.28515625" style="428" customWidth="1"/>
    <col min="12046" max="12046" width="13" style="428" customWidth="1"/>
    <col min="12047" max="12047" width="11.85546875" style="428" customWidth="1"/>
    <col min="12048" max="12048" width="11.28515625" style="428" customWidth="1"/>
    <col min="12049" max="12049" width="15.5703125" style="428" customWidth="1"/>
    <col min="12050" max="12050" width="14.42578125" style="428" customWidth="1"/>
    <col min="12051" max="12051" width="0" style="428" hidden="1" customWidth="1"/>
    <col min="12052" max="12052" width="4.7109375" style="428" customWidth="1"/>
    <col min="12053" max="12053" width="14.5703125" style="428" bestFit="1" customWidth="1"/>
    <col min="12054" max="12059" width="9.140625" style="428" customWidth="1"/>
    <col min="12060" max="12293" width="8.85546875" style="428"/>
    <col min="12294" max="12294" width="4.7109375" style="428" customWidth="1"/>
    <col min="12295" max="12295" width="27.5703125" style="428" customWidth="1"/>
    <col min="12296" max="12296" width="4.42578125" style="428" customWidth="1"/>
    <col min="12297" max="12298" width="5.42578125" style="428" customWidth="1"/>
    <col min="12299" max="12299" width="12.7109375" style="428" customWidth="1"/>
    <col min="12300" max="12300" width="14.5703125" style="428" customWidth="1"/>
    <col min="12301" max="12301" width="14.28515625" style="428" customWidth="1"/>
    <col min="12302" max="12302" width="13" style="428" customWidth="1"/>
    <col min="12303" max="12303" width="11.85546875" style="428" customWidth="1"/>
    <col min="12304" max="12304" width="11.28515625" style="428" customWidth="1"/>
    <col min="12305" max="12305" width="15.5703125" style="428" customWidth="1"/>
    <col min="12306" max="12306" width="14.42578125" style="428" customWidth="1"/>
    <col min="12307" max="12307" width="0" style="428" hidden="1" customWidth="1"/>
    <col min="12308" max="12308" width="4.7109375" style="428" customWidth="1"/>
    <col min="12309" max="12309" width="14.5703125" style="428" bestFit="1" customWidth="1"/>
    <col min="12310" max="12315" width="9.140625" style="428" customWidth="1"/>
    <col min="12316" max="12549" width="8.85546875" style="428"/>
    <col min="12550" max="12550" width="4.7109375" style="428" customWidth="1"/>
    <col min="12551" max="12551" width="27.5703125" style="428" customWidth="1"/>
    <col min="12552" max="12552" width="4.42578125" style="428" customWidth="1"/>
    <col min="12553" max="12554" width="5.42578125" style="428" customWidth="1"/>
    <col min="12555" max="12555" width="12.7109375" style="428" customWidth="1"/>
    <col min="12556" max="12556" width="14.5703125" style="428" customWidth="1"/>
    <col min="12557" max="12557" width="14.28515625" style="428" customWidth="1"/>
    <col min="12558" max="12558" width="13" style="428" customWidth="1"/>
    <col min="12559" max="12559" width="11.85546875" style="428" customWidth="1"/>
    <col min="12560" max="12560" width="11.28515625" style="428" customWidth="1"/>
    <col min="12561" max="12561" width="15.5703125" style="428" customWidth="1"/>
    <col min="12562" max="12562" width="14.42578125" style="428" customWidth="1"/>
    <col min="12563" max="12563" width="0" style="428" hidden="1" customWidth="1"/>
    <col min="12564" max="12564" width="4.7109375" style="428" customWidth="1"/>
    <col min="12565" max="12565" width="14.5703125" style="428" bestFit="1" customWidth="1"/>
    <col min="12566" max="12571" width="9.140625" style="428" customWidth="1"/>
    <col min="12572" max="12805" width="8.85546875" style="428"/>
    <col min="12806" max="12806" width="4.7109375" style="428" customWidth="1"/>
    <col min="12807" max="12807" width="27.5703125" style="428" customWidth="1"/>
    <col min="12808" max="12808" width="4.42578125" style="428" customWidth="1"/>
    <col min="12809" max="12810" width="5.42578125" style="428" customWidth="1"/>
    <col min="12811" max="12811" width="12.7109375" style="428" customWidth="1"/>
    <col min="12812" max="12812" width="14.5703125" style="428" customWidth="1"/>
    <col min="12813" max="12813" width="14.28515625" style="428" customWidth="1"/>
    <col min="12814" max="12814" width="13" style="428" customWidth="1"/>
    <col min="12815" max="12815" width="11.85546875" style="428" customWidth="1"/>
    <col min="12816" max="12816" width="11.28515625" style="428" customWidth="1"/>
    <col min="12817" max="12817" width="15.5703125" style="428" customWidth="1"/>
    <col min="12818" max="12818" width="14.42578125" style="428" customWidth="1"/>
    <col min="12819" max="12819" width="0" style="428" hidden="1" customWidth="1"/>
    <col min="12820" max="12820" width="4.7109375" style="428" customWidth="1"/>
    <col min="12821" max="12821" width="14.5703125" style="428" bestFit="1" customWidth="1"/>
    <col min="12822" max="12827" width="9.140625" style="428" customWidth="1"/>
    <col min="12828" max="13061" width="8.85546875" style="428"/>
    <col min="13062" max="13062" width="4.7109375" style="428" customWidth="1"/>
    <col min="13063" max="13063" width="27.5703125" style="428" customWidth="1"/>
    <col min="13064" max="13064" width="4.42578125" style="428" customWidth="1"/>
    <col min="13065" max="13066" width="5.42578125" style="428" customWidth="1"/>
    <col min="13067" max="13067" width="12.7109375" style="428" customWidth="1"/>
    <col min="13068" max="13068" width="14.5703125" style="428" customWidth="1"/>
    <col min="13069" max="13069" width="14.28515625" style="428" customWidth="1"/>
    <col min="13070" max="13070" width="13" style="428" customWidth="1"/>
    <col min="13071" max="13071" width="11.85546875" style="428" customWidth="1"/>
    <col min="13072" max="13072" width="11.28515625" style="428" customWidth="1"/>
    <col min="13073" max="13073" width="15.5703125" style="428" customWidth="1"/>
    <col min="13074" max="13074" width="14.42578125" style="428" customWidth="1"/>
    <col min="13075" max="13075" width="0" style="428" hidden="1" customWidth="1"/>
    <col min="13076" max="13076" width="4.7109375" style="428" customWidth="1"/>
    <col min="13077" max="13077" width="14.5703125" style="428" bestFit="1" customWidth="1"/>
    <col min="13078" max="13083" width="9.140625" style="428" customWidth="1"/>
    <col min="13084" max="13317" width="8.85546875" style="428"/>
    <col min="13318" max="13318" width="4.7109375" style="428" customWidth="1"/>
    <col min="13319" max="13319" width="27.5703125" style="428" customWidth="1"/>
    <col min="13320" max="13320" width="4.42578125" style="428" customWidth="1"/>
    <col min="13321" max="13322" width="5.42578125" style="428" customWidth="1"/>
    <col min="13323" max="13323" width="12.7109375" style="428" customWidth="1"/>
    <col min="13324" max="13324" width="14.5703125" style="428" customWidth="1"/>
    <col min="13325" max="13325" width="14.28515625" style="428" customWidth="1"/>
    <col min="13326" max="13326" width="13" style="428" customWidth="1"/>
    <col min="13327" max="13327" width="11.85546875" style="428" customWidth="1"/>
    <col min="13328" max="13328" width="11.28515625" style="428" customWidth="1"/>
    <col min="13329" max="13329" width="15.5703125" style="428" customWidth="1"/>
    <col min="13330" max="13330" width="14.42578125" style="428" customWidth="1"/>
    <col min="13331" max="13331" width="0" style="428" hidden="1" customWidth="1"/>
    <col min="13332" max="13332" width="4.7109375" style="428" customWidth="1"/>
    <col min="13333" max="13333" width="14.5703125" style="428" bestFit="1" customWidth="1"/>
    <col min="13334" max="13339" width="9.140625" style="428" customWidth="1"/>
    <col min="13340" max="13573" width="8.85546875" style="428"/>
    <col min="13574" max="13574" width="4.7109375" style="428" customWidth="1"/>
    <col min="13575" max="13575" width="27.5703125" style="428" customWidth="1"/>
    <col min="13576" max="13576" width="4.42578125" style="428" customWidth="1"/>
    <col min="13577" max="13578" width="5.42578125" style="428" customWidth="1"/>
    <col min="13579" max="13579" width="12.7109375" style="428" customWidth="1"/>
    <col min="13580" max="13580" width="14.5703125" style="428" customWidth="1"/>
    <col min="13581" max="13581" width="14.28515625" style="428" customWidth="1"/>
    <col min="13582" max="13582" width="13" style="428" customWidth="1"/>
    <col min="13583" max="13583" width="11.85546875" style="428" customWidth="1"/>
    <col min="13584" max="13584" width="11.28515625" style="428" customWidth="1"/>
    <col min="13585" max="13585" width="15.5703125" style="428" customWidth="1"/>
    <col min="13586" max="13586" width="14.42578125" style="428" customWidth="1"/>
    <col min="13587" max="13587" width="0" style="428" hidden="1" customWidth="1"/>
    <col min="13588" max="13588" width="4.7109375" style="428" customWidth="1"/>
    <col min="13589" max="13589" width="14.5703125" style="428" bestFit="1" customWidth="1"/>
    <col min="13590" max="13595" width="9.140625" style="428" customWidth="1"/>
    <col min="13596" max="13829" width="8.85546875" style="428"/>
    <col min="13830" max="13830" width="4.7109375" style="428" customWidth="1"/>
    <col min="13831" max="13831" width="27.5703125" style="428" customWidth="1"/>
    <col min="13832" max="13832" width="4.42578125" style="428" customWidth="1"/>
    <col min="13833" max="13834" width="5.42578125" style="428" customWidth="1"/>
    <col min="13835" max="13835" width="12.7109375" style="428" customWidth="1"/>
    <col min="13836" max="13836" width="14.5703125" style="428" customWidth="1"/>
    <col min="13837" max="13837" width="14.28515625" style="428" customWidth="1"/>
    <col min="13838" max="13838" width="13" style="428" customWidth="1"/>
    <col min="13839" max="13839" width="11.85546875" style="428" customWidth="1"/>
    <col min="13840" max="13840" width="11.28515625" style="428" customWidth="1"/>
    <col min="13841" max="13841" width="15.5703125" style="428" customWidth="1"/>
    <col min="13842" max="13842" width="14.42578125" style="428" customWidth="1"/>
    <col min="13843" max="13843" width="0" style="428" hidden="1" customWidth="1"/>
    <col min="13844" max="13844" width="4.7109375" style="428" customWidth="1"/>
    <col min="13845" max="13845" width="14.5703125" style="428" bestFit="1" customWidth="1"/>
    <col min="13846" max="13851" width="9.140625" style="428" customWidth="1"/>
    <col min="13852" max="14085" width="8.85546875" style="428"/>
    <col min="14086" max="14086" width="4.7109375" style="428" customWidth="1"/>
    <col min="14087" max="14087" width="27.5703125" style="428" customWidth="1"/>
    <col min="14088" max="14088" width="4.42578125" style="428" customWidth="1"/>
    <col min="14089" max="14090" width="5.42578125" style="428" customWidth="1"/>
    <col min="14091" max="14091" width="12.7109375" style="428" customWidth="1"/>
    <col min="14092" max="14092" width="14.5703125" style="428" customWidth="1"/>
    <col min="14093" max="14093" width="14.28515625" style="428" customWidth="1"/>
    <col min="14094" max="14094" width="13" style="428" customWidth="1"/>
    <col min="14095" max="14095" width="11.85546875" style="428" customWidth="1"/>
    <col min="14096" max="14096" width="11.28515625" style="428" customWidth="1"/>
    <col min="14097" max="14097" width="15.5703125" style="428" customWidth="1"/>
    <col min="14098" max="14098" width="14.42578125" style="428" customWidth="1"/>
    <col min="14099" max="14099" width="0" style="428" hidden="1" customWidth="1"/>
    <col min="14100" max="14100" width="4.7109375" style="428" customWidth="1"/>
    <col min="14101" max="14101" width="14.5703125" style="428" bestFit="1" customWidth="1"/>
    <col min="14102" max="14107" width="9.140625" style="428" customWidth="1"/>
    <col min="14108" max="14341" width="8.85546875" style="428"/>
    <col min="14342" max="14342" width="4.7109375" style="428" customWidth="1"/>
    <col min="14343" max="14343" width="27.5703125" style="428" customWidth="1"/>
    <col min="14344" max="14344" width="4.42578125" style="428" customWidth="1"/>
    <col min="14345" max="14346" width="5.42578125" style="428" customWidth="1"/>
    <col min="14347" max="14347" width="12.7109375" style="428" customWidth="1"/>
    <col min="14348" max="14348" width="14.5703125" style="428" customWidth="1"/>
    <col min="14349" max="14349" width="14.28515625" style="428" customWidth="1"/>
    <col min="14350" max="14350" width="13" style="428" customWidth="1"/>
    <col min="14351" max="14351" width="11.85546875" style="428" customWidth="1"/>
    <col min="14352" max="14352" width="11.28515625" style="428" customWidth="1"/>
    <col min="14353" max="14353" width="15.5703125" style="428" customWidth="1"/>
    <col min="14354" max="14354" width="14.42578125" style="428" customWidth="1"/>
    <col min="14355" max="14355" width="0" style="428" hidden="1" customWidth="1"/>
    <col min="14356" max="14356" width="4.7109375" style="428" customWidth="1"/>
    <col min="14357" max="14357" width="14.5703125" style="428" bestFit="1" customWidth="1"/>
    <col min="14358" max="14363" width="9.140625" style="428" customWidth="1"/>
    <col min="14364" max="14597" width="8.85546875" style="428"/>
    <col min="14598" max="14598" width="4.7109375" style="428" customWidth="1"/>
    <col min="14599" max="14599" width="27.5703125" style="428" customWidth="1"/>
    <col min="14600" max="14600" width="4.42578125" style="428" customWidth="1"/>
    <col min="14601" max="14602" width="5.42578125" style="428" customWidth="1"/>
    <col min="14603" max="14603" width="12.7109375" style="428" customWidth="1"/>
    <col min="14604" max="14604" width="14.5703125" style="428" customWidth="1"/>
    <col min="14605" max="14605" width="14.28515625" style="428" customWidth="1"/>
    <col min="14606" max="14606" width="13" style="428" customWidth="1"/>
    <col min="14607" max="14607" width="11.85546875" style="428" customWidth="1"/>
    <col min="14608" max="14608" width="11.28515625" style="428" customWidth="1"/>
    <col min="14609" max="14609" width="15.5703125" style="428" customWidth="1"/>
    <col min="14610" max="14610" width="14.42578125" style="428" customWidth="1"/>
    <col min="14611" max="14611" width="0" style="428" hidden="1" customWidth="1"/>
    <col min="14612" max="14612" width="4.7109375" style="428" customWidth="1"/>
    <col min="14613" max="14613" width="14.5703125" style="428" bestFit="1" customWidth="1"/>
    <col min="14614" max="14619" width="9.140625" style="428" customWidth="1"/>
    <col min="14620" max="14853" width="8.85546875" style="428"/>
    <col min="14854" max="14854" width="4.7109375" style="428" customWidth="1"/>
    <col min="14855" max="14855" width="27.5703125" style="428" customWidth="1"/>
    <col min="14856" max="14856" width="4.42578125" style="428" customWidth="1"/>
    <col min="14857" max="14858" width="5.42578125" style="428" customWidth="1"/>
    <col min="14859" max="14859" width="12.7109375" style="428" customWidth="1"/>
    <col min="14860" max="14860" width="14.5703125" style="428" customWidth="1"/>
    <col min="14861" max="14861" width="14.28515625" style="428" customWidth="1"/>
    <col min="14862" max="14862" width="13" style="428" customWidth="1"/>
    <col min="14863" max="14863" width="11.85546875" style="428" customWidth="1"/>
    <col min="14864" max="14864" width="11.28515625" style="428" customWidth="1"/>
    <col min="14865" max="14865" width="15.5703125" style="428" customWidth="1"/>
    <col min="14866" max="14866" width="14.42578125" style="428" customWidth="1"/>
    <col min="14867" max="14867" width="0" style="428" hidden="1" customWidth="1"/>
    <col min="14868" max="14868" width="4.7109375" style="428" customWidth="1"/>
    <col min="14869" max="14869" width="14.5703125" style="428" bestFit="1" customWidth="1"/>
    <col min="14870" max="14875" width="9.140625" style="428" customWidth="1"/>
    <col min="14876" max="15109" width="8.85546875" style="428"/>
    <col min="15110" max="15110" width="4.7109375" style="428" customWidth="1"/>
    <col min="15111" max="15111" width="27.5703125" style="428" customWidth="1"/>
    <col min="15112" max="15112" width="4.42578125" style="428" customWidth="1"/>
    <col min="15113" max="15114" width="5.42578125" style="428" customWidth="1"/>
    <col min="15115" max="15115" width="12.7109375" style="428" customWidth="1"/>
    <col min="15116" max="15116" width="14.5703125" style="428" customWidth="1"/>
    <col min="15117" max="15117" width="14.28515625" style="428" customWidth="1"/>
    <col min="15118" max="15118" width="13" style="428" customWidth="1"/>
    <col min="15119" max="15119" width="11.85546875" style="428" customWidth="1"/>
    <col min="15120" max="15120" width="11.28515625" style="428" customWidth="1"/>
    <col min="15121" max="15121" width="15.5703125" style="428" customWidth="1"/>
    <col min="15122" max="15122" width="14.42578125" style="428" customWidth="1"/>
    <col min="15123" max="15123" width="0" style="428" hidden="1" customWidth="1"/>
    <col min="15124" max="15124" width="4.7109375" style="428" customWidth="1"/>
    <col min="15125" max="15125" width="14.5703125" style="428" bestFit="1" customWidth="1"/>
    <col min="15126" max="15131" width="9.140625" style="428" customWidth="1"/>
    <col min="15132" max="15365" width="8.85546875" style="428"/>
    <col min="15366" max="15366" width="4.7109375" style="428" customWidth="1"/>
    <col min="15367" max="15367" width="27.5703125" style="428" customWidth="1"/>
    <col min="15368" max="15368" width="4.42578125" style="428" customWidth="1"/>
    <col min="15369" max="15370" width="5.42578125" style="428" customWidth="1"/>
    <col min="15371" max="15371" width="12.7109375" style="428" customWidth="1"/>
    <col min="15372" max="15372" width="14.5703125" style="428" customWidth="1"/>
    <col min="15373" max="15373" width="14.28515625" style="428" customWidth="1"/>
    <col min="15374" max="15374" width="13" style="428" customWidth="1"/>
    <col min="15375" max="15375" width="11.85546875" style="428" customWidth="1"/>
    <col min="15376" max="15376" width="11.28515625" style="428" customWidth="1"/>
    <col min="15377" max="15377" width="15.5703125" style="428" customWidth="1"/>
    <col min="15378" max="15378" width="14.42578125" style="428" customWidth="1"/>
    <col min="15379" max="15379" width="0" style="428" hidden="1" customWidth="1"/>
    <col min="15380" max="15380" width="4.7109375" style="428" customWidth="1"/>
    <col min="15381" max="15381" width="14.5703125" style="428" bestFit="1" customWidth="1"/>
    <col min="15382" max="15387" width="9.140625" style="428" customWidth="1"/>
    <col min="15388" max="15621" width="8.85546875" style="428"/>
    <col min="15622" max="15622" width="4.7109375" style="428" customWidth="1"/>
    <col min="15623" max="15623" width="27.5703125" style="428" customWidth="1"/>
    <col min="15624" max="15624" width="4.42578125" style="428" customWidth="1"/>
    <col min="15625" max="15626" width="5.42578125" style="428" customWidth="1"/>
    <col min="15627" max="15627" width="12.7109375" style="428" customWidth="1"/>
    <col min="15628" max="15628" width="14.5703125" style="428" customWidth="1"/>
    <col min="15629" max="15629" width="14.28515625" style="428" customWidth="1"/>
    <col min="15630" max="15630" width="13" style="428" customWidth="1"/>
    <col min="15631" max="15631" width="11.85546875" style="428" customWidth="1"/>
    <col min="15632" max="15632" width="11.28515625" style="428" customWidth="1"/>
    <col min="15633" max="15633" width="15.5703125" style="428" customWidth="1"/>
    <col min="15634" max="15634" width="14.42578125" style="428" customWidth="1"/>
    <col min="15635" max="15635" width="0" style="428" hidden="1" customWidth="1"/>
    <col min="15636" max="15636" width="4.7109375" style="428" customWidth="1"/>
    <col min="15637" max="15637" width="14.5703125" style="428" bestFit="1" customWidth="1"/>
    <col min="15638" max="15643" width="9.140625" style="428" customWidth="1"/>
    <col min="15644" max="15877" width="8.85546875" style="428"/>
    <col min="15878" max="15878" width="4.7109375" style="428" customWidth="1"/>
    <col min="15879" max="15879" width="27.5703125" style="428" customWidth="1"/>
    <col min="15880" max="15880" width="4.42578125" style="428" customWidth="1"/>
    <col min="15881" max="15882" width="5.42578125" style="428" customWidth="1"/>
    <col min="15883" max="15883" width="12.7109375" style="428" customWidth="1"/>
    <col min="15884" max="15884" width="14.5703125" style="428" customWidth="1"/>
    <col min="15885" max="15885" width="14.28515625" style="428" customWidth="1"/>
    <col min="15886" max="15886" width="13" style="428" customWidth="1"/>
    <col min="15887" max="15887" width="11.85546875" style="428" customWidth="1"/>
    <col min="15888" max="15888" width="11.28515625" style="428" customWidth="1"/>
    <col min="15889" max="15889" width="15.5703125" style="428" customWidth="1"/>
    <col min="15890" max="15890" width="14.42578125" style="428" customWidth="1"/>
    <col min="15891" max="15891" width="0" style="428" hidden="1" customWidth="1"/>
    <col min="15892" max="15892" width="4.7109375" style="428" customWidth="1"/>
    <col min="15893" max="15893" width="14.5703125" style="428" bestFit="1" customWidth="1"/>
    <col min="15894" max="15899" width="9.140625" style="428" customWidth="1"/>
    <col min="15900" max="16133" width="8.85546875" style="428"/>
    <col min="16134" max="16134" width="4.7109375" style="428" customWidth="1"/>
    <col min="16135" max="16135" width="27.5703125" style="428" customWidth="1"/>
    <col min="16136" max="16136" width="4.42578125" style="428" customWidth="1"/>
    <col min="16137" max="16138" width="5.42578125" style="428" customWidth="1"/>
    <col min="16139" max="16139" width="12.7109375" style="428" customWidth="1"/>
    <col min="16140" max="16140" width="14.5703125" style="428" customWidth="1"/>
    <col min="16141" max="16141" width="14.28515625" style="428" customWidth="1"/>
    <col min="16142" max="16142" width="13" style="428" customWidth="1"/>
    <col min="16143" max="16143" width="11.85546875" style="428" customWidth="1"/>
    <col min="16144" max="16144" width="11.28515625" style="428" customWidth="1"/>
    <col min="16145" max="16145" width="15.5703125" style="428" customWidth="1"/>
    <col min="16146" max="16146" width="14.42578125" style="428" customWidth="1"/>
    <col min="16147" max="16147" width="0" style="428" hidden="1" customWidth="1"/>
    <col min="16148" max="16148" width="4.7109375" style="428" customWidth="1"/>
    <col min="16149" max="16149" width="14.5703125" style="428" bestFit="1" customWidth="1"/>
    <col min="16150" max="16155" width="9.140625" style="428" customWidth="1"/>
    <col min="16156" max="16384" width="8.85546875" style="428"/>
  </cols>
  <sheetData>
    <row r="1" spans="1:260" s="422" customFormat="1" ht="16.5">
      <c r="A1" s="414" t="s">
        <v>1</v>
      </c>
      <c r="B1" s="414"/>
      <c r="C1" s="415"/>
      <c r="D1" s="415"/>
      <c r="E1" s="415"/>
      <c r="F1" s="414"/>
      <c r="G1" s="414"/>
      <c r="H1" s="416"/>
      <c r="I1" s="417"/>
      <c r="J1" s="417"/>
      <c r="K1" s="418"/>
      <c r="L1" s="418"/>
      <c r="M1" s="418"/>
      <c r="N1" s="418"/>
      <c r="O1" s="418"/>
      <c r="P1" s="419"/>
      <c r="Q1" s="419"/>
      <c r="R1" s="419"/>
      <c r="S1" s="420"/>
      <c r="T1" s="421"/>
      <c r="U1" s="418"/>
      <c r="V1" s="418"/>
      <c r="W1" s="418"/>
      <c r="X1" s="418"/>
      <c r="Y1" s="418"/>
      <c r="Z1" s="418"/>
      <c r="AA1" s="418"/>
      <c r="AB1" s="418"/>
      <c r="AC1" s="418"/>
      <c r="AD1" s="418"/>
      <c r="AE1" s="418"/>
      <c r="AF1" s="418"/>
      <c r="AG1" s="418"/>
      <c r="AH1" s="418"/>
      <c r="AI1" s="418"/>
      <c r="AJ1" s="418"/>
      <c r="AK1" s="418"/>
      <c r="AL1" s="418"/>
      <c r="AM1" s="418"/>
      <c r="AN1" s="418"/>
      <c r="AO1" s="418"/>
      <c r="AP1" s="418"/>
      <c r="AQ1" s="418"/>
      <c r="AR1" s="418"/>
      <c r="AS1" s="418"/>
      <c r="AT1" s="418"/>
      <c r="AU1" s="418"/>
      <c r="AV1" s="418"/>
      <c r="AW1" s="418"/>
      <c r="AX1" s="418"/>
      <c r="AY1" s="418"/>
      <c r="AZ1" s="418"/>
      <c r="BA1" s="418"/>
      <c r="BB1" s="418"/>
      <c r="BC1" s="418"/>
      <c r="BD1" s="418"/>
      <c r="BE1" s="418"/>
      <c r="BF1" s="418"/>
      <c r="BG1" s="418"/>
      <c r="BH1" s="418"/>
      <c r="BI1" s="418"/>
      <c r="BJ1" s="418"/>
      <c r="BK1" s="418"/>
      <c r="BL1" s="418"/>
      <c r="BM1" s="418"/>
      <c r="BN1" s="418"/>
      <c r="BO1" s="418"/>
      <c r="BP1" s="418"/>
      <c r="BQ1" s="418"/>
      <c r="BR1" s="418"/>
      <c r="BS1" s="418"/>
      <c r="BT1" s="418"/>
      <c r="BU1" s="418"/>
      <c r="BV1" s="418"/>
      <c r="BW1" s="418"/>
      <c r="BX1" s="418"/>
      <c r="BY1" s="418"/>
      <c r="BZ1" s="418"/>
      <c r="CA1" s="418"/>
      <c r="CB1" s="418"/>
      <c r="CC1" s="418"/>
      <c r="CD1" s="418"/>
      <c r="CE1" s="418"/>
      <c r="CF1" s="418"/>
      <c r="CG1" s="418"/>
      <c r="CH1" s="418"/>
      <c r="CI1" s="418"/>
      <c r="CJ1" s="418"/>
      <c r="CK1" s="418"/>
      <c r="CL1" s="418"/>
      <c r="CM1" s="418"/>
      <c r="CN1" s="418"/>
      <c r="CO1" s="418"/>
      <c r="CP1" s="418"/>
      <c r="CQ1" s="418"/>
      <c r="CR1" s="418"/>
      <c r="CS1" s="418"/>
      <c r="CT1" s="418"/>
      <c r="CU1" s="418"/>
      <c r="CV1" s="418"/>
      <c r="CW1" s="418"/>
      <c r="CX1" s="418"/>
      <c r="CY1" s="418"/>
      <c r="CZ1" s="418"/>
      <c r="DA1" s="418"/>
      <c r="DB1" s="418"/>
      <c r="DC1" s="418"/>
      <c r="DD1" s="418"/>
      <c r="DE1" s="418"/>
      <c r="DF1" s="418"/>
      <c r="DG1" s="418"/>
      <c r="DH1" s="418"/>
      <c r="DI1" s="418"/>
      <c r="DJ1" s="418"/>
      <c r="DK1" s="418"/>
      <c r="DL1" s="418"/>
      <c r="DM1" s="418"/>
      <c r="DN1" s="418"/>
      <c r="DO1" s="418"/>
      <c r="DP1" s="418"/>
      <c r="DQ1" s="418"/>
      <c r="DR1" s="418"/>
      <c r="DS1" s="418"/>
      <c r="DT1" s="418"/>
      <c r="DU1" s="418"/>
      <c r="DV1" s="418"/>
      <c r="DW1" s="418"/>
      <c r="DX1" s="418"/>
      <c r="DY1" s="418"/>
      <c r="DZ1" s="418"/>
      <c r="EA1" s="418"/>
      <c r="EB1" s="418"/>
      <c r="EC1" s="418"/>
      <c r="ED1" s="418"/>
      <c r="EE1" s="418"/>
      <c r="EF1" s="418"/>
      <c r="EG1" s="418"/>
      <c r="EH1" s="418"/>
      <c r="EI1" s="418"/>
      <c r="EJ1" s="418"/>
      <c r="EK1" s="418"/>
      <c r="EL1" s="418"/>
      <c r="EM1" s="418"/>
      <c r="EN1" s="418"/>
      <c r="EO1" s="418"/>
      <c r="EP1" s="418"/>
      <c r="EQ1" s="418"/>
      <c r="ER1" s="418"/>
      <c r="ES1" s="418"/>
      <c r="ET1" s="418"/>
      <c r="EU1" s="418"/>
      <c r="EV1" s="418"/>
      <c r="EW1" s="418"/>
      <c r="EX1" s="418"/>
      <c r="EY1" s="418"/>
      <c r="EZ1" s="418"/>
      <c r="FA1" s="418"/>
      <c r="FB1" s="418"/>
      <c r="FC1" s="418"/>
      <c r="FD1" s="418"/>
      <c r="FE1" s="418"/>
      <c r="FF1" s="418"/>
      <c r="FG1" s="418"/>
      <c r="FH1" s="418"/>
      <c r="FI1" s="418"/>
      <c r="FJ1" s="418"/>
      <c r="FK1" s="418"/>
      <c r="FL1" s="418"/>
      <c r="FM1" s="418"/>
      <c r="FN1" s="418"/>
      <c r="FO1" s="418"/>
      <c r="FP1" s="418"/>
      <c r="FQ1" s="418"/>
      <c r="FR1" s="418"/>
      <c r="FS1" s="418"/>
      <c r="FT1" s="418"/>
      <c r="FU1" s="418"/>
      <c r="FV1" s="418"/>
      <c r="FW1" s="418"/>
      <c r="FX1" s="418"/>
      <c r="FY1" s="418"/>
      <c r="FZ1" s="418"/>
      <c r="GA1" s="418"/>
      <c r="GB1" s="418"/>
      <c r="GC1" s="418"/>
      <c r="GD1" s="418"/>
      <c r="GE1" s="418"/>
      <c r="GF1" s="418"/>
      <c r="GG1" s="418"/>
      <c r="GH1" s="418"/>
      <c r="GI1" s="418"/>
      <c r="GJ1" s="418"/>
      <c r="GK1" s="418"/>
      <c r="GL1" s="418"/>
      <c r="GM1" s="418"/>
      <c r="GN1" s="418"/>
      <c r="GO1" s="418"/>
      <c r="GP1" s="418"/>
      <c r="GQ1" s="418"/>
      <c r="GR1" s="418"/>
      <c r="GS1" s="418"/>
      <c r="GT1" s="418"/>
      <c r="GU1" s="418"/>
      <c r="GV1" s="418"/>
      <c r="GW1" s="418"/>
      <c r="GX1" s="418"/>
      <c r="GY1" s="418"/>
      <c r="GZ1" s="418"/>
      <c r="HA1" s="418"/>
      <c r="HB1" s="418"/>
      <c r="HC1" s="418"/>
      <c r="HD1" s="418"/>
      <c r="HE1" s="418"/>
      <c r="HF1" s="418"/>
      <c r="HG1" s="418"/>
      <c r="HH1" s="418"/>
      <c r="HI1" s="418"/>
      <c r="HJ1" s="418"/>
      <c r="HK1" s="418"/>
      <c r="HL1" s="418"/>
      <c r="HM1" s="418"/>
      <c r="HN1" s="418"/>
      <c r="HO1" s="418"/>
      <c r="HP1" s="418"/>
      <c r="HQ1" s="418"/>
      <c r="HR1" s="418"/>
      <c r="HS1" s="418"/>
      <c r="HT1" s="418"/>
      <c r="HU1" s="418"/>
      <c r="HV1" s="418"/>
      <c r="HW1" s="418"/>
      <c r="HX1" s="418"/>
      <c r="HY1" s="418"/>
      <c r="HZ1" s="418"/>
      <c r="IA1" s="418"/>
      <c r="IB1" s="418"/>
      <c r="IC1" s="418"/>
      <c r="ID1" s="418"/>
      <c r="IE1" s="418"/>
      <c r="IF1" s="418"/>
      <c r="IG1" s="418"/>
      <c r="IH1" s="418"/>
      <c r="II1" s="418"/>
      <c r="IJ1" s="418"/>
      <c r="IK1" s="418"/>
      <c r="IL1" s="418"/>
      <c r="IM1" s="418"/>
      <c r="IN1" s="418"/>
      <c r="IO1" s="418"/>
      <c r="IP1" s="418"/>
      <c r="IQ1" s="418"/>
      <c r="IR1" s="418"/>
      <c r="IS1" s="418"/>
      <c r="IT1" s="418"/>
      <c r="IU1" s="418"/>
      <c r="IV1" s="418"/>
      <c r="IW1" s="418"/>
      <c r="IX1" s="418"/>
      <c r="IY1" s="418"/>
      <c r="IZ1" s="418"/>
    </row>
    <row r="2" spans="1:260" ht="28.9" customHeight="1">
      <c r="A2" s="423"/>
      <c r="B2" s="424"/>
      <c r="C2" s="424"/>
      <c r="D2" s="424"/>
      <c r="E2" s="424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6"/>
      <c r="Q2" s="426"/>
      <c r="R2" s="426"/>
      <c r="S2" s="427"/>
      <c r="T2" s="424"/>
      <c r="U2" s="425"/>
      <c r="V2" s="425"/>
      <c r="W2" s="425"/>
      <c r="X2" s="425"/>
      <c r="Y2" s="425"/>
      <c r="Z2" s="425"/>
      <c r="AA2" s="425"/>
      <c r="AB2" s="425"/>
      <c r="AC2" s="425"/>
      <c r="AD2" s="425"/>
      <c r="AE2" s="425"/>
      <c r="AF2" s="425"/>
      <c r="AG2" s="425"/>
      <c r="AH2" s="425"/>
      <c r="AI2" s="425"/>
      <c r="AJ2" s="425"/>
      <c r="AK2" s="425"/>
      <c r="AL2" s="425"/>
      <c r="AM2" s="425"/>
      <c r="AN2" s="425"/>
      <c r="AO2" s="425"/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5"/>
      <c r="BB2" s="425"/>
      <c r="BC2" s="425"/>
      <c r="BD2" s="425"/>
      <c r="BE2" s="425"/>
      <c r="BF2" s="425"/>
      <c r="BG2" s="425"/>
      <c r="BH2" s="425"/>
      <c r="BI2" s="425"/>
      <c r="BJ2" s="425"/>
      <c r="BK2" s="425"/>
      <c r="BL2" s="425"/>
      <c r="BM2" s="425"/>
      <c r="BN2" s="425"/>
      <c r="BO2" s="425"/>
      <c r="BP2" s="425"/>
      <c r="BQ2" s="425"/>
      <c r="BR2" s="425"/>
      <c r="BS2" s="425"/>
      <c r="BT2" s="425"/>
      <c r="BU2" s="425"/>
      <c r="BV2" s="425"/>
      <c r="BW2" s="425"/>
      <c r="BX2" s="425"/>
      <c r="BY2" s="425"/>
      <c r="BZ2" s="425"/>
      <c r="CA2" s="425"/>
      <c r="CB2" s="425"/>
      <c r="CC2" s="425"/>
      <c r="CD2" s="425"/>
      <c r="CE2" s="425"/>
      <c r="CF2" s="425"/>
      <c r="CG2" s="425"/>
      <c r="CH2" s="425"/>
      <c r="CI2" s="425"/>
      <c r="CJ2" s="425"/>
      <c r="CK2" s="425"/>
      <c r="CL2" s="425"/>
      <c r="CM2" s="425"/>
      <c r="CN2" s="425"/>
      <c r="CO2" s="425"/>
      <c r="CP2" s="425"/>
      <c r="CQ2" s="425"/>
      <c r="CR2" s="425"/>
      <c r="CS2" s="425"/>
      <c r="CT2" s="425"/>
      <c r="CU2" s="425"/>
      <c r="CV2" s="425"/>
      <c r="CW2" s="425"/>
      <c r="CX2" s="425"/>
      <c r="CY2" s="425"/>
      <c r="CZ2" s="425"/>
      <c r="DA2" s="425"/>
      <c r="DB2" s="425"/>
      <c r="DC2" s="425"/>
      <c r="DD2" s="425"/>
      <c r="DE2" s="425"/>
      <c r="DF2" s="425"/>
      <c r="DG2" s="425"/>
      <c r="DH2" s="425"/>
      <c r="DI2" s="425"/>
      <c r="DJ2" s="425"/>
      <c r="DK2" s="425"/>
      <c r="DL2" s="425"/>
      <c r="DM2" s="425"/>
      <c r="DN2" s="425"/>
      <c r="DO2" s="425"/>
      <c r="DP2" s="425"/>
      <c r="DQ2" s="425"/>
      <c r="DR2" s="425"/>
      <c r="DS2" s="425"/>
      <c r="DT2" s="425"/>
      <c r="DU2" s="425"/>
      <c r="DV2" s="425"/>
      <c r="DW2" s="425"/>
      <c r="DX2" s="425"/>
      <c r="DY2" s="425"/>
      <c r="DZ2" s="425"/>
      <c r="EA2" s="425"/>
      <c r="EB2" s="425"/>
      <c r="EC2" s="425"/>
      <c r="ED2" s="425"/>
      <c r="EE2" s="425"/>
      <c r="EF2" s="425"/>
      <c r="EG2" s="425"/>
      <c r="EH2" s="425"/>
      <c r="EI2" s="425"/>
      <c r="EJ2" s="425"/>
      <c r="EK2" s="425"/>
      <c r="EL2" s="425"/>
      <c r="EM2" s="425"/>
      <c r="EN2" s="425"/>
      <c r="EO2" s="425"/>
      <c r="EP2" s="425"/>
      <c r="EQ2" s="425"/>
      <c r="ER2" s="425"/>
      <c r="ES2" s="425"/>
      <c r="ET2" s="425"/>
      <c r="EU2" s="425"/>
      <c r="EV2" s="425"/>
      <c r="EW2" s="425"/>
      <c r="EX2" s="425"/>
      <c r="EY2" s="425"/>
      <c r="EZ2" s="425"/>
      <c r="FA2" s="425"/>
      <c r="FB2" s="425"/>
      <c r="FC2" s="425"/>
      <c r="FD2" s="425"/>
      <c r="FE2" s="425"/>
      <c r="FF2" s="425"/>
      <c r="FG2" s="425"/>
      <c r="FH2" s="425"/>
      <c r="FI2" s="425"/>
      <c r="FJ2" s="425"/>
      <c r="FK2" s="425"/>
      <c r="FL2" s="425"/>
      <c r="FM2" s="425"/>
      <c r="FN2" s="425"/>
      <c r="FO2" s="425"/>
      <c r="FP2" s="425"/>
      <c r="FQ2" s="425"/>
      <c r="FR2" s="425"/>
      <c r="FS2" s="425"/>
      <c r="FT2" s="425"/>
      <c r="FU2" s="425"/>
      <c r="FV2" s="425"/>
      <c r="FW2" s="425"/>
      <c r="FX2" s="425"/>
      <c r="FY2" s="425"/>
      <c r="FZ2" s="425"/>
      <c r="GA2" s="425"/>
      <c r="GB2" s="425"/>
      <c r="GC2" s="425"/>
      <c r="GD2" s="425"/>
      <c r="GE2" s="425"/>
      <c r="GF2" s="425"/>
      <c r="GG2" s="425"/>
      <c r="GH2" s="425"/>
      <c r="GI2" s="425"/>
      <c r="GJ2" s="425"/>
      <c r="GK2" s="425"/>
      <c r="GL2" s="425"/>
      <c r="GM2" s="425"/>
      <c r="GN2" s="425"/>
      <c r="GO2" s="425"/>
      <c r="GP2" s="425"/>
      <c r="GQ2" s="425"/>
      <c r="GR2" s="425"/>
      <c r="GS2" s="425"/>
      <c r="GT2" s="425"/>
      <c r="GU2" s="425"/>
      <c r="GV2" s="425"/>
      <c r="GW2" s="425"/>
      <c r="GX2" s="425"/>
      <c r="GY2" s="425"/>
      <c r="GZ2" s="425"/>
      <c r="HA2" s="425"/>
      <c r="HB2" s="425"/>
      <c r="HC2" s="425"/>
      <c r="HD2" s="425"/>
      <c r="HE2" s="425"/>
      <c r="HF2" s="425"/>
      <c r="HG2" s="425"/>
      <c r="HH2" s="425"/>
      <c r="HI2" s="425"/>
      <c r="HJ2" s="425"/>
      <c r="HK2" s="425"/>
      <c r="HL2" s="425"/>
      <c r="HM2" s="425"/>
      <c r="HN2" s="425"/>
      <c r="HO2" s="425"/>
      <c r="HP2" s="425"/>
      <c r="HQ2" s="425"/>
      <c r="HR2" s="425"/>
      <c r="HS2" s="425"/>
      <c r="HT2" s="425"/>
      <c r="HU2" s="425"/>
      <c r="HV2" s="425"/>
      <c r="HW2" s="425"/>
      <c r="HX2" s="425"/>
      <c r="HY2" s="425"/>
      <c r="HZ2" s="425"/>
      <c r="IA2" s="425"/>
      <c r="IB2" s="425"/>
      <c r="IC2" s="425"/>
      <c r="ID2" s="425"/>
      <c r="IE2" s="425"/>
      <c r="IF2" s="425"/>
      <c r="IG2" s="425"/>
      <c r="IH2" s="425"/>
      <c r="II2" s="425"/>
      <c r="IJ2" s="425"/>
      <c r="IK2" s="425"/>
      <c r="IL2" s="425"/>
      <c r="IM2" s="425"/>
      <c r="IN2" s="425"/>
      <c r="IO2" s="425"/>
      <c r="IP2" s="425"/>
      <c r="IQ2" s="425"/>
      <c r="IR2" s="425"/>
      <c r="IS2" s="425"/>
      <c r="IT2" s="425"/>
      <c r="IU2" s="425"/>
      <c r="IV2" s="425"/>
      <c r="IW2" s="425"/>
      <c r="IX2" s="425"/>
      <c r="IY2" s="425"/>
      <c r="IZ2" s="425"/>
    </row>
    <row r="3" spans="1:260" ht="41.25" customHeight="1">
      <c r="A3" s="424"/>
      <c r="B3" s="801" t="s">
        <v>848</v>
      </c>
      <c r="C3" s="801"/>
      <c r="D3" s="801"/>
      <c r="E3" s="801"/>
      <c r="F3" s="801"/>
      <c r="G3" s="801"/>
      <c r="H3" s="801"/>
      <c r="I3" s="801"/>
      <c r="J3" s="801"/>
      <c r="K3" s="801"/>
      <c r="L3" s="801"/>
      <c r="M3" s="801"/>
      <c r="N3" s="801"/>
      <c r="O3" s="801"/>
      <c r="P3" s="801"/>
      <c r="Q3" s="801"/>
      <c r="R3" s="801"/>
      <c r="S3" s="801"/>
      <c r="T3" s="424"/>
      <c r="U3" s="425"/>
      <c r="V3" s="429"/>
      <c r="W3" s="425"/>
      <c r="X3" s="425"/>
      <c r="Y3" s="425"/>
      <c r="Z3" s="425"/>
      <c r="AA3" s="425"/>
      <c r="AB3" s="425"/>
      <c r="AC3" s="425"/>
      <c r="AD3" s="425"/>
      <c r="AE3" s="425"/>
      <c r="AF3" s="425"/>
      <c r="AG3" s="425"/>
      <c r="AH3" s="425"/>
      <c r="AI3" s="425"/>
      <c r="AJ3" s="425"/>
      <c r="AK3" s="425"/>
      <c r="AL3" s="425"/>
      <c r="AM3" s="425"/>
      <c r="AN3" s="425"/>
      <c r="AO3" s="425"/>
      <c r="AP3" s="425"/>
      <c r="AQ3" s="425"/>
      <c r="AR3" s="425"/>
      <c r="AS3" s="425"/>
      <c r="AT3" s="425"/>
      <c r="AU3" s="425"/>
      <c r="AV3" s="425"/>
      <c r="AW3" s="425"/>
      <c r="AX3" s="425"/>
      <c r="AY3" s="425"/>
      <c r="AZ3" s="425"/>
      <c r="BA3" s="425"/>
      <c r="BB3" s="425"/>
      <c r="BC3" s="425"/>
      <c r="BD3" s="425"/>
      <c r="BE3" s="425"/>
      <c r="BF3" s="425"/>
      <c r="BG3" s="425"/>
      <c r="BH3" s="425"/>
      <c r="BI3" s="425"/>
      <c r="BJ3" s="425"/>
      <c r="BK3" s="425"/>
      <c r="BL3" s="425"/>
      <c r="BM3" s="425"/>
      <c r="BN3" s="425"/>
      <c r="BO3" s="425"/>
      <c r="BP3" s="425"/>
      <c r="BQ3" s="425"/>
      <c r="BR3" s="425"/>
      <c r="BS3" s="425"/>
      <c r="BT3" s="425"/>
      <c r="BU3" s="425"/>
      <c r="BV3" s="425"/>
      <c r="BW3" s="425"/>
      <c r="BX3" s="425"/>
      <c r="BY3" s="425"/>
      <c r="BZ3" s="425"/>
      <c r="CA3" s="425"/>
      <c r="CB3" s="425"/>
      <c r="CC3" s="425"/>
      <c r="CD3" s="425"/>
      <c r="CE3" s="425"/>
      <c r="CF3" s="425"/>
      <c r="CG3" s="425"/>
      <c r="CH3" s="425"/>
      <c r="CI3" s="425"/>
      <c r="CJ3" s="425"/>
      <c r="CK3" s="425"/>
      <c r="CL3" s="425"/>
      <c r="CM3" s="425"/>
      <c r="CN3" s="425"/>
      <c r="CO3" s="425"/>
      <c r="CP3" s="425"/>
      <c r="CQ3" s="425"/>
      <c r="CR3" s="425"/>
      <c r="CS3" s="425"/>
      <c r="CT3" s="425"/>
      <c r="CU3" s="425"/>
      <c r="CV3" s="425"/>
      <c r="CW3" s="425"/>
      <c r="CX3" s="425"/>
      <c r="CY3" s="425"/>
      <c r="CZ3" s="425"/>
      <c r="DA3" s="425"/>
      <c r="DB3" s="425"/>
      <c r="DC3" s="425"/>
      <c r="DD3" s="425"/>
      <c r="DE3" s="425"/>
      <c r="DF3" s="425"/>
      <c r="DG3" s="425"/>
      <c r="DH3" s="425"/>
      <c r="DI3" s="425"/>
      <c r="DJ3" s="425"/>
      <c r="DK3" s="425"/>
      <c r="DL3" s="425"/>
      <c r="DM3" s="425"/>
      <c r="DN3" s="425"/>
      <c r="DO3" s="425"/>
      <c r="DP3" s="425"/>
      <c r="DQ3" s="425"/>
      <c r="DR3" s="425"/>
      <c r="DS3" s="425"/>
      <c r="DT3" s="425"/>
      <c r="DU3" s="425"/>
      <c r="DV3" s="425"/>
      <c r="DW3" s="425"/>
      <c r="DX3" s="425"/>
      <c r="DY3" s="425"/>
      <c r="DZ3" s="425"/>
      <c r="EA3" s="425"/>
      <c r="EB3" s="425"/>
      <c r="EC3" s="425"/>
      <c r="ED3" s="425"/>
      <c r="EE3" s="425"/>
      <c r="EF3" s="425"/>
      <c r="EG3" s="425"/>
      <c r="EH3" s="425"/>
      <c r="EI3" s="425"/>
      <c r="EJ3" s="425"/>
      <c r="EK3" s="425"/>
      <c r="EL3" s="425"/>
      <c r="EM3" s="425"/>
      <c r="EN3" s="425"/>
      <c r="EO3" s="425"/>
      <c r="EP3" s="425"/>
      <c r="EQ3" s="425"/>
      <c r="ER3" s="425"/>
      <c r="ES3" s="425"/>
      <c r="ET3" s="425"/>
      <c r="EU3" s="425"/>
      <c r="EV3" s="425"/>
      <c r="EW3" s="425"/>
      <c r="EX3" s="425"/>
      <c r="EY3" s="425"/>
      <c r="EZ3" s="425"/>
      <c r="FA3" s="425"/>
      <c r="FB3" s="425"/>
      <c r="FC3" s="425"/>
      <c r="FD3" s="425"/>
      <c r="FE3" s="425"/>
      <c r="FF3" s="425"/>
      <c r="FG3" s="425"/>
      <c r="FH3" s="425"/>
      <c r="FI3" s="425"/>
      <c r="FJ3" s="425"/>
      <c r="FK3" s="425"/>
      <c r="FL3" s="425"/>
      <c r="FM3" s="425"/>
      <c r="FN3" s="425"/>
      <c r="FO3" s="425"/>
      <c r="FP3" s="425"/>
      <c r="FQ3" s="425"/>
      <c r="FR3" s="425"/>
      <c r="FS3" s="425"/>
      <c r="FT3" s="425"/>
      <c r="FU3" s="425"/>
      <c r="FV3" s="425"/>
      <c r="FW3" s="425"/>
      <c r="FX3" s="425"/>
      <c r="FY3" s="425"/>
      <c r="FZ3" s="425"/>
      <c r="GA3" s="425"/>
      <c r="GB3" s="425"/>
      <c r="GC3" s="425"/>
      <c r="GD3" s="425"/>
      <c r="GE3" s="425"/>
      <c r="GF3" s="425"/>
      <c r="GG3" s="425"/>
      <c r="GH3" s="425"/>
      <c r="GI3" s="425"/>
      <c r="GJ3" s="425"/>
      <c r="GK3" s="425"/>
      <c r="GL3" s="425"/>
      <c r="GM3" s="425"/>
      <c r="GN3" s="425"/>
      <c r="GO3" s="425"/>
      <c r="GP3" s="425"/>
      <c r="GQ3" s="425"/>
      <c r="GR3" s="425"/>
      <c r="GS3" s="425"/>
      <c r="GT3" s="425"/>
      <c r="GU3" s="425"/>
      <c r="GV3" s="425"/>
      <c r="GW3" s="425"/>
      <c r="GX3" s="425"/>
      <c r="GY3" s="425"/>
      <c r="GZ3" s="425"/>
      <c r="HA3" s="425"/>
      <c r="HB3" s="425"/>
      <c r="HC3" s="425"/>
      <c r="HD3" s="425"/>
      <c r="HE3" s="425"/>
      <c r="HF3" s="425"/>
      <c r="HG3" s="425"/>
      <c r="HH3" s="425"/>
      <c r="HI3" s="425"/>
      <c r="HJ3" s="425"/>
      <c r="HK3" s="425"/>
      <c r="HL3" s="425"/>
      <c r="HM3" s="425"/>
      <c r="HN3" s="425"/>
      <c r="HO3" s="425"/>
      <c r="HP3" s="425"/>
      <c r="HQ3" s="425"/>
      <c r="HR3" s="425"/>
      <c r="HS3" s="425"/>
      <c r="HT3" s="425"/>
      <c r="HU3" s="425"/>
      <c r="HV3" s="425"/>
      <c r="HW3" s="425"/>
      <c r="HX3" s="425"/>
      <c r="HY3" s="425"/>
      <c r="HZ3" s="425"/>
      <c r="IA3" s="425"/>
      <c r="IB3" s="425"/>
      <c r="IC3" s="425"/>
      <c r="ID3" s="425"/>
      <c r="IE3" s="425"/>
      <c r="IF3" s="425"/>
      <c r="IG3" s="425"/>
      <c r="IH3" s="425"/>
      <c r="II3" s="425"/>
      <c r="IJ3" s="425"/>
      <c r="IK3" s="425"/>
      <c r="IL3" s="425"/>
      <c r="IM3" s="425"/>
      <c r="IN3" s="425"/>
      <c r="IO3" s="425"/>
      <c r="IP3" s="425"/>
      <c r="IQ3" s="425"/>
      <c r="IR3" s="425"/>
      <c r="IS3" s="425"/>
      <c r="IT3" s="425"/>
      <c r="IU3" s="425"/>
      <c r="IV3" s="425"/>
      <c r="IW3" s="425"/>
      <c r="IX3" s="425"/>
      <c r="IY3" s="425"/>
      <c r="IZ3" s="425"/>
    </row>
    <row r="4" spans="1:260" ht="24.75" customHeight="1">
      <c r="A4" s="424"/>
      <c r="B4" s="743" t="s">
        <v>849</v>
      </c>
      <c r="C4" s="743"/>
      <c r="D4" s="743"/>
      <c r="E4" s="743"/>
      <c r="F4" s="743"/>
      <c r="G4" s="743"/>
      <c r="H4" s="743"/>
      <c r="I4" s="743"/>
      <c r="J4" s="743"/>
      <c r="K4" s="743"/>
      <c r="L4" s="743"/>
      <c r="M4" s="743"/>
      <c r="N4" s="743"/>
      <c r="O4" s="743"/>
      <c r="P4" s="743"/>
      <c r="Q4" s="743"/>
      <c r="R4" s="743"/>
      <c r="S4" s="743"/>
      <c r="T4" s="424"/>
      <c r="U4" s="425"/>
      <c r="V4" s="425"/>
      <c r="W4" s="425"/>
      <c r="X4" s="425"/>
      <c r="Y4" s="425"/>
      <c r="Z4" s="425"/>
      <c r="AA4" s="425"/>
      <c r="AB4" s="425"/>
      <c r="AC4" s="425"/>
      <c r="AD4" s="425"/>
      <c r="AE4" s="425"/>
      <c r="AF4" s="425"/>
      <c r="AG4" s="425"/>
      <c r="AH4" s="425"/>
      <c r="AI4" s="425"/>
      <c r="AJ4" s="425"/>
      <c r="AK4" s="425"/>
      <c r="AL4" s="425"/>
      <c r="AM4" s="425"/>
      <c r="AN4" s="425"/>
      <c r="AO4" s="425"/>
      <c r="AP4" s="425"/>
      <c r="AQ4" s="425"/>
      <c r="AR4" s="425"/>
      <c r="AS4" s="425"/>
      <c r="AT4" s="425"/>
      <c r="AU4" s="425"/>
      <c r="AV4" s="425"/>
      <c r="AW4" s="425"/>
      <c r="AX4" s="425"/>
      <c r="AY4" s="425"/>
      <c r="AZ4" s="425"/>
      <c r="BA4" s="425"/>
      <c r="BB4" s="425"/>
      <c r="BC4" s="425"/>
      <c r="BD4" s="425"/>
      <c r="BE4" s="425"/>
      <c r="BF4" s="425"/>
      <c r="BG4" s="425"/>
      <c r="BH4" s="425"/>
      <c r="BI4" s="425"/>
      <c r="BJ4" s="425"/>
      <c r="BK4" s="425"/>
      <c r="BL4" s="425"/>
      <c r="BM4" s="425"/>
      <c r="BN4" s="425"/>
      <c r="BO4" s="425"/>
      <c r="BP4" s="425"/>
      <c r="BQ4" s="425"/>
      <c r="BR4" s="425"/>
      <c r="BS4" s="425"/>
      <c r="BT4" s="425"/>
      <c r="BU4" s="425"/>
      <c r="BV4" s="425"/>
      <c r="BW4" s="425"/>
      <c r="BX4" s="425"/>
      <c r="BY4" s="425"/>
      <c r="BZ4" s="425"/>
      <c r="CA4" s="425"/>
      <c r="CB4" s="425"/>
      <c r="CC4" s="425"/>
      <c r="CD4" s="425"/>
      <c r="CE4" s="425"/>
      <c r="CF4" s="425"/>
      <c r="CG4" s="425"/>
      <c r="CH4" s="425"/>
      <c r="CI4" s="425"/>
      <c r="CJ4" s="425"/>
      <c r="CK4" s="425"/>
      <c r="CL4" s="425"/>
      <c r="CM4" s="425"/>
      <c r="CN4" s="425"/>
      <c r="CO4" s="425"/>
      <c r="CP4" s="425"/>
      <c r="CQ4" s="425"/>
      <c r="CR4" s="425"/>
      <c r="CS4" s="425"/>
      <c r="CT4" s="425"/>
      <c r="CU4" s="425"/>
      <c r="CV4" s="425"/>
      <c r="CW4" s="425"/>
      <c r="CX4" s="425"/>
      <c r="CY4" s="425"/>
      <c r="CZ4" s="425"/>
      <c r="DA4" s="425"/>
      <c r="DB4" s="425"/>
      <c r="DC4" s="425"/>
      <c r="DD4" s="425"/>
      <c r="DE4" s="425"/>
      <c r="DF4" s="425"/>
      <c r="DG4" s="425"/>
      <c r="DH4" s="425"/>
      <c r="DI4" s="425"/>
      <c r="DJ4" s="425"/>
      <c r="DK4" s="425"/>
      <c r="DL4" s="425"/>
      <c r="DM4" s="425"/>
      <c r="DN4" s="425"/>
      <c r="DO4" s="425"/>
      <c r="DP4" s="425"/>
      <c r="DQ4" s="425"/>
      <c r="DR4" s="425"/>
      <c r="DS4" s="425"/>
      <c r="DT4" s="425"/>
      <c r="DU4" s="425"/>
      <c r="DV4" s="425"/>
      <c r="DW4" s="425"/>
      <c r="DX4" s="425"/>
      <c r="DY4" s="425"/>
      <c r="DZ4" s="425"/>
      <c r="EA4" s="425"/>
      <c r="EB4" s="425"/>
      <c r="EC4" s="425"/>
      <c r="ED4" s="425"/>
      <c r="EE4" s="425"/>
      <c r="EF4" s="425"/>
      <c r="EG4" s="425"/>
      <c r="EH4" s="425"/>
      <c r="EI4" s="425"/>
      <c r="EJ4" s="425"/>
      <c r="EK4" s="425"/>
      <c r="EL4" s="425"/>
      <c r="EM4" s="425"/>
      <c r="EN4" s="425"/>
      <c r="EO4" s="425"/>
      <c r="EP4" s="425"/>
      <c r="EQ4" s="425"/>
      <c r="ER4" s="425"/>
      <c r="ES4" s="425"/>
      <c r="ET4" s="425"/>
      <c r="EU4" s="425"/>
      <c r="EV4" s="425"/>
      <c r="EW4" s="425"/>
      <c r="EX4" s="425"/>
      <c r="EY4" s="425"/>
      <c r="EZ4" s="425"/>
      <c r="FA4" s="425"/>
      <c r="FB4" s="425"/>
      <c r="FC4" s="425"/>
      <c r="FD4" s="425"/>
      <c r="FE4" s="425"/>
      <c r="FF4" s="425"/>
      <c r="FG4" s="425"/>
      <c r="FH4" s="425"/>
      <c r="FI4" s="425"/>
      <c r="FJ4" s="425"/>
      <c r="FK4" s="425"/>
      <c r="FL4" s="425"/>
      <c r="FM4" s="425"/>
      <c r="FN4" s="425"/>
      <c r="FO4" s="425"/>
      <c r="FP4" s="425"/>
      <c r="FQ4" s="425"/>
      <c r="FR4" s="425"/>
      <c r="FS4" s="425"/>
      <c r="FT4" s="425"/>
      <c r="FU4" s="425"/>
      <c r="FV4" s="425"/>
      <c r="FW4" s="425"/>
      <c r="FX4" s="425"/>
      <c r="FY4" s="425"/>
      <c r="FZ4" s="425"/>
      <c r="GA4" s="425"/>
      <c r="GB4" s="425"/>
      <c r="GC4" s="425"/>
      <c r="GD4" s="425"/>
      <c r="GE4" s="425"/>
      <c r="GF4" s="425"/>
      <c r="GG4" s="425"/>
      <c r="GH4" s="425"/>
      <c r="GI4" s="425"/>
      <c r="GJ4" s="425"/>
      <c r="GK4" s="425"/>
      <c r="GL4" s="425"/>
      <c r="GM4" s="425"/>
      <c r="GN4" s="425"/>
      <c r="GO4" s="425"/>
      <c r="GP4" s="425"/>
      <c r="GQ4" s="425"/>
      <c r="GR4" s="425"/>
      <c r="GS4" s="425"/>
      <c r="GT4" s="425"/>
      <c r="GU4" s="425"/>
      <c r="GV4" s="425"/>
      <c r="GW4" s="425"/>
      <c r="GX4" s="425"/>
      <c r="GY4" s="425"/>
      <c r="GZ4" s="425"/>
      <c r="HA4" s="425"/>
      <c r="HB4" s="425"/>
      <c r="HC4" s="425"/>
      <c r="HD4" s="425"/>
      <c r="HE4" s="425"/>
      <c r="HF4" s="425"/>
      <c r="HG4" s="425"/>
      <c r="HH4" s="425"/>
      <c r="HI4" s="425"/>
      <c r="HJ4" s="425"/>
      <c r="HK4" s="425"/>
      <c r="HL4" s="425"/>
      <c r="HM4" s="425"/>
      <c r="HN4" s="425"/>
      <c r="HO4" s="425"/>
      <c r="HP4" s="425"/>
      <c r="HQ4" s="425"/>
      <c r="HR4" s="425"/>
      <c r="HS4" s="425"/>
      <c r="HT4" s="425"/>
      <c r="HU4" s="425"/>
      <c r="HV4" s="425"/>
      <c r="HW4" s="425"/>
      <c r="HX4" s="425"/>
      <c r="HY4" s="425"/>
      <c r="HZ4" s="425"/>
      <c r="IA4" s="425"/>
      <c r="IB4" s="425"/>
      <c r="IC4" s="425"/>
      <c r="ID4" s="425"/>
      <c r="IE4" s="425"/>
      <c r="IF4" s="425"/>
      <c r="IG4" s="425"/>
      <c r="IH4" s="425"/>
      <c r="II4" s="425"/>
      <c r="IJ4" s="425"/>
      <c r="IK4" s="425"/>
      <c r="IL4" s="425"/>
      <c r="IM4" s="425"/>
      <c r="IN4" s="425"/>
      <c r="IO4" s="425"/>
      <c r="IP4" s="425"/>
      <c r="IQ4" s="425"/>
      <c r="IR4" s="425"/>
      <c r="IS4" s="425"/>
      <c r="IT4" s="425"/>
      <c r="IU4" s="425"/>
      <c r="IV4" s="425"/>
      <c r="IW4" s="425"/>
      <c r="IX4" s="425"/>
      <c r="IY4" s="425"/>
      <c r="IZ4" s="425"/>
    </row>
    <row r="5" spans="1:260" ht="21" customHeight="1">
      <c r="A5" s="424"/>
      <c r="B5" s="430"/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1"/>
      <c r="Q5" s="431"/>
      <c r="R5" s="431"/>
      <c r="S5" s="430"/>
      <c r="T5" s="424"/>
      <c r="U5" s="425"/>
      <c r="V5" s="425"/>
      <c r="W5" s="425"/>
      <c r="X5" s="425"/>
      <c r="Y5" s="425"/>
      <c r="Z5" s="425"/>
      <c r="AA5" s="425"/>
      <c r="AB5" s="425"/>
      <c r="AC5" s="425"/>
      <c r="AD5" s="425"/>
      <c r="AE5" s="425"/>
      <c r="AF5" s="425"/>
      <c r="AG5" s="425"/>
      <c r="AH5" s="425"/>
      <c r="AI5" s="425"/>
      <c r="AJ5" s="425"/>
      <c r="AK5" s="425"/>
      <c r="AL5" s="425"/>
      <c r="AM5" s="425"/>
      <c r="AN5" s="425"/>
      <c r="AO5" s="425"/>
      <c r="AP5" s="425"/>
      <c r="AQ5" s="425"/>
      <c r="AR5" s="425"/>
      <c r="AS5" s="425"/>
      <c r="AT5" s="425"/>
      <c r="AU5" s="425"/>
      <c r="AV5" s="425"/>
      <c r="AW5" s="425"/>
      <c r="AX5" s="425"/>
      <c r="AY5" s="425"/>
      <c r="AZ5" s="425"/>
      <c r="BA5" s="425"/>
      <c r="BB5" s="425"/>
      <c r="BC5" s="425"/>
      <c r="BD5" s="425"/>
      <c r="BE5" s="425"/>
      <c r="BF5" s="425"/>
      <c r="BG5" s="425"/>
      <c r="BH5" s="425"/>
      <c r="BI5" s="425"/>
      <c r="BJ5" s="425"/>
      <c r="BK5" s="425"/>
      <c r="BL5" s="425"/>
      <c r="BM5" s="425"/>
      <c r="BN5" s="425"/>
      <c r="BO5" s="425"/>
      <c r="BP5" s="425"/>
      <c r="BQ5" s="425"/>
      <c r="BR5" s="425"/>
      <c r="BS5" s="425"/>
      <c r="BT5" s="425"/>
      <c r="BU5" s="425"/>
      <c r="BV5" s="425"/>
      <c r="BW5" s="425"/>
      <c r="BX5" s="425"/>
      <c r="BY5" s="425"/>
      <c r="BZ5" s="425"/>
      <c r="CA5" s="425"/>
      <c r="CB5" s="425"/>
      <c r="CC5" s="425"/>
      <c r="CD5" s="425"/>
      <c r="CE5" s="425"/>
      <c r="CF5" s="425"/>
      <c r="CG5" s="425"/>
      <c r="CH5" s="425"/>
      <c r="CI5" s="425"/>
      <c r="CJ5" s="425"/>
      <c r="CK5" s="425"/>
      <c r="CL5" s="425"/>
      <c r="CM5" s="425"/>
      <c r="CN5" s="425"/>
      <c r="CO5" s="425"/>
      <c r="CP5" s="425"/>
      <c r="CQ5" s="425"/>
      <c r="CR5" s="425"/>
      <c r="CS5" s="425"/>
      <c r="CT5" s="425"/>
      <c r="CU5" s="425"/>
      <c r="CV5" s="425"/>
      <c r="CW5" s="425"/>
      <c r="CX5" s="425"/>
      <c r="CY5" s="425"/>
      <c r="CZ5" s="425"/>
      <c r="DA5" s="425"/>
      <c r="DB5" s="425"/>
      <c r="DC5" s="425"/>
      <c r="DD5" s="425"/>
      <c r="DE5" s="425"/>
      <c r="DF5" s="425"/>
      <c r="DG5" s="425"/>
      <c r="DH5" s="425"/>
      <c r="DI5" s="425"/>
      <c r="DJ5" s="425"/>
      <c r="DK5" s="425"/>
      <c r="DL5" s="425"/>
      <c r="DM5" s="425"/>
      <c r="DN5" s="425"/>
      <c r="DO5" s="425"/>
      <c r="DP5" s="425"/>
      <c r="DQ5" s="425"/>
      <c r="DR5" s="425"/>
      <c r="DS5" s="425"/>
      <c r="DT5" s="425"/>
      <c r="DU5" s="425"/>
      <c r="DV5" s="425"/>
      <c r="DW5" s="425"/>
      <c r="DX5" s="425"/>
      <c r="DY5" s="425"/>
      <c r="DZ5" s="425"/>
      <c r="EA5" s="425"/>
      <c r="EB5" s="425"/>
      <c r="EC5" s="425"/>
      <c r="ED5" s="425"/>
      <c r="EE5" s="425"/>
      <c r="EF5" s="425"/>
      <c r="EG5" s="425"/>
      <c r="EH5" s="425"/>
      <c r="EI5" s="425"/>
      <c r="EJ5" s="425"/>
      <c r="EK5" s="425"/>
      <c r="EL5" s="425"/>
      <c r="EM5" s="425"/>
      <c r="EN5" s="425"/>
      <c r="EO5" s="425"/>
      <c r="EP5" s="425"/>
      <c r="EQ5" s="425"/>
      <c r="ER5" s="425"/>
      <c r="ES5" s="425"/>
      <c r="ET5" s="425"/>
      <c r="EU5" s="425"/>
      <c r="EV5" s="425"/>
      <c r="EW5" s="425"/>
      <c r="EX5" s="425"/>
      <c r="EY5" s="425"/>
      <c r="EZ5" s="425"/>
      <c r="FA5" s="425"/>
      <c r="FB5" s="425"/>
      <c r="FC5" s="425"/>
      <c r="FD5" s="425"/>
      <c r="FE5" s="425"/>
      <c r="FF5" s="425"/>
      <c r="FG5" s="425"/>
      <c r="FH5" s="425"/>
      <c r="FI5" s="425"/>
      <c r="FJ5" s="425"/>
      <c r="FK5" s="425"/>
      <c r="FL5" s="425"/>
      <c r="FM5" s="425"/>
      <c r="FN5" s="425"/>
      <c r="FO5" s="425"/>
      <c r="FP5" s="425"/>
      <c r="FQ5" s="425"/>
      <c r="FR5" s="425"/>
      <c r="FS5" s="425"/>
      <c r="FT5" s="425"/>
      <c r="FU5" s="425"/>
      <c r="FV5" s="425"/>
      <c r="FW5" s="425"/>
      <c r="FX5" s="425"/>
      <c r="FY5" s="425"/>
      <c r="FZ5" s="425"/>
      <c r="GA5" s="425"/>
      <c r="GB5" s="425"/>
      <c r="GC5" s="425"/>
      <c r="GD5" s="425"/>
      <c r="GE5" s="425"/>
      <c r="GF5" s="425"/>
      <c r="GG5" s="425"/>
      <c r="GH5" s="425"/>
      <c r="GI5" s="425"/>
      <c r="GJ5" s="425"/>
      <c r="GK5" s="425"/>
      <c r="GL5" s="425"/>
      <c r="GM5" s="425"/>
      <c r="GN5" s="425"/>
      <c r="GO5" s="425"/>
      <c r="GP5" s="425"/>
      <c r="GQ5" s="425"/>
      <c r="GR5" s="425"/>
      <c r="GS5" s="425"/>
      <c r="GT5" s="425"/>
      <c r="GU5" s="425"/>
      <c r="GV5" s="425"/>
      <c r="GW5" s="425"/>
      <c r="GX5" s="425"/>
      <c r="GY5" s="425"/>
      <c r="GZ5" s="425"/>
      <c r="HA5" s="425"/>
      <c r="HB5" s="425"/>
      <c r="HC5" s="425"/>
      <c r="HD5" s="425"/>
      <c r="HE5" s="425"/>
      <c r="HF5" s="425"/>
      <c r="HG5" s="425"/>
      <c r="HH5" s="425"/>
      <c r="HI5" s="425"/>
      <c r="HJ5" s="425"/>
      <c r="HK5" s="425"/>
      <c r="HL5" s="425"/>
      <c r="HM5" s="425"/>
      <c r="HN5" s="425"/>
      <c r="HO5" s="425"/>
      <c r="HP5" s="425"/>
      <c r="HQ5" s="425"/>
      <c r="HR5" s="425"/>
      <c r="HS5" s="425"/>
      <c r="HT5" s="425"/>
      <c r="HU5" s="425"/>
      <c r="HV5" s="425"/>
      <c r="HW5" s="425"/>
      <c r="HX5" s="425"/>
      <c r="HY5" s="425"/>
      <c r="HZ5" s="425"/>
      <c r="IA5" s="425"/>
      <c r="IB5" s="425"/>
      <c r="IC5" s="425"/>
      <c r="ID5" s="425"/>
      <c r="IE5" s="425"/>
      <c r="IF5" s="425"/>
      <c r="IG5" s="425"/>
      <c r="IH5" s="425"/>
      <c r="II5" s="425"/>
      <c r="IJ5" s="425"/>
      <c r="IK5" s="425"/>
      <c r="IL5" s="425"/>
      <c r="IM5" s="425"/>
      <c r="IN5" s="425"/>
      <c r="IO5" s="425"/>
      <c r="IP5" s="425"/>
      <c r="IQ5" s="425"/>
      <c r="IR5" s="425"/>
      <c r="IS5" s="425"/>
      <c r="IT5" s="425"/>
      <c r="IU5" s="425"/>
      <c r="IV5" s="425"/>
      <c r="IW5" s="425"/>
      <c r="IX5" s="425"/>
      <c r="IY5" s="425"/>
      <c r="IZ5" s="425"/>
    </row>
    <row r="6" spans="1:260" hidden="1">
      <c r="A6" s="424"/>
      <c r="B6" s="425"/>
      <c r="C6" s="424"/>
      <c r="D6" s="424"/>
      <c r="E6" s="424"/>
      <c r="M6" s="433">
        <v>1000000</v>
      </c>
      <c r="N6" s="433"/>
      <c r="O6" s="425"/>
      <c r="P6" s="434"/>
      <c r="Q6" s="434"/>
      <c r="R6" s="434"/>
      <c r="S6" s="424"/>
      <c r="T6" s="781"/>
      <c r="U6" s="781"/>
      <c r="V6" s="781"/>
      <c r="W6" s="781"/>
      <c r="X6" s="781"/>
      <c r="Y6" s="781"/>
      <c r="Z6" s="425"/>
      <c r="AA6" s="425"/>
      <c r="AB6" s="425"/>
      <c r="AC6" s="425"/>
      <c r="AD6" s="425"/>
      <c r="AE6" s="425"/>
      <c r="AF6" s="425"/>
      <c r="AG6" s="425"/>
      <c r="AH6" s="425"/>
      <c r="AI6" s="425"/>
      <c r="AJ6" s="425"/>
      <c r="AK6" s="425"/>
      <c r="AL6" s="425"/>
      <c r="AM6" s="425"/>
      <c r="AN6" s="425"/>
      <c r="AO6" s="425"/>
      <c r="AP6" s="425"/>
      <c r="AQ6" s="425"/>
      <c r="AR6" s="425"/>
      <c r="AS6" s="425"/>
      <c r="AT6" s="425"/>
      <c r="AU6" s="425"/>
      <c r="AV6" s="425"/>
      <c r="AW6" s="425"/>
      <c r="AX6" s="425"/>
      <c r="AY6" s="425"/>
      <c r="AZ6" s="425"/>
      <c r="BA6" s="425"/>
      <c r="BB6" s="425"/>
      <c r="BC6" s="425"/>
      <c r="BD6" s="425"/>
      <c r="BE6" s="425"/>
      <c r="BF6" s="425"/>
      <c r="BG6" s="425"/>
      <c r="BH6" s="425"/>
      <c r="BI6" s="425"/>
      <c r="BJ6" s="425"/>
      <c r="BK6" s="425"/>
      <c r="BL6" s="425"/>
      <c r="BM6" s="425"/>
      <c r="BN6" s="425"/>
      <c r="BO6" s="425"/>
      <c r="BP6" s="425"/>
      <c r="BQ6" s="425"/>
      <c r="BR6" s="425"/>
      <c r="BS6" s="425"/>
      <c r="BT6" s="425"/>
      <c r="BU6" s="425"/>
      <c r="BV6" s="425"/>
      <c r="BW6" s="425"/>
      <c r="BX6" s="425"/>
      <c r="BY6" s="425"/>
      <c r="BZ6" s="425"/>
      <c r="CA6" s="425"/>
      <c r="CB6" s="425"/>
      <c r="CC6" s="425"/>
      <c r="CD6" s="425"/>
      <c r="CE6" s="425"/>
      <c r="CF6" s="425"/>
      <c r="CG6" s="425"/>
      <c r="CH6" s="425"/>
      <c r="CI6" s="425"/>
      <c r="CJ6" s="425"/>
      <c r="CK6" s="425"/>
      <c r="CL6" s="425"/>
      <c r="CM6" s="425"/>
      <c r="CN6" s="425"/>
      <c r="CO6" s="425"/>
      <c r="CP6" s="425"/>
      <c r="CQ6" s="425"/>
      <c r="CR6" s="425"/>
      <c r="CS6" s="425"/>
      <c r="CT6" s="425"/>
      <c r="CU6" s="425"/>
      <c r="CV6" s="425"/>
      <c r="CW6" s="425"/>
      <c r="CX6" s="425"/>
      <c r="CY6" s="425"/>
      <c r="CZ6" s="425"/>
      <c r="DA6" s="425"/>
      <c r="DB6" s="425"/>
      <c r="DC6" s="425"/>
      <c r="DD6" s="425"/>
      <c r="DE6" s="425"/>
      <c r="DF6" s="425"/>
      <c r="DG6" s="425"/>
      <c r="DH6" s="425"/>
      <c r="DI6" s="425"/>
      <c r="DJ6" s="425"/>
      <c r="DK6" s="425"/>
      <c r="DL6" s="425"/>
      <c r="DM6" s="425"/>
      <c r="DN6" s="425"/>
      <c r="DO6" s="425"/>
      <c r="DP6" s="425"/>
      <c r="DQ6" s="425"/>
      <c r="DR6" s="425"/>
      <c r="DS6" s="425"/>
      <c r="DT6" s="425"/>
      <c r="DU6" s="425"/>
      <c r="DV6" s="425"/>
      <c r="DW6" s="425"/>
      <c r="DX6" s="425"/>
      <c r="DY6" s="425"/>
      <c r="DZ6" s="425"/>
      <c r="EA6" s="425"/>
      <c r="EB6" s="425"/>
      <c r="EC6" s="425"/>
      <c r="ED6" s="425"/>
      <c r="EE6" s="425"/>
      <c r="EF6" s="425"/>
      <c r="EG6" s="425"/>
      <c r="EH6" s="425"/>
      <c r="EI6" s="425"/>
      <c r="EJ6" s="425"/>
      <c r="EK6" s="425"/>
      <c r="EL6" s="425"/>
      <c r="EM6" s="425"/>
      <c r="EN6" s="425"/>
      <c r="EO6" s="425"/>
      <c r="EP6" s="425"/>
      <c r="EQ6" s="425"/>
      <c r="ER6" s="425"/>
      <c r="ES6" s="425"/>
      <c r="ET6" s="425"/>
      <c r="EU6" s="425"/>
      <c r="EV6" s="425"/>
      <c r="EW6" s="425"/>
      <c r="EX6" s="425"/>
      <c r="EY6" s="425"/>
      <c r="EZ6" s="425"/>
      <c r="FA6" s="425"/>
      <c r="FB6" s="425"/>
      <c r="FC6" s="425"/>
      <c r="FD6" s="425"/>
      <c r="FE6" s="425"/>
      <c r="FF6" s="425"/>
      <c r="FG6" s="425"/>
      <c r="FH6" s="425"/>
      <c r="FI6" s="425"/>
      <c r="FJ6" s="425"/>
      <c r="FK6" s="425"/>
      <c r="FL6" s="425"/>
      <c r="FM6" s="425"/>
      <c r="FN6" s="425"/>
      <c r="FO6" s="425"/>
      <c r="FP6" s="425"/>
      <c r="FQ6" s="425"/>
      <c r="FR6" s="425"/>
      <c r="FS6" s="425"/>
      <c r="FT6" s="425"/>
      <c r="FU6" s="425"/>
      <c r="FV6" s="425"/>
      <c r="FW6" s="425"/>
      <c r="FX6" s="425"/>
      <c r="FY6" s="425"/>
      <c r="FZ6" s="425"/>
      <c r="GA6" s="425"/>
      <c r="GB6" s="425"/>
      <c r="GC6" s="425"/>
      <c r="GD6" s="425"/>
      <c r="GE6" s="425"/>
      <c r="GF6" s="425"/>
      <c r="GG6" s="425"/>
      <c r="GH6" s="425"/>
      <c r="GI6" s="425"/>
      <c r="GJ6" s="425"/>
      <c r="GK6" s="425"/>
      <c r="GL6" s="425"/>
      <c r="GM6" s="425"/>
      <c r="GN6" s="425"/>
      <c r="GO6" s="425"/>
      <c r="GP6" s="425"/>
      <c r="GQ6" s="425"/>
      <c r="GR6" s="425"/>
      <c r="GS6" s="425"/>
      <c r="GT6" s="425"/>
      <c r="GU6" s="425"/>
      <c r="GV6" s="425"/>
      <c r="GW6" s="425"/>
      <c r="GX6" s="425"/>
      <c r="GY6" s="425"/>
      <c r="GZ6" s="425"/>
      <c r="HA6" s="425"/>
      <c r="HB6" s="425"/>
      <c r="HC6" s="425"/>
      <c r="HD6" s="425"/>
      <c r="HE6" s="425"/>
      <c r="HF6" s="425"/>
      <c r="HG6" s="425"/>
      <c r="HH6" s="425"/>
      <c r="HI6" s="425"/>
      <c r="HJ6" s="425"/>
      <c r="HK6" s="425"/>
      <c r="HL6" s="425"/>
      <c r="HM6" s="425"/>
      <c r="HN6" s="425"/>
      <c r="HO6" s="425"/>
      <c r="HP6" s="425"/>
      <c r="HQ6" s="425"/>
      <c r="HR6" s="425"/>
      <c r="HS6" s="425"/>
      <c r="HT6" s="425"/>
      <c r="HU6" s="425"/>
      <c r="HV6" s="425"/>
      <c r="HW6" s="425"/>
      <c r="HX6" s="425"/>
      <c r="HY6" s="425"/>
      <c r="HZ6" s="425"/>
      <c r="IA6" s="425"/>
      <c r="IB6" s="425"/>
      <c r="IC6" s="425"/>
      <c r="ID6" s="425"/>
      <c r="IE6" s="425"/>
      <c r="IF6" s="425"/>
      <c r="IG6" s="425"/>
      <c r="IH6" s="425"/>
      <c r="II6" s="425"/>
      <c r="IJ6" s="425"/>
      <c r="IK6" s="425"/>
      <c r="IL6" s="425"/>
      <c r="IM6" s="425"/>
      <c r="IN6" s="425"/>
      <c r="IO6" s="425"/>
      <c r="IP6" s="425"/>
      <c r="IQ6" s="425"/>
      <c r="IR6" s="425"/>
      <c r="IS6" s="425"/>
      <c r="IT6" s="425"/>
      <c r="IU6" s="425"/>
      <c r="IV6" s="425"/>
      <c r="IW6" s="425"/>
      <c r="IX6" s="425"/>
      <c r="IY6" s="425"/>
      <c r="IZ6" s="425"/>
    </row>
    <row r="7" spans="1:260" ht="19.5" customHeight="1">
      <c r="A7" s="794" t="s">
        <v>193</v>
      </c>
      <c r="B7" s="794" t="s">
        <v>7</v>
      </c>
      <c r="C7" s="802" t="s">
        <v>201</v>
      </c>
      <c r="D7" s="805" t="s">
        <v>333</v>
      </c>
      <c r="E7" s="794" t="s">
        <v>207</v>
      </c>
      <c r="F7" s="797" t="s">
        <v>194</v>
      </c>
      <c r="G7" s="798"/>
      <c r="H7" s="798"/>
      <c r="I7" s="798"/>
      <c r="J7" s="798"/>
      <c r="K7" s="798"/>
      <c r="L7" s="798"/>
      <c r="M7" s="798"/>
      <c r="N7" s="799"/>
      <c r="O7" s="791" t="s">
        <v>334</v>
      </c>
      <c r="P7" s="791" t="s">
        <v>197</v>
      </c>
      <c r="Q7" s="435"/>
      <c r="R7" s="794" t="s">
        <v>198</v>
      </c>
      <c r="S7" s="794" t="s">
        <v>198</v>
      </c>
      <c r="T7" s="432"/>
      <c r="AA7" s="425"/>
      <c r="AB7" s="425"/>
      <c r="AC7" s="425"/>
      <c r="AD7" s="425"/>
      <c r="AE7" s="425"/>
      <c r="AF7" s="425"/>
      <c r="AG7" s="425"/>
      <c r="AH7" s="425"/>
      <c r="AI7" s="425"/>
      <c r="AJ7" s="425"/>
      <c r="AK7" s="425"/>
      <c r="AL7" s="425"/>
      <c r="AM7" s="425"/>
      <c r="AN7" s="425"/>
      <c r="AO7" s="425"/>
      <c r="AP7" s="425"/>
      <c r="AQ7" s="425"/>
      <c r="AR7" s="425"/>
      <c r="AS7" s="425"/>
      <c r="AT7" s="425"/>
      <c r="AU7" s="425"/>
      <c r="AV7" s="425"/>
      <c r="AW7" s="425"/>
      <c r="AX7" s="425"/>
      <c r="AY7" s="425"/>
      <c r="AZ7" s="425"/>
      <c r="BA7" s="425"/>
      <c r="BB7" s="425"/>
      <c r="BC7" s="425"/>
      <c r="BD7" s="425"/>
      <c r="BE7" s="425"/>
      <c r="BF7" s="425"/>
      <c r="BG7" s="425"/>
      <c r="BH7" s="425"/>
      <c r="BI7" s="425"/>
      <c r="BJ7" s="425"/>
      <c r="BK7" s="425"/>
      <c r="BL7" s="425"/>
      <c r="BM7" s="425"/>
      <c r="BN7" s="425"/>
      <c r="BO7" s="425"/>
      <c r="BP7" s="425"/>
      <c r="BQ7" s="425"/>
      <c r="BR7" s="425"/>
      <c r="BS7" s="425"/>
      <c r="BT7" s="425"/>
      <c r="BU7" s="425"/>
      <c r="BV7" s="425"/>
      <c r="BW7" s="425"/>
      <c r="BX7" s="425"/>
      <c r="BY7" s="425"/>
      <c r="BZ7" s="425"/>
      <c r="CA7" s="425"/>
      <c r="CB7" s="425"/>
      <c r="CC7" s="425"/>
      <c r="CD7" s="425"/>
      <c r="CE7" s="425"/>
      <c r="CF7" s="425"/>
      <c r="CG7" s="425"/>
      <c r="CH7" s="425"/>
      <c r="CI7" s="425"/>
      <c r="CJ7" s="425"/>
      <c r="CK7" s="425"/>
      <c r="CL7" s="425"/>
      <c r="CM7" s="425"/>
      <c r="CN7" s="425"/>
      <c r="CO7" s="425"/>
      <c r="CP7" s="425"/>
      <c r="CQ7" s="425"/>
      <c r="CR7" s="425"/>
      <c r="CS7" s="425"/>
      <c r="CT7" s="425"/>
      <c r="CU7" s="425"/>
      <c r="CV7" s="425"/>
      <c r="CW7" s="425"/>
      <c r="CX7" s="425"/>
      <c r="CY7" s="425"/>
      <c r="CZ7" s="425"/>
      <c r="DA7" s="425"/>
      <c r="DB7" s="425"/>
      <c r="DC7" s="425"/>
      <c r="DD7" s="425"/>
      <c r="DE7" s="425"/>
      <c r="DF7" s="425"/>
      <c r="DG7" s="425"/>
      <c r="DH7" s="425"/>
      <c r="DI7" s="425"/>
      <c r="DJ7" s="425"/>
      <c r="DK7" s="425"/>
      <c r="DL7" s="425"/>
      <c r="DM7" s="425"/>
      <c r="DN7" s="425"/>
      <c r="DO7" s="425"/>
      <c r="DP7" s="425"/>
      <c r="DQ7" s="425"/>
      <c r="DR7" s="425"/>
      <c r="DS7" s="425"/>
      <c r="DT7" s="425"/>
      <c r="DU7" s="425"/>
      <c r="DV7" s="425"/>
      <c r="DW7" s="425"/>
      <c r="DX7" s="425"/>
      <c r="DY7" s="425"/>
      <c r="DZ7" s="425"/>
      <c r="EA7" s="425"/>
      <c r="EB7" s="425"/>
      <c r="EC7" s="425"/>
      <c r="ED7" s="425"/>
      <c r="EE7" s="425"/>
      <c r="EF7" s="425"/>
      <c r="EG7" s="425"/>
      <c r="EH7" s="425"/>
      <c r="EI7" s="425"/>
      <c r="EJ7" s="425"/>
      <c r="EK7" s="425"/>
      <c r="EL7" s="425"/>
      <c r="EM7" s="425"/>
      <c r="EN7" s="425"/>
      <c r="EO7" s="425"/>
      <c r="EP7" s="425"/>
      <c r="EQ7" s="425"/>
      <c r="ER7" s="425"/>
      <c r="ES7" s="425"/>
      <c r="ET7" s="425"/>
      <c r="EU7" s="425"/>
      <c r="EV7" s="425"/>
      <c r="EW7" s="425"/>
      <c r="EX7" s="425"/>
      <c r="EY7" s="425"/>
      <c r="EZ7" s="425"/>
      <c r="FA7" s="425"/>
      <c r="FB7" s="425"/>
      <c r="FC7" s="425"/>
      <c r="FD7" s="425"/>
      <c r="FE7" s="425"/>
      <c r="FF7" s="425"/>
      <c r="FG7" s="425"/>
      <c r="FH7" s="425"/>
      <c r="FI7" s="425"/>
      <c r="FJ7" s="425"/>
      <c r="FK7" s="425"/>
      <c r="FL7" s="425"/>
      <c r="FM7" s="425"/>
      <c r="FN7" s="425"/>
      <c r="FO7" s="425"/>
      <c r="FP7" s="425"/>
      <c r="FQ7" s="425"/>
      <c r="FR7" s="425"/>
      <c r="FS7" s="425"/>
      <c r="FT7" s="425"/>
      <c r="FU7" s="425"/>
      <c r="FV7" s="425"/>
      <c r="FW7" s="425"/>
      <c r="FX7" s="425"/>
      <c r="FY7" s="425"/>
      <c r="FZ7" s="425"/>
      <c r="GA7" s="425"/>
      <c r="GB7" s="425"/>
      <c r="GC7" s="425"/>
      <c r="GD7" s="425"/>
      <c r="GE7" s="425"/>
      <c r="GF7" s="425"/>
      <c r="GG7" s="425"/>
      <c r="GH7" s="425"/>
      <c r="GI7" s="425"/>
      <c r="GJ7" s="425"/>
      <c r="GK7" s="425"/>
      <c r="GL7" s="425"/>
      <c r="GM7" s="425"/>
      <c r="GN7" s="425"/>
      <c r="GO7" s="425"/>
      <c r="GP7" s="425"/>
      <c r="GQ7" s="425"/>
      <c r="GR7" s="425"/>
      <c r="GS7" s="425"/>
      <c r="GT7" s="425"/>
      <c r="GU7" s="425"/>
      <c r="GV7" s="425"/>
      <c r="GW7" s="425"/>
      <c r="GX7" s="425"/>
      <c r="GY7" s="425"/>
      <c r="GZ7" s="425"/>
      <c r="HA7" s="425"/>
      <c r="HB7" s="425"/>
      <c r="HC7" s="425"/>
      <c r="HD7" s="425"/>
      <c r="HE7" s="425"/>
      <c r="HF7" s="425"/>
      <c r="HG7" s="425"/>
      <c r="HH7" s="425"/>
      <c r="HI7" s="425"/>
      <c r="HJ7" s="425"/>
      <c r="HK7" s="425"/>
      <c r="HL7" s="425"/>
      <c r="HM7" s="425"/>
      <c r="HN7" s="425"/>
      <c r="HO7" s="425"/>
      <c r="HP7" s="425"/>
      <c r="HQ7" s="425"/>
      <c r="HR7" s="425"/>
      <c r="HS7" s="425"/>
      <c r="HT7" s="425"/>
      <c r="HU7" s="425"/>
      <c r="HV7" s="425"/>
      <c r="HW7" s="425"/>
      <c r="HX7" s="425"/>
      <c r="HY7" s="425"/>
      <c r="HZ7" s="425"/>
      <c r="IA7" s="425"/>
      <c r="IB7" s="425"/>
      <c r="IC7" s="425"/>
      <c r="ID7" s="425"/>
      <c r="IE7" s="425"/>
      <c r="IF7" s="425"/>
      <c r="IG7" s="425"/>
      <c r="IH7" s="425"/>
      <c r="II7" s="425"/>
      <c r="IJ7" s="425"/>
      <c r="IK7" s="425"/>
      <c r="IL7" s="425"/>
      <c r="IM7" s="425"/>
      <c r="IN7" s="425"/>
      <c r="IO7" s="425"/>
      <c r="IP7" s="425"/>
      <c r="IQ7" s="425"/>
      <c r="IR7" s="425"/>
      <c r="IS7" s="425"/>
      <c r="IT7" s="425"/>
      <c r="IU7" s="425"/>
      <c r="IV7" s="425"/>
      <c r="IW7" s="425"/>
      <c r="IX7" s="425"/>
      <c r="IY7" s="425"/>
      <c r="IZ7" s="428"/>
    </row>
    <row r="8" spans="1:260" ht="19.5" customHeight="1">
      <c r="A8" s="795"/>
      <c r="B8" s="795"/>
      <c r="C8" s="803"/>
      <c r="D8" s="806"/>
      <c r="E8" s="795"/>
      <c r="F8" s="797" t="s">
        <v>199</v>
      </c>
      <c r="G8" s="798"/>
      <c r="H8" s="799"/>
      <c r="I8" s="786" t="s">
        <v>200</v>
      </c>
      <c r="J8" s="800"/>
      <c r="K8" s="787"/>
      <c r="L8" s="784" t="s">
        <v>335</v>
      </c>
      <c r="M8" s="784" t="s">
        <v>336</v>
      </c>
      <c r="N8" s="784" t="s">
        <v>195</v>
      </c>
      <c r="O8" s="792"/>
      <c r="P8" s="792"/>
      <c r="Q8" s="436"/>
      <c r="R8" s="795"/>
      <c r="S8" s="795"/>
      <c r="T8" s="432"/>
      <c r="AA8" s="425"/>
      <c r="AB8" s="425"/>
      <c r="AC8" s="425"/>
      <c r="AD8" s="425"/>
      <c r="AE8" s="425"/>
      <c r="AF8" s="425"/>
      <c r="AG8" s="425"/>
      <c r="AH8" s="425"/>
      <c r="AI8" s="425"/>
      <c r="AJ8" s="425"/>
      <c r="AK8" s="425"/>
      <c r="AL8" s="425"/>
      <c r="AM8" s="425"/>
      <c r="AN8" s="425"/>
      <c r="AO8" s="425"/>
      <c r="AP8" s="425"/>
      <c r="AQ8" s="425"/>
      <c r="AR8" s="425"/>
      <c r="AS8" s="425"/>
      <c r="AT8" s="425"/>
      <c r="AU8" s="425"/>
      <c r="AV8" s="425"/>
      <c r="AW8" s="425"/>
      <c r="AX8" s="425"/>
      <c r="AY8" s="425"/>
      <c r="AZ8" s="425"/>
      <c r="BA8" s="425"/>
      <c r="BB8" s="425"/>
      <c r="BC8" s="425"/>
      <c r="BD8" s="425"/>
      <c r="BE8" s="425"/>
      <c r="BF8" s="425"/>
      <c r="BG8" s="425"/>
      <c r="BH8" s="425"/>
      <c r="BI8" s="425"/>
      <c r="BJ8" s="425"/>
      <c r="BK8" s="425"/>
      <c r="BL8" s="425"/>
      <c r="BM8" s="425"/>
      <c r="BN8" s="425"/>
      <c r="BO8" s="425"/>
      <c r="BP8" s="425"/>
      <c r="BQ8" s="425"/>
      <c r="BR8" s="425"/>
      <c r="BS8" s="425"/>
      <c r="BT8" s="425"/>
      <c r="BU8" s="425"/>
      <c r="BV8" s="425"/>
      <c r="BW8" s="425"/>
      <c r="BX8" s="425"/>
      <c r="BY8" s="425"/>
      <c r="BZ8" s="425"/>
      <c r="CA8" s="425"/>
      <c r="CB8" s="425"/>
      <c r="CC8" s="425"/>
      <c r="CD8" s="425"/>
      <c r="CE8" s="425"/>
      <c r="CF8" s="425"/>
      <c r="CG8" s="425"/>
      <c r="CH8" s="425"/>
      <c r="CI8" s="425"/>
      <c r="CJ8" s="425"/>
      <c r="CK8" s="425"/>
      <c r="CL8" s="425"/>
      <c r="CM8" s="425"/>
      <c r="CN8" s="425"/>
      <c r="CO8" s="425"/>
      <c r="CP8" s="425"/>
      <c r="CQ8" s="425"/>
      <c r="CR8" s="425"/>
      <c r="CS8" s="425"/>
      <c r="CT8" s="425"/>
      <c r="CU8" s="425"/>
      <c r="CV8" s="425"/>
      <c r="CW8" s="425"/>
      <c r="CX8" s="425"/>
      <c r="CY8" s="425"/>
      <c r="CZ8" s="425"/>
      <c r="DA8" s="425"/>
      <c r="DB8" s="425"/>
      <c r="DC8" s="425"/>
      <c r="DD8" s="425"/>
      <c r="DE8" s="425"/>
      <c r="DF8" s="425"/>
      <c r="DG8" s="425"/>
      <c r="DH8" s="425"/>
      <c r="DI8" s="425"/>
      <c r="DJ8" s="425"/>
      <c r="DK8" s="425"/>
      <c r="DL8" s="425"/>
      <c r="DM8" s="425"/>
      <c r="DN8" s="425"/>
      <c r="DO8" s="425"/>
      <c r="DP8" s="425"/>
      <c r="DQ8" s="425"/>
      <c r="DR8" s="425"/>
      <c r="DS8" s="425"/>
      <c r="DT8" s="425"/>
      <c r="DU8" s="425"/>
      <c r="DV8" s="425"/>
      <c r="DW8" s="425"/>
      <c r="DX8" s="425"/>
      <c r="DY8" s="425"/>
      <c r="DZ8" s="425"/>
      <c r="EA8" s="425"/>
      <c r="EB8" s="425"/>
      <c r="EC8" s="425"/>
      <c r="ED8" s="425"/>
      <c r="EE8" s="425"/>
      <c r="EF8" s="425"/>
      <c r="EG8" s="425"/>
      <c r="EH8" s="425"/>
      <c r="EI8" s="425"/>
      <c r="EJ8" s="425"/>
      <c r="EK8" s="425"/>
      <c r="EL8" s="425"/>
      <c r="EM8" s="425"/>
      <c r="EN8" s="425"/>
      <c r="EO8" s="425"/>
      <c r="EP8" s="425"/>
      <c r="EQ8" s="425"/>
      <c r="ER8" s="425"/>
      <c r="ES8" s="425"/>
      <c r="ET8" s="425"/>
      <c r="EU8" s="425"/>
      <c r="EV8" s="425"/>
      <c r="EW8" s="425"/>
      <c r="EX8" s="425"/>
      <c r="EY8" s="425"/>
      <c r="EZ8" s="425"/>
      <c r="FA8" s="425"/>
      <c r="FB8" s="425"/>
      <c r="FC8" s="425"/>
      <c r="FD8" s="425"/>
      <c r="FE8" s="425"/>
      <c r="FF8" s="425"/>
      <c r="FG8" s="425"/>
      <c r="FH8" s="425"/>
      <c r="FI8" s="425"/>
      <c r="FJ8" s="425"/>
      <c r="FK8" s="425"/>
      <c r="FL8" s="425"/>
      <c r="FM8" s="425"/>
      <c r="FN8" s="425"/>
      <c r="FO8" s="425"/>
      <c r="FP8" s="425"/>
      <c r="FQ8" s="425"/>
      <c r="FR8" s="425"/>
      <c r="FS8" s="425"/>
      <c r="FT8" s="425"/>
      <c r="FU8" s="425"/>
      <c r="FV8" s="425"/>
      <c r="FW8" s="425"/>
      <c r="FX8" s="425"/>
      <c r="FY8" s="425"/>
      <c r="FZ8" s="425"/>
      <c r="GA8" s="425"/>
      <c r="GB8" s="425"/>
      <c r="GC8" s="425"/>
      <c r="GD8" s="425"/>
      <c r="GE8" s="425"/>
      <c r="GF8" s="425"/>
      <c r="GG8" s="425"/>
      <c r="GH8" s="425"/>
      <c r="GI8" s="425"/>
      <c r="GJ8" s="425"/>
      <c r="GK8" s="425"/>
      <c r="GL8" s="425"/>
      <c r="GM8" s="425"/>
      <c r="GN8" s="425"/>
      <c r="GO8" s="425"/>
      <c r="GP8" s="425"/>
      <c r="GQ8" s="425"/>
      <c r="GR8" s="425"/>
      <c r="GS8" s="425"/>
      <c r="GT8" s="425"/>
      <c r="GU8" s="425"/>
      <c r="GV8" s="425"/>
      <c r="GW8" s="425"/>
      <c r="GX8" s="425"/>
      <c r="GY8" s="425"/>
      <c r="GZ8" s="425"/>
      <c r="HA8" s="425"/>
      <c r="HB8" s="425"/>
      <c r="HC8" s="425"/>
      <c r="HD8" s="425"/>
      <c r="HE8" s="425"/>
      <c r="HF8" s="425"/>
      <c r="HG8" s="425"/>
      <c r="HH8" s="425"/>
      <c r="HI8" s="425"/>
      <c r="HJ8" s="425"/>
      <c r="HK8" s="425"/>
      <c r="HL8" s="425"/>
      <c r="HM8" s="425"/>
      <c r="HN8" s="425"/>
      <c r="HO8" s="425"/>
      <c r="HP8" s="425"/>
      <c r="HQ8" s="425"/>
      <c r="HR8" s="425"/>
      <c r="HS8" s="425"/>
      <c r="HT8" s="425"/>
      <c r="HU8" s="425"/>
      <c r="HV8" s="425"/>
      <c r="HW8" s="425"/>
      <c r="HX8" s="425"/>
      <c r="HY8" s="425"/>
      <c r="HZ8" s="425"/>
      <c r="IA8" s="425"/>
      <c r="IB8" s="425"/>
      <c r="IC8" s="425"/>
      <c r="ID8" s="425"/>
      <c r="IE8" s="425"/>
      <c r="IF8" s="425"/>
      <c r="IG8" s="425"/>
      <c r="IH8" s="425"/>
      <c r="II8" s="425"/>
      <c r="IJ8" s="425"/>
      <c r="IK8" s="425"/>
      <c r="IL8" s="425"/>
      <c r="IM8" s="425"/>
      <c r="IN8" s="425"/>
      <c r="IO8" s="425"/>
      <c r="IP8" s="425"/>
      <c r="IQ8" s="425"/>
      <c r="IR8" s="425"/>
      <c r="IS8" s="425"/>
      <c r="IT8" s="425"/>
      <c r="IU8" s="425"/>
      <c r="IV8" s="425"/>
      <c r="IW8" s="425"/>
      <c r="IX8" s="425"/>
      <c r="IY8" s="425"/>
      <c r="IZ8" s="428"/>
    </row>
    <row r="9" spans="1:260" ht="19.5" customHeight="1">
      <c r="A9" s="795"/>
      <c r="B9" s="795"/>
      <c r="C9" s="803"/>
      <c r="D9" s="806"/>
      <c r="E9" s="795"/>
      <c r="F9" s="809" t="s">
        <v>337</v>
      </c>
      <c r="G9" s="797" t="s">
        <v>202</v>
      </c>
      <c r="H9" s="799"/>
      <c r="I9" s="784" t="s">
        <v>203</v>
      </c>
      <c r="J9" s="786" t="s">
        <v>202</v>
      </c>
      <c r="K9" s="787"/>
      <c r="L9" s="808"/>
      <c r="M9" s="808"/>
      <c r="N9" s="808"/>
      <c r="O9" s="792"/>
      <c r="P9" s="792"/>
      <c r="Q9" s="436" t="s">
        <v>218</v>
      </c>
      <c r="R9" s="795"/>
      <c r="S9" s="795"/>
      <c r="T9" s="432"/>
      <c r="AA9" s="425"/>
      <c r="AB9" s="425"/>
      <c r="AC9" s="425"/>
      <c r="AD9" s="425"/>
      <c r="AE9" s="425"/>
      <c r="AF9" s="425"/>
      <c r="AG9" s="425"/>
      <c r="AH9" s="425"/>
      <c r="AI9" s="425"/>
      <c r="AJ9" s="425"/>
      <c r="AK9" s="425"/>
      <c r="AL9" s="425"/>
      <c r="AM9" s="425"/>
      <c r="AN9" s="425"/>
      <c r="AO9" s="425"/>
      <c r="AP9" s="425"/>
      <c r="AQ9" s="425"/>
      <c r="AR9" s="425"/>
      <c r="AS9" s="425"/>
      <c r="AT9" s="425"/>
      <c r="AU9" s="425"/>
      <c r="AV9" s="425"/>
      <c r="AW9" s="425"/>
      <c r="AX9" s="425"/>
      <c r="AY9" s="425"/>
      <c r="AZ9" s="425"/>
      <c r="BA9" s="425"/>
      <c r="BB9" s="425"/>
      <c r="BC9" s="425"/>
      <c r="BD9" s="425"/>
      <c r="BE9" s="425"/>
      <c r="BF9" s="425"/>
      <c r="BG9" s="425"/>
      <c r="BH9" s="425"/>
      <c r="BI9" s="425"/>
      <c r="BJ9" s="425"/>
      <c r="BK9" s="425"/>
      <c r="BL9" s="425"/>
      <c r="BM9" s="425"/>
      <c r="BN9" s="425"/>
      <c r="BO9" s="425"/>
      <c r="BP9" s="425"/>
      <c r="BQ9" s="425"/>
      <c r="BR9" s="425"/>
      <c r="BS9" s="425"/>
      <c r="BT9" s="425"/>
      <c r="BU9" s="425"/>
      <c r="BV9" s="425"/>
      <c r="BW9" s="425"/>
      <c r="BX9" s="425"/>
      <c r="BY9" s="425"/>
      <c r="BZ9" s="425"/>
      <c r="CA9" s="425"/>
      <c r="CB9" s="425"/>
      <c r="CC9" s="425"/>
      <c r="CD9" s="425"/>
      <c r="CE9" s="425"/>
      <c r="CF9" s="425"/>
      <c r="CG9" s="425"/>
      <c r="CH9" s="425"/>
      <c r="CI9" s="425"/>
      <c r="CJ9" s="425"/>
      <c r="CK9" s="425"/>
      <c r="CL9" s="425"/>
      <c r="CM9" s="425"/>
      <c r="CN9" s="425"/>
      <c r="CO9" s="425"/>
      <c r="CP9" s="425"/>
      <c r="CQ9" s="425"/>
      <c r="CR9" s="425"/>
      <c r="CS9" s="425"/>
      <c r="CT9" s="425"/>
      <c r="CU9" s="425"/>
      <c r="CV9" s="425"/>
      <c r="CW9" s="425"/>
      <c r="CX9" s="425"/>
      <c r="CY9" s="425"/>
      <c r="CZ9" s="425"/>
      <c r="DA9" s="425"/>
      <c r="DB9" s="425"/>
      <c r="DC9" s="425"/>
      <c r="DD9" s="425"/>
      <c r="DE9" s="425"/>
      <c r="DF9" s="425"/>
      <c r="DG9" s="425"/>
      <c r="DH9" s="425"/>
      <c r="DI9" s="425"/>
      <c r="DJ9" s="425"/>
      <c r="DK9" s="425"/>
      <c r="DL9" s="425"/>
      <c r="DM9" s="425"/>
      <c r="DN9" s="425"/>
      <c r="DO9" s="425"/>
      <c r="DP9" s="425"/>
      <c r="DQ9" s="425"/>
      <c r="DR9" s="425"/>
      <c r="DS9" s="425"/>
      <c r="DT9" s="425"/>
      <c r="DU9" s="425"/>
      <c r="DV9" s="425"/>
      <c r="DW9" s="425"/>
      <c r="DX9" s="425"/>
      <c r="DY9" s="425"/>
      <c r="DZ9" s="425"/>
      <c r="EA9" s="425"/>
      <c r="EB9" s="425"/>
      <c r="EC9" s="425"/>
      <c r="ED9" s="425"/>
      <c r="EE9" s="425"/>
      <c r="EF9" s="425"/>
      <c r="EG9" s="425"/>
      <c r="EH9" s="425"/>
      <c r="EI9" s="425"/>
      <c r="EJ9" s="425"/>
      <c r="EK9" s="425"/>
      <c r="EL9" s="425"/>
      <c r="EM9" s="425"/>
      <c r="EN9" s="425"/>
      <c r="EO9" s="425"/>
      <c r="EP9" s="425"/>
      <c r="EQ9" s="425"/>
      <c r="ER9" s="425"/>
      <c r="ES9" s="425"/>
      <c r="ET9" s="425"/>
      <c r="EU9" s="425"/>
      <c r="EV9" s="425"/>
      <c r="EW9" s="425"/>
      <c r="EX9" s="425"/>
      <c r="EY9" s="425"/>
      <c r="EZ9" s="425"/>
      <c r="FA9" s="425"/>
      <c r="FB9" s="425"/>
      <c r="FC9" s="425"/>
      <c r="FD9" s="425"/>
      <c r="FE9" s="425"/>
      <c r="FF9" s="425"/>
      <c r="FG9" s="425"/>
      <c r="FH9" s="425"/>
      <c r="FI9" s="425"/>
      <c r="FJ9" s="425"/>
      <c r="FK9" s="425"/>
      <c r="FL9" s="425"/>
      <c r="FM9" s="425"/>
      <c r="FN9" s="425"/>
      <c r="FO9" s="425"/>
      <c r="FP9" s="425"/>
      <c r="FQ9" s="425"/>
      <c r="FR9" s="425"/>
      <c r="FS9" s="425"/>
      <c r="FT9" s="425"/>
      <c r="FU9" s="425"/>
      <c r="FV9" s="425"/>
      <c r="FW9" s="425"/>
      <c r="FX9" s="425"/>
      <c r="FY9" s="425"/>
      <c r="FZ9" s="425"/>
      <c r="GA9" s="425"/>
      <c r="GB9" s="425"/>
      <c r="GC9" s="425"/>
      <c r="GD9" s="425"/>
      <c r="GE9" s="425"/>
      <c r="GF9" s="425"/>
      <c r="GG9" s="425"/>
      <c r="GH9" s="425"/>
      <c r="GI9" s="425"/>
      <c r="GJ9" s="425"/>
      <c r="GK9" s="425"/>
      <c r="GL9" s="425"/>
      <c r="GM9" s="425"/>
      <c r="GN9" s="425"/>
      <c r="GO9" s="425"/>
      <c r="GP9" s="425"/>
      <c r="GQ9" s="425"/>
      <c r="GR9" s="425"/>
      <c r="GS9" s="425"/>
      <c r="GT9" s="425"/>
      <c r="GU9" s="425"/>
      <c r="GV9" s="425"/>
      <c r="GW9" s="425"/>
      <c r="GX9" s="425"/>
      <c r="GY9" s="425"/>
      <c r="GZ9" s="425"/>
      <c r="HA9" s="425"/>
      <c r="HB9" s="425"/>
      <c r="HC9" s="425"/>
      <c r="HD9" s="425"/>
      <c r="HE9" s="425"/>
      <c r="HF9" s="425"/>
      <c r="HG9" s="425"/>
      <c r="HH9" s="425"/>
      <c r="HI9" s="425"/>
      <c r="HJ9" s="425"/>
      <c r="HK9" s="425"/>
      <c r="HL9" s="425"/>
      <c r="HM9" s="425"/>
      <c r="HN9" s="425"/>
      <c r="HO9" s="425"/>
      <c r="HP9" s="425"/>
      <c r="HQ9" s="425"/>
      <c r="HR9" s="425"/>
      <c r="HS9" s="425"/>
      <c r="HT9" s="425"/>
      <c r="HU9" s="425"/>
      <c r="HV9" s="425"/>
      <c r="HW9" s="425"/>
      <c r="HX9" s="425"/>
      <c r="HY9" s="425"/>
      <c r="HZ9" s="425"/>
      <c r="IA9" s="425"/>
      <c r="IB9" s="425"/>
      <c r="IC9" s="425"/>
      <c r="ID9" s="425"/>
      <c r="IE9" s="425"/>
      <c r="IF9" s="425"/>
      <c r="IG9" s="425"/>
      <c r="IH9" s="425"/>
      <c r="II9" s="425"/>
      <c r="IJ9" s="425"/>
      <c r="IK9" s="425"/>
      <c r="IL9" s="425"/>
      <c r="IM9" s="425"/>
      <c r="IN9" s="425"/>
      <c r="IO9" s="425"/>
      <c r="IP9" s="425"/>
      <c r="IQ9" s="425"/>
      <c r="IR9" s="425"/>
      <c r="IS9" s="425"/>
      <c r="IT9" s="425"/>
      <c r="IU9" s="425"/>
      <c r="IV9" s="425"/>
      <c r="IW9" s="425"/>
      <c r="IX9" s="425"/>
      <c r="IY9" s="425"/>
      <c r="IZ9" s="428"/>
    </row>
    <row r="10" spans="1:260" ht="27" customHeight="1">
      <c r="A10" s="796"/>
      <c r="B10" s="796"/>
      <c r="C10" s="804"/>
      <c r="D10" s="807"/>
      <c r="E10" s="796"/>
      <c r="F10" s="810"/>
      <c r="G10" s="437" t="s">
        <v>338</v>
      </c>
      <c r="H10" s="437" t="s">
        <v>339</v>
      </c>
      <c r="I10" s="785"/>
      <c r="J10" s="437" t="s">
        <v>338</v>
      </c>
      <c r="K10" s="437" t="s">
        <v>339</v>
      </c>
      <c r="L10" s="785"/>
      <c r="M10" s="785"/>
      <c r="N10" s="785"/>
      <c r="O10" s="793"/>
      <c r="P10" s="793"/>
      <c r="Q10" s="438"/>
      <c r="R10" s="796"/>
      <c r="S10" s="796"/>
      <c r="T10" s="432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5"/>
      <c r="BC10" s="425"/>
      <c r="BD10" s="425"/>
      <c r="BE10" s="425"/>
      <c r="BF10" s="425"/>
      <c r="BG10" s="425"/>
      <c r="BH10" s="425"/>
      <c r="BI10" s="425"/>
      <c r="BJ10" s="425"/>
      <c r="BK10" s="425"/>
      <c r="BL10" s="425"/>
      <c r="BM10" s="425"/>
      <c r="BN10" s="425"/>
      <c r="BO10" s="425"/>
      <c r="BP10" s="425"/>
      <c r="BQ10" s="425"/>
      <c r="BR10" s="425"/>
      <c r="BS10" s="425"/>
      <c r="BT10" s="425"/>
      <c r="BU10" s="425"/>
      <c r="BV10" s="425"/>
      <c r="BW10" s="425"/>
      <c r="BX10" s="425"/>
      <c r="BY10" s="425"/>
      <c r="BZ10" s="425"/>
      <c r="CA10" s="425"/>
      <c r="CB10" s="425"/>
      <c r="CC10" s="425"/>
      <c r="CD10" s="425"/>
      <c r="CE10" s="425"/>
      <c r="CF10" s="425"/>
      <c r="CG10" s="425"/>
      <c r="CH10" s="425"/>
      <c r="CI10" s="425"/>
      <c r="CJ10" s="425"/>
      <c r="CK10" s="425"/>
      <c r="CL10" s="425"/>
      <c r="CM10" s="425"/>
      <c r="CN10" s="425"/>
      <c r="CO10" s="425"/>
      <c r="CP10" s="425"/>
      <c r="CQ10" s="425"/>
      <c r="CR10" s="425"/>
      <c r="CS10" s="425"/>
      <c r="CT10" s="425"/>
      <c r="CU10" s="425"/>
      <c r="CV10" s="425"/>
      <c r="CW10" s="425"/>
      <c r="CX10" s="425"/>
      <c r="CY10" s="425"/>
      <c r="CZ10" s="425"/>
      <c r="DA10" s="425"/>
      <c r="DB10" s="425"/>
      <c r="DC10" s="425"/>
      <c r="DD10" s="425"/>
      <c r="DE10" s="425"/>
      <c r="DF10" s="425"/>
      <c r="DG10" s="425"/>
      <c r="DH10" s="425"/>
      <c r="DI10" s="425"/>
      <c r="DJ10" s="425"/>
      <c r="DK10" s="425"/>
      <c r="DL10" s="425"/>
      <c r="DM10" s="425"/>
      <c r="DN10" s="425"/>
      <c r="DO10" s="425"/>
      <c r="DP10" s="425"/>
      <c r="DQ10" s="425"/>
      <c r="DR10" s="425"/>
      <c r="DS10" s="425"/>
      <c r="DT10" s="425"/>
      <c r="DU10" s="425"/>
      <c r="DV10" s="425"/>
      <c r="DW10" s="425"/>
      <c r="DX10" s="425"/>
      <c r="DY10" s="425"/>
      <c r="DZ10" s="425"/>
      <c r="EA10" s="425"/>
      <c r="EB10" s="425"/>
      <c r="EC10" s="425"/>
      <c r="ED10" s="425"/>
      <c r="EE10" s="425"/>
      <c r="EF10" s="425"/>
      <c r="EG10" s="425"/>
      <c r="EH10" s="425"/>
      <c r="EI10" s="425"/>
      <c r="EJ10" s="425"/>
      <c r="EK10" s="425"/>
      <c r="EL10" s="425"/>
      <c r="EM10" s="425"/>
      <c r="EN10" s="425"/>
      <c r="EO10" s="425"/>
      <c r="EP10" s="425"/>
      <c r="EQ10" s="425"/>
      <c r="ER10" s="425"/>
      <c r="ES10" s="425"/>
      <c r="ET10" s="425"/>
      <c r="EU10" s="425"/>
      <c r="EV10" s="425"/>
      <c r="EW10" s="425"/>
      <c r="EX10" s="425"/>
      <c r="EY10" s="425"/>
      <c r="EZ10" s="425"/>
      <c r="FA10" s="425"/>
      <c r="FB10" s="425"/>
      <c r="FC10" s="425"/>
      <c r="FD10" s="425"/>
      <c r="FE10" s="425"/>
      <c r="FF10" s="425"/>
      <c r="FG10" s="425"/>
      <c r="FH10" s="425"/>
      <c r="FI10" s="425"/>
      <c r="FJ10" s="425"/>
      <c r="FK10" s="425"/>
      <c r="FL10" s="425"/>
      <c r="FM10" s="425"/>
      <c r="FN10" s="425"/>
      <c r="FO10" s="425"/>
      <c r="FP10" s="425"/>
      <c r="FQ10" s="425"/>
      <c r="FR10" s="425"/>
      <c r="FS10" s="425"/>
      <c r="FT10" s="425"/>
      <c r="FU10" s="425"/>
      <c r="FV10" s="425"/>
      <c r="FW10" s="425"/>
      <c r="FX10" s="425"/>
      <c r="FY10" s="425"/>
      <c r="FZ10" s="425"/>
      <c r="GA10" s="425"/>
      <c r="GB10" s="425"/>
      <c r="GC10" s="425"/>
      <c r="GD10" s="425"/>
      <c r="GE10" s="425"/>
      <c r="GF10" s="425"/>
      <c r="GG10" s="425"/>
      <c r="GH10" s="425"/>
      <c r="GI10" s="425"/>
      <c r="GJ10" s="425"/>
      <c r="GK10" s="425"/>
      <c r="GL10" s="425"/>
      <c r="GM10" s="425"/>
      <c r="GN10" s="425"/>
      <c r="GO10" s="425"/>
      <c r="GP10" s="425"/>
      <c r="GQ10" s="425"/>
      <c r="GR10" s="425"/>
      <c r="GS10" s="425"/>
      <c r="GT10" s="425"/>
      <c r="GU10" s="425"/>
      <c r="GV10" s="425"/>
      <c r="GW10" s="425"/>
      <c r="GX10" s="425"/>
      <c r="GY10" s="425"/>
      <c r="GZ10" s="425"/>
      <c r="HA10" s="425"/>
      <c r="HB10" s="425"/>
      <c r="HC10" s="425"/>
      <c r="HD10" s="425"/>
      <c r="HE10" s="425"/>
      <c r="HF10" s="425"/>
      <c r="HG10" s="425"/>
      <c r="HH10" s="425"/>
      <c r="HI10" s="425"/>
      <c r="HJ10" s="425"/>
      <c r="HK10" s="425"/>
      <c r="HL10" s="425"/>
      <c r="HM10" s="425"/>
      <c r="HN10" s="425"/>
      <c r="HO10" s="425"/>
      <c r="HP10" s="425"/>
      <c r="HQ10" s="425"/>
      <c r="HR10" s="425"/>
      <c r="HS10" s="425"/>
      <c r="HT10" s="425"/>
      <c r="HU10" s="425"/>
      <c r="HV10" s="425"/>
      <c r="HW10" s="425"/>
      <c r="HX10" s="425"/>
      <c r="HY10" s="425"/>
      <c r="HZ10" s="425"/>
      <c r="IA10" s="425"/>
      <c r="IB10" s="425"/>
      <c r="IC10" s="425"/>
      <c r="ID10" s="425"/>
      <c r="IE10" s="425"/>
      <c r="IF10" s="425"/>
      <c r="IG10" s="425"/>
      <c r="IH10" s="425"/>
      <c r="II10" s="425"/>
      <c r="IJ10" s="425"/>
      <c r="IK10" s="425"/>
      <c r="IL10" s="425"/>
      <c r="IM10" s="425"/>
      <c r="IN10" s="425"/>
      <c r="IO10" s="425"/>
      <c r="IP10" s="425"/>
      <c r="IQ10" s="425"/>
      <c r="IR10" s="425"/>
      <c r="IS10" s="425"/>
      <c r="IT10" s="425"/>
      <c r="IU10" s="425"/>
      <c r="IV10" s="425"/>
      <c r="IW10" s="425"/>
      <c r="IX10" s="425"/>
      <c r="IY10" s="425"/>
      <c r="IZ10" s="428"/>
    </row>
    <row r="11" spans="1:260" ht="17.100000000000001" customHeight="1">
      <c r="A11" s="439" t="s">
        <v>340</v>
      </c>
      <c r="B11" s="440" t="s">
        <v>850</v>
      </c>
      <c r="C11" s="439">
        <v>2</v>
      </c>
      <c r="D11" s="439">
        <v>0</v>
      </c>
      <c r="E11" s="441"/>
      <c r="F11" s="442">
        <f>SUM(F12:F13)</f>
        <v>1100000</v>
      </c>
      <c r="G11" s="442">
        <f t="shared" ref="G11:N11" si="0">SUM(G12:G13)</f>
        <v>3850000</v>
      </c>
      <c r="H11" s="442">
        <f t="shared" si="0"/>
        <v>184000</v>
      </c>
      <c r="I11" s="442">
        <f t="shared" si="0"/>
        <v>1116400</v>
      </c>
      <c r="J11" s="442">
        <f t="shared" si="0"/>
        <v>5587582</v>
      </c>
      <c r="K11" s="442">
        <f t="shared" si="0"/>
        <v>290264</v>
      </c>
      <c r="L11" s="442">
        <f t="shared" si="0"/>
        <v>160000</v>
      </c>
      <c r="M11" s="442">
        <f t="shared" si="0"/>
        <v>160000</v>
      </c>
      <c r="N11" s="442">
        <f t="shared" si="0"/>
        <v>12448246</v>
      </c>
      <c r="O11" s="442">
        <f t="shared" ref="O11" si="1">O12</f>
        <v>0</v>
      </c>
      <c r="P11" s="443">
        <f>SUM(P12:P13)</f>
        <v>12448246</v>
      </c>
      <c r="Q11" s="773"/>
      <c r="R11" s="773"/>
      <c r="S11" s="776"/>
      <c r="T11" s="444"/>
      <c r="AA11" s="425"/>
      <c r="AB11" s="425"/>
      <c r="AC11" s="425"/>
      <c r="AD11" s="425"/>
      <c r="AE11" s="425"/>
      <c r="AF11" s="425"/>
      <c r="AG11" s="425"/>
      <c r="AH11" s="425"/>
      <c r="AI11" s="425"/>
      <c r="AJ11" s="425"/>
      <c r="AK11" s="425"/>
      <c r="AL11" s="425"/>
      <c r="AM11" s="425"/>
      <c r="AN11" s="425"/>
      <c r="AO11" s="425"/>
      <c r="AP11" s="425"/>
      <c r="AQ11" s="425"/>
      <c r="AR11" s="425"/>
      <c r="AS11" s="425"/>
      <c r="AT11" s="425"/>
      <c r="AU11" s="425"/>
      <c r="AV11" s="425"/>
      <c r="AW11" s="425"/>
      <c r="AX11" s="425"/>
      <c r="AY11" s="425"/>
      <c r="AZ11" s="425"/>
      <c r="BA11" s="425"/>
      <c r="BB11" s="425"/>
      <c r="BC11" s="425"/>
      <c r="BD11" s="425"/>
      <c r="BE11" s="425"/>
      <c r="BF11" s="425"/>
      <c r="BG11" s="425"/>
      <c r="BH11" s="425"/>
      <c r="BI11" s="425"/>
      <c r="BJ11" s="425"/>
      <c r="BK11" s="425"/>
      <c r="BL11" s="425"/>
      <c r="BM11" s="425"/>
      <c r="BN11" s="425"/>
      <c r="BO11" s="425"/>
      <c r="BP11" s="425"/>
      <c r="BQ11" s="425"/>
      <c r="BR11" s="425"/>
      <c r="BS11" s="425"/>
      <c r="BT11" s="425"/>
      <c r="BU11" s="425"/>
      <c r="BV11" s="425"/>
      <c r="BW11" s="425"/>
      <c r="BX11" s="425"/>
      <c r="BY11" s="425"/>
      <c r="BZ11" s="425"/>
      <c r="CA11" s="425"/>
      <c r="CB11" s="425"/>
      <c r="CC11" s="425"/>
      <c r="CD11" s="425"/>
      <c r="CE11" s="425"/>
      <c r="CF11" s="425"/>
      <c r="CG11" s="425"/>
      <c r="CH11" s="425"/>
      <c r="CI11" s="425"/>
      <c r="CJ11" s="425"/>
      <c r="CK11" s="425"/>
      <c r="CL11" s="425"/>
      <c r="CM11" s="425"/>
      <c r="CN11" s="425"/>
      <c r="CO11" s="425"/>
      <c r="CP11" s="425"/>
      <c r="CQ11" s="425"/>
      <c r="CR11" s="425"/>
      <c r="CS11" s="425"/>
      <c r="CT11" s="425"/>
      <c r="CU11" s="425"/>
      <c r="CV11" s="425"/>
      <c r="CW11" s="425"/>
      <c r="CX11" s="425"/>
      <c r="CY11" s="425"/>
      <c r="CZ11" s="425"/>
      <c r="DA11" s="425"/>
      <c r="DB11" s="425"/>
      <c r="DC11" s="425"/>
      <c r="DD11" s="425"/>
      <c r="DE11" s="425"/>
      <c r="DF11" s="425"/>
      <c r="DG11" s="425"/>
      <c r="DH11" s="425"/>
      <c r="DI11" s="425"/>
      <c r="DJ11" s="425"/>
      <c r="DK11" s="425"/>
      <c r="DL11" s="425"/>
      <c r="DM11" s="425"/>
      <c r="DN11" s="425"/>
      <c r="DO11" s="425"/>
      <c r="DP11" s="425"/>
      <c r="DQ11" s="425"/>
      <c r="DR11" s="425"/>
      <c r="DS11" s="425"/>
      <c r="DT11" s="425"/>
      <c r="DU11" s="425"/>
      <c r="DV11" s="425"/>
      <c r="DW11" s="425"/>
      <c r="DX11" s="425"/>
      <c r="DY11" s="425"/>
      <c r="DZ11" s="425"/>
      <c r="EA11" s="425"/>
      <c r="EB11" s="425"/>
      <c r="EC11" s="425"/>
      <c r="ED11" s="425"/>
      <c r="EE11" s="425"/>
      <c r="EF11" s="425"/>
      <c r="EG11" s="425"/>
      <c r="EH11" s="425"/>
      <c r="EI11" s="425"/>
      <c r="EJ11" s="425"/>
      <c r="EK11" s="425"/>
      <c r="EL11" s="425"/>
      <c r="EM11" s="425"/>
      <c r="EN11" s="425"/>
      <c r="EO11" s="425"/>
      <c r="EP11" s="425"/>
      <c r="EQ11" s="425"/>
      <c r="ER11" s="425"/>
      <c r="ES11" s="425"/>
      <c r="ET11" s="425"/>
      <c r="EU11" s="425"/>
      <c r="EV11" s="425"/>
      <c r="EW11" s="425"/>
      <c r="EX11" s="425"/>
      <c r="EY11" s="425"/>
      <c r="EZ11" s="425"/>
      <c r="FA11" s="425"/>
      <c r="FB11" s="425"/>
      <c r="FC11" s="425"/>
      <c r="FD11" s="425"/>
      <c r="FE11" s="425"/>
      <c r="FF11" s="425"/>
      <c r="FG11" s="425"/>
      <c r="FH11" s="425"/>
      <c r="FI11" s="425"/>
      <c r="FJ11" s="425"/>
      <c r="FK11" s="425"/>
      <c r="FL11" s="425"/>
      <c r="FM11" s="425"/>
      <c r="FN11" s="425"/>
      <c r="FO11" s="425"/>
      <c r="FP11" s="425"/>
      <c r="FQ11" s="425"/>
      <c r="FR11" s="425"/>
      <c r="FS11" s="425"/>
      <c r="FT11" s="425"/>
      <c r="FU11" s="425"/>
      <c r="FV11" s="425"/>
      <c r="FW11" s="425"/>
      <c r="FX11" s="425"/>
      <c r="FY11" s="425"/>
      <c r="FZ11" s="425"/>
      <c r="GA11" s="425"/>
      <c r="GB11" s="425"/>
      <c r="GC11" s="425"/>
      <c r="GD11" s="425"/>
      <c r="GE11" s="425"/>
      <c r="GF11" s="425"/>
      <c r="GG11" s="425"/>
      <c r="GH11" s="425"/>
      <c r="GI11" s="425"/>
      <c r="GJ11" s="425"/>
      <c r="GK11" s="425"/>
      <c r="GL11" s="425"/>
      <c r="GM11" s="425"/>
      <c r="GN11" s="425"/>
      <c r="GO11" s="425"/>
      <c r="GP11" s="425"/>
      <c r="GQ11" s="425"/>
      <c r="GR11" s="425"/>
      <c r="GS11" s="425"/>
      <c r="GT11" s="425"/>
      <c r="GU11" s="425"/>
      <c r="GV11" s="425"/>
      <c r="GW11" s="425"/>
      <c r="GX11" s="425"/>
      <c r="GY11" s="425"/>
      <c r="GZ11" s="425"/>
      <c r="HA11" s="425"/>
      <c r="HB11" s="425"/>
      <c r="HC11" s="425"/>
      <c r="HD11" s="425"/>
      <c r="HE11" s="425"/>
      <c r="HF11" s="425"/>
      <c r="HG11" s="425"/>
      <c r="HH11" s="425"/>
      <c r="HI11" s="425"/>
      <c r="HJ11" s="425"/>
      <c r="HK11" s="425"/>
      <c r="HL11" s="425"/>
      <c r="HM11" s="425"/>
      <c r="HN11" s="425"/>
      <c r="HO11" s="425"/>
      <c r="HP11" s="425"/>
      <c r="HQ11" s="425"/>
      <c r="HR11" s="425"/>
      <c r="HS11" s="425"/>
      <c r="HT11" s="425"/>
      <c r="HU11" s="425"/>
      <c r="HV11" s="425"/>
      <c r="HW11" s="425"/>
      <c r="HX11" s="425"/>
      <c r="HY11" s="425"/>
      <c r="HZ11" s="425"/>
      <c r="IA11" s="425"/>
      <c r="IB11" s="425"/>
      <c r="IC11" s="425"/>
      <c r="ID11" s="425"/>
      <c r="IE11" s="425"/>
      <c r="IF11" s="425"/>
      <c r="IG11" s="425"/>
      <c r="IH11" s="425"/>
      <c r="II11" s="425"/>
      <c r="IJ11" s="425"/>
      <c r="IK11" s="425"/>
      <c r="IL11" s="425"/>
      <c r="IM11" s="425"/>
      <c r="IN11" s="425"/>
      <c r="IO11" s="425"/>
      <c r="IP11" s="425"/>
      <c r="IQ11" s="425"/>
      <c r="IR11" s="425"/>
      <c r="IS11" s="425"/>
      <c r="IT11" s="425"/>
      <c r="IU11" s="425"/>
      <c r="IV11" s="425"/>
      <c r="IW11" s="425"/>
      <c r="IX11" s="425"/>
      <c r="IY11" s="425"/>
      <c r="IZ11" s="428"/>
    </row>
    <row r="12" spans="1:260">
      <c r="A12" s="445">
        <v>1</v>
      </c>
      <c r="B12" s="446" t="s">
        <v>427</v>
      </c>
      <c r="C12" s="445" t="s">
        <v>189</v>
      </c>
      <c r="D12" s="445"/>
      <c r="E12" s="447">
        <v>195</v>
      </c>
      <c r="F12" s="448">
        <v>550000</v>
      </c>
      <c r="G12" s="448">
        <f>M33</f>
        <v>1925000</v>
      </c>
      <c r="H12" s="449">
        <f>M35</f>
        <v>92000</v>
      </c>
      <c r="I12" s="448">
        <f>O32</f>
        <v>558200</v>
      </c>
      <c r="J12" s="448">
        <f>O33</f>
        <v>2793791</v>
      </c>
      <c r="K12" s="448">
        <f>O35</f>
        <v>145132</v>
      </c>
      <c r="L12" s="450">
        <f>O37</f>
        <v>80000</v>
      </c>
      <c r="M12" s="450">
        <v>80000</v>
      </c>
      <c r="N12" s="450">
        <f>SUM(F12:M12)</f>
        <v>6224123</v>
      </c>
      <c r="O12" s="450">
        <v>0</v>
      </c>
      <c r="P12" s="451">
        <f>N12-O12</f>
        <v>6224123</v>
      </c>
      <c r="Q12" s="774"/>
      <c r="R12" s="774"/>
      <c r="S12" s="777"/>
      <c r="T12" s="444"/>
      <c r="AA12" s="425"/>
      <c r="AB12" s="425"/>
      <c r="AC12" s="425"/>
      <c r="AD12" s="425"/>
      <c r="AE12" s="425"/>
      <c r="AF12" s="425"/>
      <c r="AG12" s="425"/>
      <c r="AH12" s="425"/>
      <c r="AI12" s="425"/>
      <c r="AJ12" s="425"/>
      <c r="AK12" s="425"/>
      <c r="AL12" s="425"/>
      <c r="AM12" s="425"/>
      <c r="AN12" s="425"/>
      <c r="AO12" s="425"/>
      <c r="AP12" s="425"/>
      <c r="AQ12" s="425"/>
      <c r="AR12" s="425"/>
      <c r="AS12" s="425"/>
      <c r="AT12" s="425"/>
      <c r="AU12" s="425"/>
      <c r="AV12" s="425"/>
      <c r="AW12" s="425"/>
      <c r="AX12" s="425"/>
      <c r="AY12" s="425"/>
      <c r="AZ12" s="425"/>
      <c r="BA12" s="425"/>
      <c r="BB12" s="425"/>
      <c r="BC12" s="425"/>
      <c r="BD12" s="425"/>
      <c r="BE12" s="425"/>
      <c r="BF12" s="425"/>
      <c r="BG12" s="425"/>
      <c r="BH12" s="425"/>
      <c r="BI12" s="425"/>
      <c r="BJ12" s="425"/>
      <c r="BK12" s="425"/>
      <c r="BL12" s="425"/>
      <c r="BM12" s="425"/>
      <c r="BN12" s="425"/>
      <c r="BO12" s="425"/>
      <c r="BP12" s="425"/>
      <c r="BQ12" s="425"/>
      <c r="BR12" s="425"/>
      <c r="BS12" s="425"/>
      <c r="BT12" s="425"/>
      <c r="BU12" s="425"/>
      <c r="BV12" s="425"/>
      <c r="BW12" s="425"/>
      <c r="BX12" s="425"/>
      <c r="BY12" s="425"/>
      <c r="BZ12" s="425"/>
      <c r="CA12" s="425"/>
      <c r="CB12" s="425"/>
      <c r="CC12" s="425"/>
      <c r="CD12" s="425"/>
      <c r="CE12" s="425"/>
      <c r="CF12" s="425"/>
      <c r="CG12" s="425"/>
      <c r="CH12" s="425"/>
      <c r="CI12" s="425"/>
      <c r="CJ12" s="425"/>
      <c r="CK12" s="425"/>
      <c r="CL12" s="425"/>
      <c r="CM12" s="425"/>
      <c r="CN12" s="425"/>
      <c r="CO12" s="425"/>
      <c r="CP12" s="425"/>
      <c r="CQ12" s="425"/>
      <c r="CR12" s="425"/>
      <c r="CS12" s="425"/>
      <c r="CT12" s="425"/>
      <c r="CU12" s="425"/>
      <c r="CV12" s="425"/>
      <c r="CW12" s="425"/>
      <c r="CX12" s="425"/>
      <c r="CY12" s="425"/>
      <c r="CZ12" s="425"/>
      <c r="DA12" s="425"/>
      <c r="DB12" s="425"/>
      <c r="DC12" s="425"/>
      <c r="DD12" s="425"/>
      <c r="DE12" s="425"/>
      <c r="DF12" s="425"/>
      <c r="DG12" s="425"/>
      <c r="DH12" s="425"/>
      <c r="DI12" s="425"/>
      <c r="DJ12" s="425"/>
      <c r="DK12" s="425"/>
      <c r="DL12" s="425"/>
      <c r="DM12" s="425"/>
      <c r="DN12" s="425"/>
      <c r="DO12" s="425"/>
      <c r="DP12" s="425"/>
      <c r="DQ12" s="425"/>
      <c r="DR12" s="425"/>
      <c r="DS12" s="425"/>
      <c r="DT12" s="425"/>
      <c r="DU12" s="425"/>
      <c r="DV12" s="425"/>
      <c r="DW12" s="425"/>
      <c r="DX12" s="425"/>
      <c r="DY12" s="425"/>
      <c r="DZ12" s="425"/>
      <c r="EA12" s="425"/>
      <c r="EB12" s="425"/>
      <c r="EC12" s="425"/>
      <c r="ED12" s="425"/>
      <c r="EE12" s="425"/>
      <c r="EF12" s="425"/>
      <c r="EG12" s="425"/>
      <c r="EH12" s="425"/>
      <c r="EI12" s="425"/>
      <c r="EJ12" s="425"/>
      <c r="EK12" s="425"/>
      <c r="EL12" s="425"/>
      <c r="EM12" s="425"/>
      <c r="EN12" s="425"/>
      <c r="EO12" s="425"/>
      <c r="EP12" s="425"/>
      <c r="EQ12" s="425"/>
      <c r="ER12" s="425"/>
      <c r="ES12" s="425"/>
      <c r="ET12" s="425"/>
      <c r="EU12" s="425"/>
      <c r="EV12" s="425"/>
      <c r="EW12" s="425"/>
      <c r="EX12" s="425"/>
      <c r="EY12" s="425"/>
      <c r="EZ12" s="425"/>
      <c r="FA12" s="425"/>
      <c r="FB12" s="425"/>
      <c r="FC12" s="425"/>
      <c r="FD12" s="425"/>
      <c r="FE12" s="425"/>
      <c r="FF12" s="425"/>
      <c r="FG12" s="425"/>
      <c r="FH12" s="425"/>
      <c r="FI12" s="425"/>
      <c r="FJ12" s="425"/>
      <c r="FK12" s="425"/>
      <c r="FL12" s="425"/>
      <c r="FM12" s="425"/>
      <c r="FN12" s="425"/>
      <c r="FO12" s="425"/>
      <c r="FP12" s="425"/>
      <c r="FQ12" s="425"/>
      <c r="FR12" s="425"/>
      <c r="FS12" s="425"/>
      <c r="FT12" s="425"/>
      <c r="FU12" s="425"/>
      <c r="FV12" s="425"/>
      <c r="FW12" s="425"/>
      <c r="FX12" s="425"/>
      <c r="FY12" s="425"/>
      <c r="FZ12" s="425"/>
      <c r="GA12" s="425"/>
      <c r="GB12" s="425"/>
      <c r="GC12" s="425"/>
      <c r="GD12" s="425"/>
      <c r="GE12" s="425"/>
      <c r="GF12" s="425"/>
      <c r="GG12" s="425"/>
      <c r="GH12" s="425"/>
      <c r="GI12" s="425"/>
      <c r="GJ12" s="425"/>
      <c r="GK12" s="425"/>
      <c r="GL12" s="425"/>
      <c r="GM12" s="425"/>
      <c r="GN12" s="425"/>
      <c r="GO12" s="425"/>
      <c r="GP12" s="425"/>
      <c r="GQ12" s="425"/>
      <c r="GR12" s="425"/>
      <c r="GS12" s="425"/>
      <c r="GT12" s="425"/>
      <c r="GU12" s="425"/>
      <c r="GV12" s="425"/>
      <c r="GW12" s="425"/>
      <c r="GX12" s="425"/>
      <c r="GY12" s="425"/>
      <c r="GZ12" s="425"/>
      <c r="HA12" s="425"/>
      <c r="HB12" s="425"/>
      <c r="HC12" s="425"/>
      <c r="HD12" s="425"/>
      <c r="HE12" s="425"/>
      <c r="HF12" s="425"/>
      <c r="HG12" s="425"/>
      <c r="HH12" s="425"/>
      <c r="HI12" s="425"/>
      <c r="HJ12" s="425"/>
      <c r="HK12" s="425"/>
      <c r="HL12" s="425"/>
      <c r="HM12" s="425"/>
      <c r="HN12" s="425"/>
      <c r="HO12" s="425"/>
      <c r="HP12" s="425"/>
      <c r="HQ12" s="425"/>
      <c r="HR12" s="425"/>
      <c r="HS12" s="425"/>
      <c r="HT12" s="425"/>
      <c r="HU12" s="425"/>
      <c r="HV12" s="425"/>
      <c r="HW12" s="425"/>
      <c r="HX12" s="425"/>
      <c r="HY12" s="425"/>
      <c r="HZ12" s="425"/>
      <c r="IA12" s="425"/>
      <c r="IB12" s="425"/>
      <c r="IC12" s="425"/>
      <c r="ID12" s="425"/>
      <c r="IE12" s="425"/>
      <c r="IF12" s="425"/>
      <c r="IG12" s="425"/>
      <c r="IH12" s="425"/>
      <c r="II12" s="425"/>
      <c r="IJ12" s="425"/>
      <c r="IK12" s="425"/>
      <c r="IL12" s="425"/>
      <c r="IM12" s="425"/>
      <c r="IN12" s="425"/>
      <c r="IO12" s="425"/>
      <c r="IP12" s="425"/>
      <c r="IQ12" s="425"/>
      <c r="IR12" s="425"/>
      <c r="IS12" s="425"/>
      <c r="IT12" s="425"/>
      <c r="IU12" s="425"/>
      <c r="IV12" s="425"/>
      <c r="IW12" s="425"/>
      <c r="IX12" s="425"/>
      <c r="IY12" s="425"/>
      <c r="IZ12" s="428"/>
    </row>
    <row r="13" spans="1:260">
      <c r="A13" s="453">
        <v>2</v>
      </c>
      <c r="B13" s="454" t="s">
        <v>456</v>
      </c>
      <c r="C13" s="453" t="s">
        <v>189</v>
      </c>
      <c r="D13" s="453"/>
      <c r="E13" s="455">
        <v>195</v>
      </c>
      <c r="F13" s="448">
        <v>550000</v>
      </c>
      <c r="G13" s="448">
        <f>M33</f>
        <v>1925000</v>
      </c>
      <c r="H13" s="449">
        <f>M35</f>
        <v>92000</v>
      </c>
      <c r="I13" s="448">
        <f>O32</f>
        <v>558200</v>
      </c>
      <c r="J13" s="448">
        <f>O33</f>
        <v>2793791</v>
      </c>
      <c r="K13" s="448">
        <f>O35</f>
        <v>145132</v>
      </c>
      <c r="L13" s="450">
        <f>O37</f>
        <v>80000</v>
      </c>
      <c r="M13" s="450">
        <v>80000</v>
      </c>
      <c r="N13" s="450">
        <f>SUM(F13:M13)</f>
        <v>6224123</v>
      </c>
      <c r="O13" s="450"/>
      <c r="P13" s="451">
        <f>N13-O13</f>
        <v>6224123</v>
      </c>
      <c r="Q13" s="774"/>
      <c r="R13" s="774"/>
      <c r="S13" s="777"/>
      <c r="T13" s="444"/>
      <c r="AA13" s="425"/>
      <c r="AB13" s="425"/>
      <c r="AC13" s="425"/>
      <c r="AD13" s="425"/>
      <c r="AE13" s="425"/>
      <c r="AF13" s="425"/>
      <c r="AG13" s="425"/>
      <c r="AH13" s="425"/>
      <c r="AI13" s="425"/>
      <c r="AJ13" s="425"/>
      <c r="AK13" s="425"/>
      <c r="AL13" s="425"/>
      <c r="AM13" s="425"/>
      <c r="AN13" s="425"/>
      <c r="AO13" s="425"/>
      <c r="AP13" s="425"/>
      <c r="AQ13" s="425"/>
      <c r="AR13" s="425"/>
      <c r="AS13" s="425"/>
      <c r="AT13" s="425"/>
      <c r="AU13" s="425"/>
      <c r="AV13" s="425"/>
      <c r="AW13" s="425"/>
      <c r="AX13" s="425"/>
      <c r="AY13" s="425"/>
      <c r="AZ13" s="425"/>
      <c r="BA13" s="425"/>
      <c r="BB13" s="425"/>
      <c r="BC13" s="425"/>
      <c r="BD13" s="425"/>
      <c r="BE13" s="425"/>
      <c r="BF13" s="425"/>
      <c r="BG13" s="425"/>
      <c r="BH13" s="425"/>
      <c r="BI13" s="425"/>
      <c r="BJ13" s="425"/>
      <c r="BK13" s="425"/>
      <c r="BL13" s="425"/>
      <c r="BM13" s="425"/>
      <c r="BN13" s="425"/>
      <c r="BO13" s="425"/>
      <c r="BP13" s="425"/>
      <c r="BQ13" s="425"/>
      <c r="BR13" s="425"/>
      <c r="BS13" s="425"/>
      <c r="BT13" s="425"/>
      <c r="BU13" s="425"/>
      <c r="BV13" s="425"/>
      <c r="BW13" s="425"/>
      <c r="BX13" s="425"/>
      <c r="BY13" s="425"/>
      <c r="BZ13" s="425"/>
      <c r="CA13" s="425"/>
      <c r="CB13" s="425"/>
      <c r="CC13" s="425"/>
      <c r="CD13" s="425"/>
      <c r="CE13" s="425"/>
      <c r="CF13" s="425"/>
      <c r="CG13" s="425"/>
      <c r="CH13" s="425"/>
      <c r="CI13" s="425"/>
      <c r="CJ13" s="425"/>
      <c r="CK13" s="425"/>
      <c r="CL13" s="425"/>
      <c r="CM13" s="425"/>
      <c r="CN13" s="425"/>
      <c r="CO13" s="425"/>
      <c r="CP13" s="425"/>
      <c r="CQ13" s="425"/>
      <c r="CR13" s="425"/>
      <c r="CS13" s="425"/>
      <c r="CT13" s="425"/>
      <c r="CU13" s="425"/>
      <c r="CV13" s="425"/>
      <c r="CW13" s="425"/>
      <c r="CX13" s="425"/>
      <c r="CY13" s="425"/>
      <c r="CZ13" s="425"/>
      <c r="DA13" s="425"/>
      <c r="DB13" s="425"/>
      <c r="DC13" s="425"/>
      <c r="DD13" s="425"/>
      <c r="DE13" s="425"/>
      <c r="DF13" s="425"/>
      <c r="DG13" s="425"/>
      <c r="DH13" s="425"/>
      <c r="DI13" s="425"/>
      <c r="DJ13" s="425"/>
      <c r="DK13" s="425"/>
      <c r="DL13" s="425"/>
      <c r="DM13" s="425"/>
      <c r="DN13" s="425"/>
      <c r="DO13" s="425"/>
      <c r="DP13" s="425"/>
      <c r="DQ13" s="425"/>
      <c r="DR13" s="425"/>
      <c r="DS13" s="425"/>
      <c r="DT13" s="425"/>
      <c r="DU13" s="425"/>
      <c r="DV13" s="425"/>
      <c r="DW13" s="425"/>
      <c r="DX13" s="425"/>
      <c r="DY13" s="425"/>
      <c r="DZ13" s="425"/>
      <c r="EA13" s="425"/>
      <c r="EB13" s="425"/>
      <c r="EC13" s="425"/>
      <c r="ED13" s="425"/>
      <c r="EE13" s="425"/>
      <c r="EF13" s="425"/>
      <c r="EG13" s="425"/>
      <c r="EH13" s="425"/>
      <c r="EI13" s="425"/>
      <c r="EJ13" s="425"/>
      <c r="EK13" s="425"/>
      <c r="EL13" s="425"/>
      <c r="EM13" s="425"/>
      <c r="EN13" s="425"/>
      <c r="EO13" s="425"/>
      <c r="EP13" s="425"/>
      <c r="EQ13" s="425"/>
      <c r="ER13" s="425"/>
      <c r="ES13" s="425"/>
      <c r="ET13" s="425"/>
      <c r="EU13" s="425"/>
      <c r="EV13" s="425"/>
      <c r="EW13" s="425"/>
      <c r="EX13" s="425"/>
      <c r="EY13" s="425"/>
      <c r="EZ13" s="425"/>
      <c r="FA13" s="425"/>
      <c r="FB13" s="425"/>
      <c r="FC13" s="425"/>
      <c r="FD13" s="425"/>
      <c r="FE13" s="425"/>
      <c r="FF13" s="425"/>
      <c r="FG13" s="425"/>
      <c r="FH13" s="425"/>
      <c r="FI13" s="425"/>
      <c r="FJ13" s="425"/>
      <c r="FK13" s="425"/>
      <c r="FL13" s="425"/>
      <c r="FM13" s="425"/>
      <c r="FN13" s="425"/>
      <c r="FO13" s="425"/>
      <c r="FP13" s="425"/>
      <c r="FQ13" s="425"/>
      <c r="FR13" s="425"/>
      <c r="FS13" s="425"/>
      <c r="FT13" s="425"/>
      <c r="FU13" s="425"/>
      <c r="FV13" s="425"/>
      <c r="FW13" s="425"/>
      <c r="FX13" s="425"/>
      <c r="FY13" s="425"/>
      <c r="FZ13" s="425"/>
      <c r="GA13" s="425"/>
      <c r="GB13" s="425"/>
      <c r="GC13" s="425"/>
      <c r="GD13" s="425"/>
      <c r="GE13" s="425"/>
      <c r="GF13" s="425"/>
      <c r="GG13" s="425"/>
      <c r="GH13" s="425"/>
      <c r="GI13" s="425"/>
      <c r="GJ13" s="425"/>
      <c r="GK13" s="425"/>
      <c r="GL13" s="425"/>
      <c r="GM13" s="425"/>
      <c r="GN13" s="425"/>
      <c r="GO13" s="425"/>
      <c r="GP13" s="425"/>
      <c r="GQ13" s="425"/>
      <c r="GR13" s="425"/>
      <c r="GS13" s="425"/>
      <c r="GT13" s="425"/>
      <c r="GU13" s="425"/>
      <c r="GV13" s="425"/>
      <c r="GW13" s="425"/>
      <c r="GX13" s="425"/>
      <c r="GY13" s="425"/>
      <c r="GZ13" s="425"/>
      <c r="HA13" s="425"/>
      <c r="HB13" s="425"/>
      <c r="HC13" s="425"/>
      <c r="HD13" s="425"/>
      <c r="HE13" s="425"/>
      <c r="HF13" s="425"/>
      <c r="HG13" s="425"/>
      <c r="HH13" s="425"/>
      <c r="HI13" s="425"/>
      <c r="HJ13" s="425"/>
      <c r="HK13" s="425"/>
      <c r="HL13" s="425"/>
      <c r="HM13" s="425"/>
      <c r="HN13" s="425"/>
      <c r="HO13" s="425"/>
      <c r="HP13" s="425"/>
      <c r="HQ13" s="425"/>
      <c r="HR13" s="425"/>
      <c r="HS13" s="425"/>
      <c r="HT13" s="425"/>
      <c r="HU13" s="425"/>
      <c r="HV13" s="425"/>
      <c r="HW13" s="425"/>
      <c r="HX13" s="425"/>
      <c r="HY13" s="425"/>
      <c r="HZ13" s="425"/>
      <c r="IA13" s="425"/>
      <c r="IB13" s="425"/>
      <c r="IC13" s="425"/>
      <c r="ID13" s="425"/>
      <c r="IE13" s="425"/>
      <c r="IF13" s="425"/>
      <c r="IG13" s="425"/>
      <c r="IH13" s="425"/>
      <c r="II13" s="425"/>
      <c r="IJ13" s="425"/>
      <c r="IK13" s="425"/>
      <c r="IL13" s="425"/>
      <c r="IM13" s="425"/>
      <c r="IN13" s="425"/>
      <c r="IO13" s="425"/>
      <c r="IP13" s="425"/>
      <c r="IQ13" s="425"/>
      <c r="IR13" s="425"/>
      <c r="IS13" s="425"/>
      <c r="IT13" s="425"/>
      <c r="IU13" s="425"/>
      <c r="IV13" s="425"/>
      <c r="IW13" s="425"/>
      <c r="IX13" s="425"/>
      <c r="IY13" s="425"/>
      <c r="IZ13" s="428"/>
    </row>
    <row r="14" spans="1:260" hidden="1">
      <c r="A14" s="439"/>
      <c r="B14" s="440"/>
      <c r="C14" s="439"/>
      <c r="D14" s="439"/>
      <c r="E14" s="456"/>
      <c r="F14" s="457"/>
      <c r="G14" s="457"/>
      <c r="H14" s="458"/>
      <c r="I14" s="457"/>
      <c r="J14" s="457"/>
      <c r="K14" s="448">
        <f t="shared" ref="K14:K19" si="2">O37</f>
        <v>80000</v>
      </c>
      <c r="L14" s="457"/>
      <c r="M14" s="457"/>
      <c r="N14" s="450">
        <f t="shared" ref="N14:N19" si="3">SUM(F14:M14)</f>
        <v>80000</v>
      </c>
      <c r="O14" s="457"/>
      <c r="P14" s="457"/>
      <c r="Q14" s="788"/>
      <c r="R14" s="773"/>
      <c r="S14" s="776"/>
      <c r="T14" s="444"/>
      <c r="AA14" s="425"/>
      <c r="AB14" s="425"/>
      <c r="AC14" s="425"/>
      <c r="AD14" s="425"/>
      <c r="AE14" s="425"/>
      <c r="AF14" s="425"/>
      <c r="AG14" s="425"/>
      <c r="AH14" s="425"/>
      <c r="AI14" s="425"/>
      <c r="AJ14" s="425"/>
      <c r="AK14" s="425"/>
      <c r="AL14" s="425"/>
      <c r="AM14" s="425"/>
      <c r="AN14" s="425"/>
      <c r="AO14" s="425"/>
      <c r="AP14" s="425"/>
      <c r="AQ14" s="425"/>
      <c r="AR14" s="425"/>
      <c r="AS14" s="425"/>
      <c r="AT14" s="425"/>
      <c r="AU14" s="425"/>
      <c r="AV14" s="425"/>
      <c r="AW14" s="425"/>
      <c r="AX14" s="425"/>
      <c r="AY14" s="425"/>
      <c r="AZ14" s="425"/>
      <c r="BA14" s="425"/>
      <c r="BB14" s="425"/>
      <c r="BC14" s="425"/>
      <c r="BD14" s="425"/>
      <c r="BE14" s="425"/>
      <c r="BF14" s="425"/>
      <c r="BG14" s="425"/>
      <c r="BH14" s="425"/>
      <c r="BI14" s="425"/>
      <c r="BJ14" s="425"/>
      <c r="BK14" s="425"/>
      <c r="BL14" s="425"/>
      <c r="BM14" s="425"/>
      <c r="BN14" s="425"/>
      <c r="BO14" s="425"/>
      <c r="BP14" s="425"/>
      <c r="BQ14" s="425"/>
      <c r="BR14" s="425"/>
      <c r="BS14" s="425"/>
      <c r="BT14" s="425"/>
      <c r="BU14" s="425"/>
      <c r="BV14" s="425"/>
      <c r="BW14" s="425"/>
      <c r="BX14" s="425"/>
      <c r="BY14" s="425"/>
      <c r="BZ14" s="425"/>
      <c r="CA14" s="425"/>
      <c r="CB14" s="425"/>
      <c r="CC14" s="425"/>
      <c r="CD14" s="425"/>
      <c r="CE14" s="425"/>
      <c r="CF14" s="425"/>
      <c r="CG14" s="425"/>
      <c r="CH14" s="425"/>
      <c r="CI14" s="425"/>
      <c r="CJ14" s="425"/>
      <c r="CK14" s="425"/>
      <c r="CL14" s="425"/>
      <c r="CM14" s="425"/>
      <c r="CN14" s="425"/>
      <c r="CO14" s="425"/>
      <c r="CP14" s="425"/>
      <c r="CQ14" s="425"/>
      <c r="CR14" s="425"/>
      <c r="CS14" s="425"/>
      <c r="CT14" s="425"/>
      <c r="CU14" s="425"/>
      <c r="CV14" s="425"/>
      <c r="CW14" s="425"/>
      <c r="CX14" s="425"/>
      <c r="CY14" s="425"/>
      <c r="CZ14" s="425"/>
      <c r="DA14" s="425"/>
      <c r="DB14" s="425"/>
      <c r="DC14" s="425"/>
      <c r="DD14" s="425"/>
      <c r="DE14" s="425"/>
      <c r="DF14" s="425"/>
      <c r="DG14" s="425"/>
      <c r="DH14" s="425"/>
      <c r="DI14" s="425"/>
      <c r="DJ14" s="425"/>
      <c r="DK14" s="425"/>
      <c r="DL14" s="425"/>
      <c r="DM14" s="425"/>
      <c r="DN14" s="425"/>
      <c r="DO14" s="425"/>
      <c r="DP14" s="425"/>
      <c r="DQ14" s="425"/>
      <c r="DR14" s="425"/>
      <c r="DS14" s="425"/>
      <c r="DT14" s="425"/>
      <c r="DU14" s="425"/>
      <c r="DV14" s="425"/>
      <c r="DW14" s="425"/>
      <c r="DX14" s="425"/>
      <c r="DY14" s="425"/>
      <c r="DZ14" s="425"/>
      <c r="EA14" s="425"/>
      <c r="EB14" s="425"/>
      <c r="EC14" s="425"/>
      <c r="ED14" s="425"/>
      <c r="EE14" s="425"/>
      <c r="EF14" s="425"/>
      <c r="EG14" s="425"/>
      <c r="EH14" s="425"/>
      <c r="EI14" s="425"/>
      <c r="EJ14" s="425"/>
      <c r="EK14" s="425"/>
      <c r="EL14" s="425"/>
      <c r="EM14" s="425"/>
      <c r="EN14" s="425"/>
      <c r="EO14" s="425"/>
      <c r="EP14" s="425"/>
      <c r="EQ14" s="425"/>
      <c r="ER14" s="425"/>
      <c r="ES14" s="425"/>
      <c r="ET14" s="425"/>
      <c r="EU14" s="425"/>
      <c r="EV14" s="425"/>
      <c r="EW14" s="425"/>
      <c r="EX14" s="425"/>
      <c r="EY14" s="425"/>
      <c r="EZ14" s="425"/>
      <c r="FA14" s="425"/>
      <c r="FB14" s="425"/>
      <c r="FC14" s="425"/>
      <c r="FD14" s="425"/>
      <c r="FE14" s="425"/>
      <c r="FF14" s="425"/>
      <c r="FG14" s="425"/>
      <c r="FH14" s="425"/>
      <c r="FI14" s="425"/>
      <c r="FJ14" s="425"/>
      <c r="FK14" s="425"/>
      <c r="FL14" s="425"/>
      <c r="FM14" s="425"/>
      <c r="FN14" s="425"/>
      <c r="FO14" s="425"/>
      <c r="FP14" s="425"/>
      <c r="FQ14" s="425"/>
      <c r="FR14" s="425"/>
      <c r="FS14" s="425"/>
      <c r="FT14" s="425"/>
      <c r="FU14" s="425"/>
      <c r="FV14" s="425"/>
      <c r="FW14" s="425"/>
      <c r="FX14" s="425"/>
      <c r="FY14" s="425"/>
      <c r="FZ14" s="425"/>
      <c r="GA14" s="425"/>
      <c r="GB14" s="425"/>
      <c r="GC14" s="425"/>
      <c r="GD14" s="425"/>
      <c r="GE14" s="425"/>
      <c r="GF14" s="425"/>
      <c r="GG14" s="425"/>
      <c r="GH14" s="425"/>
      <c r="GI14" s="425"/>
      <c r="GJ14" s="425"/>
      <c r="GK14" s="425"/>
      <c r="GL14" s="425"/>
      <c r="GM14" s="425"/>
      <c r="GN14" s="425"/>
      <c r="GO14" s="425"/>
      <c r="GP14" s="425"/>
      <c r="GQ14" s="425"/>
      <c r="GR14" s="425"/>
      <c r="GS14" s="425"/>
      <c r="GT14" s="425"/>
      <c r="GU14" s="425"/>
      <c r="GV14" s="425"/>
      <c r="GW14" s="425"/>
      <c r="GX14" s="425"/>
      <c r="GY14" s="425"/>
      <c r="GZ14" s="425"/>
      <c r="HA14" s="425"/>
      <c r="HB14" s="425"/>
      <c r="HC14" s="425"/>
      <c r="HD14" s="425"/>
      <c r="HE14" s="425"/>
      <c r="HF14" s="425"/>
      <c r="HG14" s="425"/>
      <c r="HH14" s="425"/>
      <c r="HI14" s="425"/>
      <c r="HJ14" s="425"/>
      <c r="HK14" s="425"/>
      <c r="HL14" s="425"/>
      <c r="HM14" s="425"/>
      <c r="HN14" s="425"/>
      <c r="HO14" s="425"/>
      <c r="HP14" s="425"/>
      <c r="HQ14" s="425"/>
      <c r="HR14" s="425"/>
      <c r="HS14" s="425"/>
      <c r="HT14" s="425"/>
      <c r="HU14" s="425"/>
      <c r="HV14" s="425"/>
      <c r="HW14" s="425"/>
      <c r="HX14" s="425"/>
      <c r="HY14" s="425"/>
      <c r="HZ14" s="425"/>
      <c r="IA14" s="425"/>
      <c r="IB14" s="425"/>
      <c r="IC14" s="425"/>
      <c r="ID14" s="425"/>
      <c r="IE14" s="425"/>
      <c r="IF14" s="425"/>
      <c r="IG14" s="425"/>
      <c r="IH14" s="425"/>
      <c r="II14" s="425"/>
      <c r="IJ14" s="425"/>
      <c r="IK14" s="425"/>
      <c r="IL14" s="425"/>
      <c r="IM14" s="425"/>
      <c r="IN14" s="425"/>
      <c r="IO14" s="425"/>
      <c r="IP14" s="425"/>
      <c r="IQ14" s="425"/>
      <c r="IR14" s="425"/>
      <c r="IS14" s="425"/>
      <c r="IT14" s="425"/>
      <c r="IU14" s="425"/>
      <c r="IV14" s="425"/>
      <c r="IW14" s="425"/>
      <c r="IX14" s="425"/>
      <c r="IY14" s="425"/>
      <c r="IZ14" s="428"/>
    </row>
    <row r="15" spans="1:260" ht="15.75" hidden="1">
      <c r="A15" s="445"/>
      <c r="B15" s="459"/>
      <c r="C15" s="460"/>
      <c r="D15" s="460"/>
      <c r="E15" s="461"/>
      <c r="F15" s="448"/>
      <c r="G15" s="448"/>
      <c r="H15" s="449"/>
      <c r="I15" s="448"/>
      <c r="J15" s="448"/>
      <c r="K15" s="448">
        <f t="shared" si="2"/>
        <v>0</v>
      </c>
      <c r="L15" s="448"/>
      <c r="M15" s="448"/>
      <c r="N15" s="450">
        <f t="shared" si="3"/>
        <v>0</v>
      </c>
      <c r="O15" s="448"/>
      <c r="P15" s="462"/>
      <c r="Q15" s="789"/>
      <c r="R15" s="774"/>
      <c r="S15" s="777"/>
      <c r="T15" s="444"/>
      <c r="IZ15" s="428"/>
    </row>
    <row r="16" spans="1:260" ht="15.75" hidden="1">
      <c r="A16" s="463"/>
      <c r="B16" s="464"/>
      <c r="C16" s="465"/>
      <c r="D16" s="465"/>
      <c r="E16" s="466"/>
      <c r="F16" s="467"/>
      <c r="G16" s="467"/>
      <c r="H16" s="468"/>
      <c r="I16" s="467"/>
      <c r="J16" s="467"/>
      <c r="K16" s="448">
        <f t="shared" si="2"/>
        <v>0</v>
      </c>
      <c r="L16" s="467"/>
      <c r="M16" s="467"/>
      <c r="N16" s="450">
        <f t="shared" si="3"/>
        <v>0</v>
      </c>
      <c r="O16" s="467"/>
      <c r="P16" s="469"/>
      <c r="Q16" s="790"/>
      <c r="R16" s="775"/>
      <c r="S16" s="452"/>
      <c r="T16" s="444"/>
      <c r="IZ16" s="428"/>
    </row>
    <row r="17" spans="1:260" hidden="1">
      <c r="A17" s="439"/>
      <c r="B17" s="440"/>
      <c r="C17" s="439"/>
      <c r="D17" s="457"/>
      <c r="E17" s="457"/>
      <c r="F17" s="457"/>
      <c r="G17" s="457"/>
      <c r="H17" s="458"/>
      <c r="I17" s="457"/>
      <c r="J17" s="457"/>
      <c r="K17" s="448">
        <f t="shared" si="2"/>
        <v>0</v>
      </c>
      <c r="L17" s="457"/>
      <c r="M17" s="457"/>
      <c r="N17" s="450">
        <f t="shared" si="3"/>
        <v>0</v>
      </c>
      <c r="O17" s="457"/>
      <c r="P17" s="457"/>
      <c r="Q17" s="773"/>
      <c r="R17" s="773"/>
      <c r="S17" s="776"/>
      <c r="T17" s="444"/>
      <c r="AA17" s="425"/>
      <c r="AB17" s="425"/>
      <c r="AC17" s="425"/>
      <c r="AD17" s="425"/>
      <c r="AE17" s="425"/>
      <c r="AF17" s="425"/>
      <c r="AG17" s="425"/>
      <c r="AH17" s="425"/>
      <c r="AI17" s="425"/>
      <c r="AJ17" s="425"/>
      <c r="AK17" s="425"/>
      <c r="AL17" s="425"/>
      <c r="AM17" s="425"/>
      <c r="AN17" s="425"/>
      <c r="AO17" s="425"/>
      <c r="AP17" s="425"/>
      <c r="AQ17" s="425"/>
      <c r="AR17" s="425"/>
      <c r="AS17" s="425"/>
      <c r="AT17" s="425"/>
      <c r="AU17" s="425"/>
      <c r="AV17" s="425"/>
      <c r="AW17" s="425"/>
      <c r="AX17" s="425"/>
      <c r="AY17" s="425"/>
      <c r="AZ17" s="425"/>
      <c r="BA17" s="425"/>
      <c r="BB17" s="425"/>
      <c r="BC17" s="425"/>
      <c r="BD17" s="425"/>
      <c r="BE17" s="425"/>
      <c r="BF17" s="425"/>
      <c r="BG17" s="425"/>
      <c r="BH17" s="425"/>
      <c r="BI17" s="425"/>
      <c r="BJ17" s="425"/>
      <c r="BK17" s="425"/>
      <c r="BL17" s="425"/>
      <c r="BM17" s="425"/>
      <c r="BN17" s="425"/>
      <c r="BO17" s="425"/>
      <c r="BP17" s="425"/>
      <c r="BQ17" s="425"/>
      <c r="BR17" s="425"/>
      <c r="BS17" s="425"/>
      <c r="BT17" s="425"/>
      <c r="BU17" s="425"/>
      <c r="BV17" s="425"/>
      <c r="BW17" s="425"/>
      <c r="BX17" s="425"/>
      <c r="BY17" s="425"/>
      <c r="BZ17" s="425"/>
      <c r="CA17" s="425"/>
      <c r="CB17" s="425"/>
      <c r="CC17" s="425"/>
      <c r="CD17" s="425"/>
      <c r="CE17" s="425"/>
      <c r="CF17" s="425"/>
      <c r="CG17" s="425"/>
      <c r="CH17" s="425"/>
      <c r="CI17" s="425"/>
      <c r="CJ17" s="425"/>
      <c r="CK17" s="425"/>
      <c r="CL17" s="425"/>
      <c r="CM17" s="425"/>
      <c r="CN17" s="425"/>
      <c r="CO17" s="425"/>
      <c r="CP17" s="425"/>
      <c r="CQ17" s="425"/>
      <c r="CR17" s="425"/>
      <c r="CS17" s="425"/>
      <c r="CT17" s="425"/>
      <c r="CU17" s="425"/>
      <c r="CV17" s="425"/>
      <c r="CW17" s="425"/>
      <c r="CX17" s="425"/>
      <c r="CY17" s="425"/>
      <c r="CZ17" s="425"/>
      <c r="DA17" s="425"/>
      <c r="DB17" s="425"/>
      <c r="DC17" s="425"/>
      <c r="DD17" s="425"/>
      <c r="DE17" s="425"/>
      <c r="DF17" s="425"/>
      <c r="DG17" s="425"/>
      <c r="DH17" s="425"/>
      <c r="DI17" s="425"/>
      <c r="DJ17" s="425"/>
      <c r="DK17" s="425"/>
      <c r="DL17" s="425"/>
      <c r="DM17" s="425"/>
      <c r="DN17" s="425"/>
      <c r="DO17" s="425"/>
      <c r="DP17" s="425"/>
      <c r="DQ17" s="425"/>
      <c r="DR17" s="425"/>
      <c r="DS17" s="425"/>
      <c r="DT17" s="425"/>
      <c r="DU17" s="425"/>
      <c r="DV17" s="425"/>
      <c r="DW17" s="425"/>
      <c r="DX17" s="425"/>
      <c r="DY17" s="425"/>
      <c r="DZ17" s="425"/>
      <c r="EA17" s="425"/>
      <c r="EB17" s="425"/>
      <c r="EC17" s="425"/>
      <c r="ED17" s="425"/>
      <c r="EE17" s="425"/>
      <c r="EF17" s="425"/>
      <c r="EG17" s="425"/>
      <c r="EH17" s="425"/>
      <c r="EI17" s="425"/>
      <c r="EJ17" s="425"/>
      <c r="EK17" s="425"/>
      <c r="EL17" s="425"/>
      <c r="EM17" s="425"/>
      <c r="EN17" s="425"/>
      <c r="EO17" s="425"/>
      <c r="EP17" s="425"/>
      <c r="EQ17" s="425"/>
      <c r="ER17" s="425"/>
      <c r="ES17" s="425"/>
      <c r="ET17" s="425"/>
      <c r="EU17" s="425"/>
      <c r="EV17" s="425"/>
      <c r="EW17" s="425"/>
      <c r="EX17" s="425"/>
      <c r="EY17" s="425"/>
      <c r="EZ17" s="425"/>
      <c r="FA17" s="425"/>
      <c r="FB17" s="425"/>
      <c r="FC17" s="425"/>
      <c r="FD17" s="425"/>
      <c r="FE17" s="425"/>
      <c r="FF17" s="425"/>
      <c r="FG17" s="425"/>
      <c r="FH17" s="425"/>
      <c r="FI17" s="425"/>
      <c r="FJ17" s="425"/>
      <c r="FK17" s="425"/>
      <c r="FL17" s="425"/>
      <c r="FM17" s="425"/>
      <c r="FN17" s="425"/>
      <c r="FO17" s="425"/>
      <c r="FP17" s="425"/>
      <c r="FQ17" s="425"/>
      <c r="FR17" s="425"/>
      <c r="FS17" s="425"/>
      <c r="FT17" s="425"/>
      <c r="FU17" s="425"/>
      <c r="FV17" s="425"/>
      <c r="FW17" s="425"/>
      <c r="FX17" s="425"/>
      <c r="FY17" s="425"/>
      <c r="FZ17" s="425"/>
      <c r="GA17" s="425"/>
      <c r="GB17" s="425"/>
      <c r="GC17" s="425"/>
      <c r="GD17" s="425"/>
      <c r="GE17" s="425"/>
      <c r="GF17" s="425"/>
      <c r="GG17" s="425"/>
      <c r="GH17" s="425"/>
      <c r="GI17" s="425"/>
      <c r="GJ17" s="425"/>
      <c r="GK17" s="425"/>
      <c r="GL17" s="425"/>
      <c r="GM17" s="425"/>
      <c r="GN17" s="425"/>
      <c r="GO17" s="425"/>
      <c r="GP17" s="425"/>
      <c r="GQ17" s="425"/>
      <c r="GR17" s="425"/>
      <c r="GS17" s="425"/>
      <c r="GT17" s="425"/>
      <c r="GU17" s="425"/>
      <c r="GV17" s="425"/>
      <c r="GW17" s="425"/>
      <c r="GX17" s="425"/>
      <c r="GY17" s="425"/>
      <c r="GZ17" s="425"/>
      <c r="HA17" s="425"/>
      <c r="HB17" s="425"/>
      <c r="HC17" s="425"/>
      <c r="HD17" s="425"/>
      <c r="HE17" s="425"/>
      <c r="HF17" s="425"/>
      <c r="HG17" s="425"/>
      <c r="HH17" s="425"/>
      <c r="HI17" s="425"/>
      <c r="HJ17" s="425"/>
      <c r="HK17" s="425"/>
      <c r="HL17" s="425"/>
      <c r="HM17" s="425"/>
      <c r="HN17" s="425"/>
      <c r="HO17" s="425"/>
      <c r="HP17" s="425"/>
      <c r="HQ17" s="425"/>
      <c r="HR17" s="425"/>
      <c r="HS17" s="425"/>
      <c r="HT17" s="425"/>
      <c r="HU17" s="425"/>
      <c r="HV17" s="425"/>
      <c r="HW17" s="425"/>
      <c r="HX17" s="425"/>
      <c r="HY17" s="425"/>
      <c r="HZ17" s="425"/>
      <c r="IA17" s="425"/>
      <c r="IB17" s="425"/>
      <c r="IC17" s="425"/>
      <c r="ID17" s="425"/>
      <c r="IE17" s="425"/>
      <c r="IF17" s="425"/>
      <c r="IG17" s="425"/>
      <c r="IH17" s="425"/>
      <c r="II17" s="425"/>
      <c r="IJ17" s="425"/>
      <c r="IK17" s="425"/>
      <c r="IL17" s="425"/>
      <c r="IM17" s="425"/>
      <c r="IN17" s="425"/>
      <c r="IO17" s="425"/>
      <c r="IP17" s="425"/>
      <c r="IQ17" s="425"/>
      <c r="IR17" s="425"/>
      <c r="IS17" s="425"/>
      <c r="IT17" s="425"/>
      <c r="IU17" s="425"/>
      <c r="IV17" s="425"/>
      <c r="IW17" s="425"/>
      <c r="IX17" s="425"/>
      <c r="IY17" s="425"/>
      <c r="IZ17" s="428"/>
    </row>
    <row r="18" spans="1:260" ht="15.75" hidden="1">
      <c r="A18" s="461"/>
      <c r="B18" s="459"/>
      <c r="C18" s="461"/>
      <c r="D18" s="470"/>
      <c r="E18" s="461"/>
      <c r="F18" s="448"/>
      <c r="G18" s="448"/>
      <c r="H18" s="449"/>
      <c r="I18" s="448"/>
      <c r="J18" s="448"/>
      <c r="K18" s="448">
        <f t="shared" si="2"/>
        <v>0</v>
      </c>
      <c r="L18" s="448"/>
      <c r="M18" s="448"/>
      <c r="N18" s="450">
        <f t="shared" si="3"/>
        <v>0</v>
      </c>
      <c r="O18" s="448"/>
      <c r="P18" s="462"/>
      <c r="Q18" s="774"/>
      <c r="R18" s="774"/>
      <c r="S18" s="777"/>
      <c r="T18" s="444"/>
      <c r="AA18" s="425"/>
      <c r="AB18" s="425"/>
      <c r="AC18" s="425"/>
      <c r="AD18" s="425"/>
      <c r="AE18" s="425"/>
      <c r="AF18" s="425"/>
      <c r="AG18" s="425"/>
      <c r="AH18" s="425"/>
      <c r="AI18" s="425"/>
      <c r="AJ18" s="425"/>
      <c r="AK18" s="425"/>
      <c r="AL18" s="425"/>
      <c r="AM18" s="425"/>
      <c r="AN18" s="425"/>
      <c r="AO18" s="425"/>
      <c r="AP18" s="425"/>
      <c r="AQ18" s="425"/>
      <c r="AR18" s="425"/>
      <c r="AS18" s="425"/>
      <c r="AT18" s="425"/>
      <c r="AU18" s="425"/>
      <c r="AV18" s="425"/>
      <c r="AW18" s="425"/>
      <c r="AX18" s="425"/>
      <c r="AY18" s="425"/>
      <c r="AZ18" s="425"/>
      <c r="BA18" s="425"/>
      <c r="BB18" s="425"/>
      <c r="BC18" s="425"/>
      <c r="BD18" s="425"/>
      <c r="BE18" s="425"/>
      <c r="BF18" s="425"/>
      <c r="BG18" s="425"/>
      <c r="BH18" s="425"/>
      <c r="BI18" s="425"/>
      <c r="BJ18" s="425"/>
      <c r="BK18" s="425"/>
      <c r="BL18" s="425"/>
      <c r="BM18" s="425"/>
      <c r="BN18" s="425"/>
      <c r="BO18" s="425"/>
      <c r="BP18" s="425"/>
      <c r="BQ18" s="425"/>
      <c r="BR18" s="425"/>
      <c r="BS18" s="425"/>
      <c r="BT18" s="425"/>
      <c r="BU18" s="425"/>
      <c r="BV18" s="425"/>
      <c r="BW18" s="425"/>
      <c r="BX18" s="425"/>
      <c r="BY18" s="425"/>
      <c r="BZ18" s="425"/>
      <c r="CA18" s="425"/>
      <c r="CB18" s="425"/>
      <c r="CC18" s="425"/>
      <c r="CD18" s="425"/>
      <c r="CE18" s="425"/>
      <c r="CF18" s="425"/>
      <c r="CG18" s="425"/>
      <c r="CH18" s="425"/>
      <c r="CI18" s="425"/>
      <c r="CJ18" s="425"/>
      <c r="CK18" s="425"/>
      <c r="CL18" s="425"/>
      <c r="CM18" s="425"/>
      <c r="CN18" s="425"/>
      <c r="CO18" s="425"/>
      <c r="CP18" s="425"/>
      <c r="CQ18" s="425"/>
      <c r="CR18" s="425"/>
      <c r="CS18" s="425"/>
      <c r="CT18" s="425"/>
      <c r="CU18" s="425"/>
      <c r="CV18" s="425"/>
      <c r="CW18" s="425"/>
      <c r="CX18" s="425"/>
      <c r="CY18" s="425"/>
      <c r="CZ18" s="425"/>
      <c r="DA18" s="425"/>
      <c r="DB18" s="425"/>
      <c r="DC18" s="425"/>
      <c r="DD18" s="425"/>
      <c r="DE18" s="425"/>
      <c r="DF18" s="425"/>
      <c r="DG18" s="425"/>
      <c r="DH18" s="425"/>
      <c r="DI18" s="425"/>
      <c r="DJ18" s="425"/>
      <c r="DK18" s="425"/>
      <c r="DL18" s="425"/>
      <c r="DM18" s="425"/>
      <c r="DN18" s="425"/>
      <c r="DO18" s="425"/>
      <c r="DP18" s="425"/>
      <c r="DQ18" s="425"/>
      <c r="DR18" s="425"/>
      <c r="DS18" s="425"/>
      <c r="DT18" s="425"/>
      <c r="DU18" s="425"/>
      <c r="DV18" s="425"/>
      <c r="DW18" s="425"/>
      <c r="DX18" s="425"/>
      <c r="DY18" s="425"/>
      <c r="DZ18" s="425"/>
      <c r="EA18" s="425"/>
      <c r="EB18" s="425"/>
      <c r="EC18" s="425"/>
      <c r="ED18" s="425"/>
      <c r="EE18" s="425"/>
      <c r="EF18" s="425"/>
      <c r="EG18" s="425"/>
      <c r="EH18" s="425"/>
      <c r="EI18" s="425"/>
      <c r="EJ18" s="425"/>
      <c r="EK18" s="425"/>
      <c r="EL18" s="425"/>
      <c r="EM18" s="425"/>
      <c r="EN18" s="425"/>
      <c r="EO18" s="425"/>
      <c r="EP18" s="425"/>
      <c r="EQ18" s="425"/>
      <c r="ER18" s="425"/>
      <c r="ES18" s="425"/>
      <c r="ET18" s="425"/>
      <c r="EU18" s="425"/>
      <c r="EV18" s="425"/>
      <c r="EW18" s="425"/>
      <c r="EX18" s="425"/>
      <c r="EY18" s="425"/>
      <c r="EZ18" s="425"/>
      <c r="FA18" s="425"/>
      <c r="FB18" s="425"/>
      <c r="FC18" s="425"/>
      <c r="FD18" s="425"/>
      <c r="FE18" s="425"/>
      <c r="FF18" s="425"/>
      <c r="FG18" s="425"/>
      <c r="FH18" s="425"/>
      <c r="FI18" s="425"/>
      <c r="FJ18" s="425"/>
      <c r="FK18" s="425"/>
      <c r="FL18" s="425"/>
      <c r="FM18" s="425"/>
      <c r="FN18" s="425"/>
      <c r="FO18" s="425"/>
      <c r="FP18" s="425"/>
      <c r="FQ18" s="425"/>
      <c r="FR18" s="425"/>
      <c r="FS18" s="425"/>
      <c r="FT18" s="425"/>
      <c r="FU18" s="425"/>
      <c r="FV18" s="425"/>
      <c r="FW18" s="425"/>
      <c r="FX18" s="425"/>
      <c r="FY18" s="425"/>
      <c r="FZ18" s="425"/>
      <c r="GA18" s="425"/>
      <c r="GB18" s="425"/>
      <c r="GC18" s="425"/>
      <c r="GD18" s="425"/>
      <c r="GE18" s="425"/>
      <c r="GF18" s="425"/>
      <c r="GG18" s="425"/>
      <c r="GH18" s="425"/>
      <c r="GI18" s="425"/>
      <c r="GJ18" s="425"/>
      <c r="GK18" s="425"/>
      <c r="GL18" s="425"/>
      <c r="GM18" s="425"/>
      <c r="GN18" s="425"/>
      <c r="GO18" s="425"/>
      <c r="GP18" s="425"/>
      <c r="GQ18" s="425"/>
      <c r="GR18" s="425"/>
      <c r="GS18" s="425"/>
      <c r="GT18" s="425"/>
      <c r="GU18" s="425"/>
      <c r="GV18" s="425"/>
      <c r="GW18" s="425"/>
      <c r="GX18" s="425"/>
      <c r="GY18" s="425"/>
      <c r="GZ18" s="425"/>
      <c r="HA18" s="425"/>
      <c r="HB18" s="425"/>
      <c r="HC18" s="425"/>
      <c r="HD18" s="425"/>
      <c r="HE18" s="425"/>
      <c r="HF18" s="425"/>
      <c r="HG18" s="425"/>
      <c r="HH18" s="425"/>
      <c r="HI18" s="425"/>
      <c r="HJ18" s="425"/>
      <c r="HK18" s="425"/>
      <c r="HL18" s="425"/>
      <c r="HM18" s="425"/>
      <c r="HN18" s="425"/>
      <c r="HO18" s="425"/>
      <c r="HP18" s="425"/>
      <c r="HQ18" s="425"/>
      <c r="HR18" s="425"/>
      <c r="HS18" s="425"/>
      <c r="HT18" s="425"/>
      <c r="HU18" s="425"/>
      <c r="HV18" s="425"/>
      <c r="HW18" s="425"/>
      <c r="HX18" s="425"/>
      <c r="HY18" s="425"/>
      <c r="HZ18" s="425"/>
      <c r="IA18" s="425"/>
      <c r="IB18" s="425"/>
      <c r="IC18" s="425"/>
      <c r="ID18" s="425"/>
      <c r="IE18" s="425"/>
      <c r="IF18" s="425"/>
      <c r="IG18" s="425"/>
      <c r="IH18" s="425"/>
      <c r="II18" s="425"/>
      <c r="IJ18" s="425"/>
      <c r="IK18" s="425"/>
      <c r="IL18" s="425"/>
      <c r="IM18" s="425"/>
      <c r="IN18" s="425"/>
      <c r="IO18" s="425"/>
      <c r="IP18" s="425"/>
      <c r="IQ18" s="425"/>
      <c r="IR18" s="425"/>
      <c r="IS18" s="425"/>
      <c r="IT18" s="425"/>
      <c r="IU18" s="425"/>
      <c r="IV18" s="425"/>
      <c r="IW18" s="425"/>
      <c r="IX18" s="425"/>
      <c r="IY18" s="425"/>
      <c r="IZ18" s="428"/>
    </row>
    <row r="19" spans="1:260" ht="15.75" hidden="1">
      <c r="A19" s="466"/>
      <c r="B19" s="464"/>
      <c r="C19" s="466"/>
      <c r="D19" s="471"/>
      <c r="E19" s="466"/>
      <c r="F19" s="467"/>
      <c r="G19" s="467"/>
      <c r="H19" s="468"/>
      <c r="I19" s="467"/>
      <c r="J19" s="467"/>
      <c r="K19" s="448">
        <f t="shared" si="2"/>
        <v>0</v>
      </c>
      <c r="L19" s="467"/>
      <c r="M19" s="467"/>
      <c r="N19" s="450">
        <f t="shared" si="3"/>
        <v>0</v>
      </c>
      <c r="O19" s="467"/>
      <c r="P19" s="469"/>
      <c r="Q19" s="775"/>
      <c r="R19" s="775"/>
      <c r="S19" s="777"/>
      <c r="T19" s="444"/>
      <c r="AA19" s="425"/>
      <c r="AB19" s="425"/>
      <c r="AC19" s="425"/>
      <c r="AD19" s="425"/>
      <c r="AE19" s="425"/>
      <c r="AF19" s="425"/>
      <c r="AG19" s="425"/>
      <c r="AH19" s="425"/>
      <c r="AI19" s="425"/>
      <c r="AJ19" s="425"/>
      <c r="AK19" s="425"/>
      <c r="AL19" s="425"/>
      <c r="AM19" s="425"/>
      <c r="AN19" s="425"/>
      <c r="AO19" s="425"/>
      <c r="AP19" s="425"/>
      <c r="AQ19" s="425"/>
      <c r="AR19" s="425"/>
      <c r="AS19" s="425"/>
      <c r="AT19" s="425"/>
      <c r="AU19" s="425"/>
      <c r="AV19" s="425"/>
      <c r="AW19" s="425"/>
      <c r="AX19" s="425"/>
      <c r="AY19" s="425"/>
      <c r="AZ19" s="425"/>
      <c r="BA19" s="425"/>
      <c r="BB19" s="425"/>
      <c r="BC19" s="425"/>
      <c r="BD19" s="425"/>
      <c r="BE19" s="425"/>
      <c r="BF19" s="425"/>
      <c r="BG19" s="425"/>
      <c r="BH19" s="425"/>
      <c r="BI19" s="425"/>
      <c r="BJ19" s="425"/>
      <c r="BK19" s="425"/>
      <c r="BL19" s="425"/>
      <c r="BM19" s="425"/>
      <c r="BN19" s="425"/>
      <c r="BO19" s="425"/>
      <c r="BP19" s="425"/>
      <c r="BQ19" s="425"/>
      <c r="BR19" s="425"/>
      <c r="BS19" s="425"/>
      <c r="BT19" s="425"/>
      <c r="BU19" s="425"/>
      <c r="BV19" s="425"/>
      <c r="BW19" s="425"/>
      <c r="BX19" s="425"/>
      <c r="BY19" s="425"/>
      <c r="BZ19" s="425"/>
      <c r="CA19" s="425"/>
      <c r="CB19" s="425"/>
      <c r="CC19" s="425"/>
      <c r="CD19" s="425"/>
      <c r="CE19" s="425"/>
      <c r="CF19" s="425"/>
      <c r="CG19" s="425"/>
      <c r="CH19" s="425"/>
      <c r="CI19" s="425"/>
      <c r="CJ19" s="425"/>
      <c r="CK19" s="425"/>
      <c r="CL19" s="425"/>
      <c r="CM19" s="425"/>
      <c r="CN19" s="425"/>
      <c r="CO19" s="425"/>
      <c r="CP19" s="425"/>
      <c r="CQ19" s="425"/>
      <c r="CR19" s="425"/>
      <c r="CS19" s="425"/>
      <c r="CT19" s="425"/>
      <c r="CU19" s="425"/>
      <c r="CV19" s="425"/>
      <c r="CW19" s="425"/>
      <c r="CX19" s="425"/>
      <c r="CY19" s="425"/>
      <c r="CZ19" s="425"/>
      <c r="DA19" s="425"/>
      <c r="DB19" s="425"/>
      <c r="DC19" s="425"/>
      <c r="DD19" s="425"/>
      <c r="DE19" s="425"/>
      <c r="DF19" s="425"/>
      <c r="DG19" s="425"/>
      <c r="DH19" s="425"/>
      <c r="DI19" s="425"/>
      <c r="DJ19" s="425"/>
      <c r="DK19" s="425"/>
      <c r="DL19" s="425"/>
      <c r="DM19" s="425"/>
      <c r="DN19" s="425"/>
      <c r="DO19" s="425"/>
      <c r="DP19" s="425"/>
      <c r="DQ19" s="425"/>
      <c r="DR19" s="425"/>
      <c r="DS19" s="425"/>
      <c r="DT19" s="425"/>
      <c r="DU19" s="425"/>
      <c r="DV19" s="425"/>
      <c r="DW19" s="425"/>
      <c r="DX19" s="425"/>
      <c r="DY19" s="425"/>
      <c r="DZ19" s="425"/>
      <c r="EA19" s="425"/>
      <c r="EB19" s="425"/>
      <c r="EC19" s="425"/>
      <c r="ED19" s="425"/>
      <c r="EE19" s="425"/>
      <c r="EF19" s="425"/>
      <c r="EG19" s="425"/>
      <c r="EH19" s="425"/>
      <c r="EI19" s="425"/>
      <c r="EJ19" s="425"/>
      <c r="EK19" s="425"/>
      <c r="EL19" s="425"/>
      <c r="EM19" s="425"/>
      <c r="EN19" s="425"/>
      <c r="EO19" s="425"/>
      <c r="EP19" s="425"/>
      <c r="EQ19" s="425"/>
      <c r="ER19" s="425"/>
      <c r="ES19" s="425"/>
      <c r="ET19" s="425"/>
      <c r="EU19" s="425"/>
      <c r="EV19" s="425"/>
      <c r="EW19" s="425"/>
      <c r="EX19" s="425"/>
      <c r="EY19" s="425"/>
      <c r="EZ19" s="425"/>
      <c r="FA19" s="425"/>
      <c r="FB19" s="425"/>
      <c r="FC19" s="425"/>
      <c r="FD19" s="425"/>
      <c r="FE19" s="425"/>
      <c r="FF19" s="425"/>
      <c r="FG19" s="425"/>
      <c r="FH19" s="425"/>
      <c r="FI19" s="425"/>
      <c r="FJ19" s="425"/>
      <c r="FK19" s="425"/>
      <c r="FL19" s="425"/>
      <c r="FM19" s="425"/>
      <c r="FN19" s="425"/>
      <c r="FO19" s="425"/>
      <c r="FP19" s="425"/>
      <c r="FQ19" s="425"/>
      <c r="FR19" s="425"/>
      <c r="FS19" s="425"/>
      <c r="FT19" s="425"/>
      <c r="FU19" s="425"/>
      <c r="FV19" s="425"/>
      <c r="FW19" s="425"/>
      <c r="FX19" s="425"/>
      <c r="FY19" s="425"/>
      <c r="FZ19" s="425"/>
      <c r="GA19" s="425"/>
      <c r="GB19" s="425"/>
      <c r="GC19" s="425"/>
      <c r="GD19" s="425"/>
      <c r="GE19" s="425"/>
      <c r="GF19" s="425"/>
      <c r="GG19" s="425"/>
      <c r="GH19" s="425"/>
      <c r="GI19" s="425"/>
      <c r="GJ19" s="425"/>
      <c r="GK19" s="425"/>
      <c r="GL19" s="425"/>
      <c r="GM19" s="425"/>
      <c r="GN19" s="425"/>
      <c r="GO19" s="425"/>
      <c r="GP19" s="425"/>
      <c r="GQ19" s="425"/>
      <c r="GR19" s="425"/>
      <c r="GS19" s="425"/>
      <c r="GT19" s="425"/>
      <c r="GU19" s="425"/>
      <c r="GV19" s="425"/>
      <c r="GW19" s="425"/>
      <c r="GX19" s="425"/>
      <c r="GY19" s="425"/>
      <c r="GZ19" s="425"/>
      <c r="HA19" s="425"/>
      <c r="HB19" s="425"/>
      <c r="HC19" s="425"/>
      <c r="HD19" s="425"/>
      <c r="HE19" s="425"/>
      <c r="HF19" s="425"/>
      <c r="HG19" s="425"/>
      <c r="HH19" s="425"/>
      <c r="HI19" s="425"/>
      <c r="HJ19" s="425"/>
      <c r="HK19" s="425"/>
      <c r="HL19" s="425"/>
      <c r="HM19" s="425"/>
      <c r="HN19" s="425"/>
      <c r="HO19" s="425"/>
      <c r="HP19" s="425"/>
      <c r="HQ19" s="425"/>
      <c r="HR19" s="425"/>
      <c r="HS19" s="425"/>
      <c r="HT19" s="425"/>
      <c r="HU19" s="425"/>
      <c r="HV19" s="425"/>
      <c r="HW19" s="425"/>
      <c r="HX19" s="425"/>
      <c r="HY19" s="425"/>
      <c r="HZ19" s="425"/>
      <c r="IA19" s="425"/>
      <c r="IB19" s="425"/>
      <c r="IC19" s="425"/>
      <c r="ID19" s="425"/>
      <c r="IE19" s="425"/>
      <c r="IF19" s="425"/>
      <c r="IG19" s="425"/>
      <c r="IH19" s="425"/>
      <c r="II19" s="425"/>
      <c r="IJ19" s="425"/>
      <c r="IK19" s="425"/>
      <c r="IL19" s="425"/>
      <c r="IM19" s="425"/>
      <c r="IN19" s="425"/>
      <c r="IO19" s="425"/>
      <c r="IP19" s="425"/>
      <c r="IQ19" s="425"/>
      <c r="IR19" s="425"/>
      <c r="IS19" s="425"/>
      <c r="IT19" s="425"/>
      <c r="IU19" s="425"/>
      <c r="IV19" s="425"/>
      <c r="IW19" s="425"/>
      <c r="IX19" s="425"/>
      <c r="IY19" s="425"/>
      <c r="IZ19" s="428"/>
    </row>
    <row r="20" spans="1:260">
      <c r="A20" s="778" t="s">
        <v>210</v>
      </c>
      <c r="B20" s="779"/>
      <c r="C20" s="472">
        <v>2</v>
      </c>
      <c r="D20" s="472">
        <v>0</v>
      </c>
      <c r="E20" s="472"/>
      <c r="F20" s="473">
        <f>F11</f>
        <v>1100000</v>
      </c>
      <c r="G20" s="473">
        <f>G11</f>
        <v>3850000</v>
      </c>
      <c r="H20" s="474">
        <f>H12</f>
        <v>92000</v>
      </c>
      <c r="I20" s="473">
        <f t="shared" ref="I20:O20" si="4">I11</f>
        <v>1116400</v>
      </c>
      <c r="J20" s="473">
        <f t="shared" si="4"/>
        <v>5587582</v>
      </c>
      <c r="K20" s="473">
        <f t="shared" si="4"/>
        <v>290264</v>
      </c>
      <c r="L20" s="473">
        <f t="shared" si="4"/>
        <v>160000</v>
      </c>
      <c r="M20" s="473">
        <f t="shared" si="4"/>
        <v>160000</v>
      </c>
      <c r="N20" s="473">
        <f t="shared" si="4"/>
        <v>12448246</v>
      </c>
      <c r="O20" s="473">
        <f t="shared" si="4"/>
        <v>0</v>
      </c>
      <c r="P20" s="473">
        <f>P11</f>
        <v>12448246</v>
      </c>
      <c r="Q20" s="472"/>
      <c r="R20" s="472"/>
      <c r="S20" s="475"/>
      <c r="T20" s="444">
        <f>'[1]TT TỐT NGHIỆP (2)'!Q53-'195BSS'!P20</f>
        <v>69042754</v>
      </c>
      <c r="AA20" s="425"/>
      <c r="AB20" s="425"/>
      <c r="AC20" s="425"/>
      <c r="AD20" s="425"/>
      <c r="AE20" s="425"/>
      <c r="AF20" s="425"/>
      <c r="AG20" s="425"/>
      <c r="AH20" s="425"/>
      <c r="AI20" s="425"/>
      <c r="AJ20" s="425"/>
      <c r="AK20" s="425"/>
      <c r="AL20" s="425"/>
      <c r="AM20" s="425"/>
      <c r="AN20" s="425"/>
      <c r="AO20" s="425"/>
      <c r="AP20" s="425"/>
      <c r="AQ20" s="425"/>
      <c r="AR20" s="425"/>
      <c r="AS20" s="425"/>
      <c r="AT20" s="425"/>
      <c r="AU20" s="425"/>
      <c r="AV20" s="425"/>
      <c r="AW20" s="425"/>
      <c r="AX20" s="425"/>
      <c r="AY20" s="425"/>
      <c r="AZ20" s="425"/>
      <c r="BA20" s="425"/>
      <c r="BB20" s="425"/>
      <c r="BC20" s="425"/>
      <c r="BD20" s="425"/>
      <c r="BE20" s="425"/>
      <c r="BF20" s="425"/>
      <c r="BG20" s="425"/>
      <c r="BH20" s="425"/>
      <c r="BI20" s="425"/>
      <c r="BJ20" s="425"/>
      <c r="BK20" s="425"/>
      <c r="BL20" s="425"/>
      <c r="BM20" s="425"/>
      <c r="BN20" s="425"/>
      <c r="BO20" s="425"/>
      <c r="BP20" s="425"/>
      <c r="BQ20" s="425"/>
      <c r="BR20" s="425"/>
      <c r="BS20" s="425"/>
      <c r="BT20" s="425"/>
      <c r="BU20" s="425"/>
      <c r="BV20" s="425"/>
      <c r="BW20" s="425"/>
      <c r="BX20" s="425"/>
      <c r="BY20" s="425"/>
      <c r="BZ20" s="425"/>
      <c r="CA20" s="425"/>
      <c r="CB20" s="425"/>
      <c r="CC20" s="425"/>
      <c r="CD20" s="425"/>
      <c r="CE20" s="425"/>
      <c r="CF20" s="425"/>
      <c r="CG20" s="425"/>
      <c r="CH20" s="425"/>
      <c r="CI20" s="425"/>
      <c r="CJ20" s="425"/>
      <c r="CK20" s="425"/>
      <c r="CL20" s="425"/>
      <c r="CM20" s="425"/>
      <c r="CN20" s="425"/>
      <c r="CO20" s="425"/>
      <c r="CP20" s="425"/>
      <c r="CQ20" s="425"/>
      <c r="CR20" s="425"/>
      <c r="CS20" s="425"/>
      <c r="CT20" s="425"/>
      <c r="CU20" s="425"/>
      <c r="CV20" s="425"/>
      <c r="CW20" s="425"/>
      <c r="CX20" s="425"/>
      <c r="CY20" s="425"/>
      <c r="CZ20" s="425"/>
      <c r="DA20" s="425"/>
      <c r="DB20" s="425"/>
      <c r="DC20" s="425"/>
      <c r="DD20" s="425"/>
      <c r="DE20" s="425"/>
      <c r="DF20" s="425"/>
      <c r="DG20" s="425"/>
      <c r="DH20" s="425"/>
      <c r="DI20" s="425"/>
      <c r="DJ20" s="425"/>
      <c r="DK20" s="425"/>
      <c r="DL20" s="425"/>
      <c r="DM20" s="425"/>
      <c r="DN20" s="425"/>
      <c r="DO20" s="425"/>
      <c r="DP20" s="425"/>
      <c r="DQ20" s="425"/>
      <c r="DR20" s="425"/>
      <c r="DS20" s="425"/>
      <c r="DT20" s="425"/>
      <c r="DU20" s="425"/>
      <c r="DV20" s="425"/>
      <c r="DW20" s="425"/>
      <c r="DX20" s="425"/>
      <c r="DY20" s="425"/>
      <c r="DZ20" s="425"/>
      <c r="EA20" s="425"/>
      <c r="EB20" s="425"/>
      <c r="EC20" s="425"/>
      <c r="ED20" s="425"/>
      <c r="EE20" s="425"/>
      <c r="EF20" s="425"/>
      <c r="EG20" s="425"/>
      <c r="EH20" s="425"/>
      <c r="EI20" s="425"/>
      <c r="EJ20" s="425"/>
      <c r="EK20" s="425"/>
      <c r="EL20" s="425"/>
      <c r="EM20" s="425"/>
      <c r="EN20" s="425"/>
      <c r="EO20" s="425"/>
      <c r="EP20" s="425"/>
      <c r="EQ20" s="425"/>
      <c r="ER20" s="425"/>
      <c r="ES20" s="425"/>
      <c r="ET20" s="425"/>
      <c r="EU20" s="425"/>
      <c r="EV20" s="425"/>
      <c r="EW20" s="425"/>
      <c r="EX20" s="425"/>
      <c r="EY20" s="425"/>
      <c r="EZ20" s="425"/>
      <c r="FA20" s="425"/>
      <c r="FB20" s="425"/>
      <c r="FC20" s="425"/>
      <c r="FD20" s="425"/>
      <c r="FE20" s="425"/>
      <c r="FF20" s="425"/>
      <c r="FG20" s="425"/>
      <c r="FH20" s="425"/>
      <c r="FI20" s="425"/>
      <c r="FJ20" s="425"/>
      <c r="FK20" s="425"/>
      <c r="FL20" s="425"/>
      <c r="FM20" s="425"/>
      <c r="FN20" s="425"/>
      <c r="FO20" s="425"/>
      <c r="FP20" s="425"/>
      <c r="FQ20" s="425"/>
      <c r="FR20" s="425"/>
      <c r="FS20" s="425"/>
      <c r="FT20" s="425"/>
      <c r="FU20" s="425"/>
      <c r="FV20" s="425"/>
      <c r="FW20" s="425"/>
      <c r="FX20" s="425"/>
      <c r="FY20" s="425"/>
      <c r="FZ20" s="425"/>
      <c r="GA20" s="425"/>
      <c r="GB20" s="425"/>
      <c r="GC20" s="425"/>
      <c r="GD20" s="425"/>
      <c r="GE20" s="425"/>
      <c r="GF20" s="425"/>
      <c r="GG20" s="425"/>
      <c r="GH20" s="425"/>
      <c r="GI20" s="425"/>
      <c r="GJ20" s="425"/>
      <c r="GK20" s="425"/>
      <c r="GL20" s="425"/>
      <c r="GM20" s="425"/>
      <c r="GN20" s="425"/>
      <c r="GO20" s="425"/>
      <c r="GP20" s="425"/>
      <c r="GQ20" s="425"/>
      <c r="GR20" s="425"/>
      <c r="GS20" s="425"/>
      <c r="GT20" s="425"/>
      <c r="GU20" s="425"/>
      <c r="GV20" s="425"/>
      <c r="GW20" s="425"/>
      <c r="GX20" s="425"/>
      <c r="GY20" s="425"/>
      <c r="GZ20" s="425"/>
      <c r="HA20" s="425"/>
      <c r="HB20" s="425"/>
      <c r="HC20" s="425"/>
      <c r="HD20" s="425"/>
      <c r="HE20" s="425"/>
      <c r="HF20" s="425"/>
      <c r="HG20" s="425"/>
      <c r="HH20" s="425"/>
      <c r="HI20" s="425"/>
      <c r="HJ20" s="425"/>
      <c r="HK20" s="425"/>
      <c r="HL20" s="425"/>
      <c r="HM20" s="425"/>
      <c r="HN20" s="425"/>
      <c r="HO20" s="425"/>
      <c r="HP20" s="425"/>
      <c r="HQ20" s="425"/>
      <c r="HR20" s="425"/>
      <c r="HS20" s="425"/>
      <c r="HT20" s="425"/>
      <c r="HU20" s="425"/>
      <c r="HV20" s="425"/>
      <c r="HW20" s="425"/>
      <c r="HX20" s="425"/>
      <c r="HY20" s="425"/>
      <c r="HZ20" s="425"/>
      <c r="IA20" s="425"/>
      <c r="IB20" s="425"/>
      <c r="IC20" s="425"/>
      <c r="ID20" s="425"/>
      <c r="IE20" s="425"/>
      <c r="IF20" s="425"/>
      <c r="IG20" s="425"/>
      <c r="IH20" s="425"/>
      <c r="II20" s="425"/>
      <c r="IJ20" s="425"/>
      <c r="IK20" s="425"/>
      <c r="IL20" s="425"/>
      <c r="IM20" s="425"/>
      <c r="IN20" s="425"/>
      <c r="IO20" s="425"/>
      <c r="IP20" s="425"/>
      <c r="IQ20" s="425"/>
      <c r="IR20" s="425"/>
      <c r="IS20" s="425"/>
      <c r="IT20" s="425"/>
      <c r="IU20" s="425"/>
      <c r="IV20" s="425"/>
      <c r="IW20" s="425"/>
      <c r="IX20" s="425"/>
      <c r="IY20" s="425"/>
      <c r="IZ20" s="428"/>
    </row>
    <row r="21" spans="1:260" ht="25.5" customHeight="1">
      <c r="A21" s="476"/>
      <c r="B21" s="476" t="str">
        <f>"(Bằng chữ: " &amp;[2]!Tienchu(P20) &amp;" đồng chẵn.)"</f>
        <v>(Bằng chữ: Ba mươi sáu nghìn,   bảy mươi tám - phẩy bảy chín năm đồng chẵn.)</v>
      </c>
      <c r="C21" s="477"/>
      <c r="D21" s="477"/>
      <c r="E21" s="477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76"/>
      <c r="R21" s="430"/>
      <c r="S21" s="432"/>
      <c r="T21" s="432"/>
      <c r="U21" s="444">
        <f>'[1]TT TỐT NGHIỆP (2)'!Q54-'195BSS'!Q21</f>
        <v>0</v>
      </c>
      <c r="Z21" s="425"/>
      <c r="AA21" s="425"/>
      <c r="AB21" s="425"/>
      <c r="AC21" s="425"/>
      <c r="AD21" s="425"/>
      <c r="AE21" s="425"/>
      <c r="AF21" s="425"/>
      <c r="AG21" s="425"/>
      <c r="AH21" s="425"/>
      <c r="AI21" s="425"/>
      <c r="AJ21" s="425"/>
      <c r="AK21" s="425"/>
      <c r="AL21" s="425"/>
      <c r="AM21" s="425"/>
      <c r="AN21" s="425"/>
      <c r="AO21" s="425"/>
      <c r="AP21" s="425"/>
      <c r="AQ21" s="425"/>
      <c r="AR21" s="425"/>
      <c r="AS21" s="425"/>
      <c r="AT21" s="425"/>
      <c r="AU21" s="425"/>
      <c r="AV21" s="425"/>
      <c r="AW21" s="425"/>
      <c r="AX21" s="425"/>
      <c r="AY21" s="425"/>
      <c r="AZ21" s="425"/>
      <c r="BA21" s="425"/>
      <c r="BB21" s="425"/>
      <c r="BC21" s="425"/>
      <c r="BD21" s="425"/>
      <c r="BE21" s="425"/>
      <c r="BF21" s="425"/>
      <c r="BG21" s="425"/>
      <c r="BH21" s="425"/>
      <c r="BI21" s="425"/>
      <c r="BJ21" s="425"/>
      <c r="BK21" s="425"/>
      <c r="BL21" s="425"/>
      <c r="BM21" s="425"/>
      <c r="BN21" s="425"/>
      <c r="BO21" s="425"/>
      <c r="BP21" s="425"/>
      <c r="BQ21" s="425"/>
      <c r="BR21" s="425"/>
      <c r="BS21" s="425"/>
      <c r="BT21" s="425"/>
      <c r="BU21" s="425"/>
      <c r="BV21" s="425"/>
      <c r="BW21" s="425"/>
      <c r="BX21" s="425"/>
      <c r="BY21" s="425"/>
      <c r="BZ21" s="425"/>
      <c r="CA21" s="425"/>
      <c r="CB21" s="425"/>
      <c r="CC21" s="425"/>
      <c r="CD21" s="425"/>
      <c r="CE21" s="425"/>
      <c r="CF21" s="425"/>
      <c r="CG21" s="425"/>
      <c r="CH21" s="425"/>
      <c r="CI21" s="425"/>
      <c r="CJ21" s="425"/>
      <c r="CK21" s="425"/>
      <c r="CL21" s="425"/>
      <c r="CM21" s="425"/>
      <c r="CN21" s="425"/>
      <c r="CO21" s="425"/>
      <c r="CP21" s="425"/>
      <c r="CQ21" s="425"/>
      <c r="CR21" s="425"/>
      <c r="CS21" s="425"/>
      <c r="CT21" s="425"/>
      <c r="CU21" s="425"/>
      <c r="CV21" s="425"/>
      <c r="CW21" s="425"/>
      <c r="CX21" s="425"/>
      <c r="CY21" s="425"/>
      <c r="CZ21" s="425"/>
      <c r="DA21" s="425"/>
      <c r="DB21" s="425"/>
      <c r="DC21" s="425"/>
      <c r="DD21" s="425"/>
      <c r="DE21" s="425"/>
      <c r="DF21" s="425"/>
      <c r="DG21" s="425"/>
      <c r="DH21" s="425"/>
      <c r="DI21" s="425"/>
      <c r="DJ21" s="425"/>
      <c r="DK21" s="425"/>
      <c r="DL21" s="425"/>
      <c r="DM21" s="425"/>
      <c r="DN21" s="425"/>
      <c r="DO21" s="425"/>
      <c r="DP21" s="425"/>
      <c r="DQ21" s="425"/>
      <c r="DR21" s="425"/>
      <c r="DS21" s="425"/>
      <c r="DT21" s="425"/>
      <c r="DU21" s="425"/>
      <c r="DV21" s="425"/>
      <c r="DW21" s="425"/>
      <c r="DX21" s="425"/>
      <c r="DY21" s="425"/>
      <c r="DZ21" s="425"/>
      <c r="EA21" s="425"/>
      <c r="EB21" s="425"/>
      <c r="EC21" s="425"/>
      <c r="ED21" s="425"/>
      <c r="EE21" s="425"/>
      <c r="EF21" s="425"/>
      <c r="EG21" s="425"/>
      <c r="EH21" s="425"/>
      <c r="EI21" s="425"/>
      <c r="EJ21" s="425"/>
      <c r="EK21" s="425"/>
      <c r="EL21" s="425"/>
      <c r="EM21" s="425"/>
      <c r="EN21" s="425"/>
      <c r="EO21" s="425"/>
      <c r="EP21" s="425"/>
      <c r="EQ21" s="425"/>
      <c r="ER21" s="425"/>
      <c r="ES21" s="425"/>
      <c r="ET21" s="425"/>
      <c r="EU21" s="425"/>
      <c r="EV21" s="425"/>
      <c r="EW21" s="425"/>
      <c r="EX21" s="425"/>
      <c r="EY21" s="425"/>
      <c r="EZ21" s="425"/>
      <c r="FA21" s="425"/>
      <c r="FB21" s="425"/>
      <c r="FC21" s="425"/>
      <c r="FD21" s="425"/>
      <c r="FE21" s="425"/>
      <c r="FF21" s="425"/>
      <c r="FG21" s="425"/>
      <c r="FH21" s="425"/>
      <c r="FI21" s="425"/>
      <c r="FJ21" s="425"/>
      <c r="FK21" s="425"/>
      <c r="FL21" s="425"/>
      <c r="FM21" s="425"/>
      <c r="FN21" s="425"/>
      <c r="FO21" s="425"/>
      <c r="FP21" s="425"/>
      <c r="FQ21" s="425"/>
      <c r="FR21" s="425"/>
      <c r="FS21" s="425"/>
      <c r="FT21" s="425"/>
      <c r="FU21" s="425"/>
      <c r="FV21" s="425"/>
      <c r="FW21" s="425"/>
      <c r="FX21" s="425"/>
      <c r="FY21" s="425"/>
      <c r="FZ21" s="425"/>
      <c r="GA21" s="425"/>
      <c r="GB21" s="425"/>
      <c r="GC21" s="425"/>
      <c r="GD21" s="425"/>
      <c r="GE21" s="425"/>
      <c r="GF21" s="425"/>
      <c r="GG21" s="425"/>
      <c r="GH21" s="425"/>
      <c r="GI21" s="425"/>
      <c r="GJ21" s="425"/>
      <c r="GK21" s="425"/>
      <c r="GL21" s="425"/>
      <c r="GM21" s="425"/>
      <c r="GN21" s="425"/>
      <c r="GO21" s="425"/>
      <c r="GP21" s="425"/>
      <c r="GQ21" s="425"/>
      <c r="GR21" s="425"/>
      <c r="GS21" s="425"/>
      <c r="GT21" s="425"/>
      <c r="GU21" s="425"/>
      <c r="GV21" s="425"/>
      <c r="GW21" s="425"/>
      <c r="GX21" s="425"/>
      <c r="GY21" s="425"/>
      <c r="GZ21" s="425"/>
      <c r="HA21" s="425"/>
      <c r="HB21" s="425"/>
      <c r="HC21" s="425"/>
      <c r="HD21" s="425"/>
      <c r="HE21" s="425"/>
      <c r="HF21" s="425"/>
      <c r="HG21" s="425"/>
      <c r="HH21" s="425"/>
      <c r="HI21" s="425"/>
      <c r="HJ21" s="425"/>
      <c r="HK21" s="425"/>
      <c r="HL21" s="425"/>
      <c r="HM21" s="425"/>
      <c r="HN21" s="425"/>
      <c r="HO21" s="425"/>
      <c r="HP21" s="425"/>
      <c r="HQ21" s="425"/>
      <c r="HR21" s="425"/>
      <c r="HS21" s="425"/>
      <c r="HT21" s="425"/>
      <c r="HU21" s="425"/>
      <c r="HV21" s="425"/>
      <c r="HW21" s="425"/>
      <c r="HX21" s="425"/>
      <c r="HY21" s="425"/>
      <c r="HZ21" s="425"/>
      <c r="IA21" s="425"/>
      <c r="IB21" s="425"/>
      <c r="IC21" s="425"/>
      <c r="ID21" s="425"/>
      <c r="IE21" s="425"/>
      <c r="IF21" s="425"/>
      <c r="IG21" s="425"/>
      <c r="IH21" s="425"/>
      <c r="II21" s="425"/>
      <c r="IJ21" s="425"/>
      <c r="IK21" s="425"/>
      <c r="IL21" s="425"/>
      <c r="IM21" s="425"/>
      <c r="IN21" s="425"/>
      <c r="IO21" s="425"/>
      <c r="IP21" s="425"/>
      <c r="IQ21" s="425"/>
      <c r="IR21" s="425"/>
      <c r="IS21" s="425"/>
      <c r="IT21" s="425"/>
      <c r="IU21" s="425"/>
      <c r="IV21" s="425"/>
      <c r="IW21" s="425"/>
      <c r="IX21" s="425"/>
      <c r="IY21" s="428"/>
      <c r="IZ21" s="428"/>
    </row>
    <row r="22" spans="1:260" ht="19.5" customHeight="1">
      <c r="F22" s="479"/>
      <c r="G22" s="479"/>
      <c r="H22" s="479"/>
      <c r="I22" s="479"/>
      <c r="J22" s="479"/>
      <c r="K22" s="479"/>
      <c r="L22" s="479"/>
      <c r="M22" s="780" t="s">
        <v>851</v>
      </c>
      <c r="N22" s="780"/>
      <c r="O22" s="780"/>
      <c r="P22" s="780"/>
      <c r="Q22" s="780"/>
      <c r="R22" s="780"/>
      <c r="S22" s="780"/>
      <c r="T22" s="430"/>
      <c r="U22" s="444">
        <f>'[1]TT TỐT NGHIỆP (2)'!Q55-'195BSS'!Q22</f>
        <v>0</v>
      </c>
      <c r="AB22" s="425"/>
      <c r="AC22" s="425"/>
      <c r="AD22" s="425"/>
      <c r="AE22" s="425"/>
      <c r="AF22" s="425"/>
      <c r="AG22" s="425"/>
      <c r="AH22" s="425"/>
      <c r="AI22" s="425"/>
      <c r="AJ22" s="425"/>
      <c r="AK22" s="425"/>
      <c r="AL22" s="425"/>
      <c r="AM22" s="425"/>
      <c r="AN22" s="425"/>
      <c r="AO22" s="425"/>
      <c r="AP22" s="425"/>
      <c r="AQ22" s="425"/>
      <c r="AR22" s="425"/>
      <c r="AS22" s="425"/>
      <c r="AT22" s="425"/>
      <c r="AU22" s="425"/>
      <c r="AV22" s="425"/>
      <c r="AW22" s="425"/>
      <c r="AX22" s="425"/>
      <c r="AY22" s="425"/>
      <c r="AZ22" s="425"/>
      <c r="BA22" s="425"/>
      <c r="BB22" s="425"/>
      <c r="BC22" s="425"/>
      <c r="BD22" s="425"/>
      <c r="BE22" s="425"/>
      <c r="BF22" s="425"/>
      <c r="BG22" s="425"/>
      <c r="BH22" s="425"/>
      <c r="BI22" s="425"/>
      <c r="BJ22" s="425"/>
      <c r="BK22" s="425"/>
      <c r="BL22" s="425"/>
      <c r="BM22" s="425"/>
      <c r="BN22" s="425"/>
      <c r="BO22" s="425"/>
      <c r="BP22" s="425"/>
      <c r="BQ22" s="425"/>
      <c r="BR22" s="425"/>
      <c r="BS22" s="425"/>
      <c r="BT22" s="425"/>
      <c r="BU22" s="425"/>
      <c r="BV22" s="425"/>
      <c r="BW22" s="425"/>
      <c r="BX22" s="425"/>
      <c r="BY22" s="425"/>
      <c r="BZ22" s="425"/>
      <c r="CA22" s="425"/>
      <c r="CB22" s="425"/>
      <c r="CC22" s="425"/>
      <c r="CD22" s="425"/>
      <c r="CE22" s="425"/>
      <c r="CF22" s="425"/>
      <c r="CG22" s="425"/>
      <c r="CH22" s="425"/>
      <c r="CI22" s="425"/>
      <c r="CJ22" s="425"/>
      <c r="CK22" s="425"/>
      <c r="CL22" s="425"/>
      <c r="CM22" s="425"/>
      <c r="CN22" s="425"/>
      <c r="CO22" s="425"/>
      <c r="CP22" s="425"/>
      <c r="CQ22" s="425"/>
      <c r="CR22" s="425"/>
      <c r="CS22" s="425"/>
      <c r="CT22" s="425"/>
      <c r="CU22" s="425"/>
      <c r="CV22" s="425"/>
      <c r="CW22" s="425"/>
      <c r="CX22" s="425"/>
      <c r="CY22" s="425"/>
      <c r="CZ22" s="425"/>
      <c r="DA22" s="425"/>
      <c r="DB22" s="425"/>
      <c r="DC22" s="425"/>
      <c r="DD22" s="425"/>
      <c r="DE22" s="425"/>
      <c r="DF22" s="425"/>
      <c r="DG22" s="425"/>
      <c r="DH22" s="425"/>
      <c r="DI22" s="425"/>
      <c r="DJ22" s="425"/>
      <c r="DK22" s="425"/>
      <c r="DL22" s="425"/>
      <c r="DM22" s="425"/>
      <c r="DN22" s="425"/>
      <c r="DO22" s="425"/>
      <c r="DP22" s="425"/>
      <c r="DQ22" s="425"/>
      <c r="DR22" s="425"/>
      <c r="DS22" s="425"/>
      <c r="DT22" s="425"/>
      <c r="DU22" s="425"/>
      <c r="DV22" s="425"/>
      <c r="DW22" s="425"/>
      <c r="DX22" s="425"/>
      <c r="DY22" s="425"/>
      <c r="DZ22" s="425"/>
      <c r="EA22" s="425"/>
      <c r="EB22" s="425"/>
      <c r="EC22" s="425"/>
      <c r="ED22" s="425"/>
      <c r="EE22" s="425"/>
      <c r="EF22" s="425"/>
      <c r="EG22" s="425"/>
      <c r="EH22" s="425"/>
      <c r="EI22" s="425"/>
      <c r="EJ22" s="425"/>
      <c r="EK22" s="425"/>
      <c r="EL22" s="425"/>
      <c r="EM22" s="425"/>
      <c r="EN22" s="425"/>
      <c r="EO22" s="425"/>
      <c r="EP22" s="425"/>
      <c r="EQ22" s="425"/>
      <c r="ER22" s="425"/>
      <c r="ES22" s="425"/>
      <c r="ET22" s="425"/>
      <c r="EU22" s="425"/>
      <c r="EV22" s="425"/>
      <c r="EW22" s="425"/>
      <c r="EX22" s="425"/>
      <c r="EY22" s="425"/>
      <c r="EZ22" s="425"/>
      <c r="FA22" s="425"/>
      <c r="FB22" s="425"/>
      <c r="FC22" s="425"/>
      <c r="FD22" s="425"/>
      <c r="FE22" s="425"/>
      <c r="FF22" s="425"/>
      <c r="FG22" s="425"/>
      <c r="FH22" s="425"/>
      <c r="FI22" s="425"/>
      <c r="FJ22" s="425"/>
      <c r="FK22" s="425"/>
      <c r="FL22" s="425"/>
      <c r="FM22" s="425"/>
      <c r="FN22" s="425"/>
      <c r="FO22" s="425"/>
      <c r="FP22" s="425"/>
      <c r="FQ22" s="425"/>
      <c r="FR22" s="425"/>
      <c r="FS22" s="425"/>
      <c r="FT22" s="425"/>
      <c r="FU22" s="425"/>
      <c r="FV22" s="425"/>
      <c r="FW22" s="425"/>
      <c r="FX22" s="425"/>
      <c r="FY22" s="425"/>
      <c r="FZ22" s="425"/>
      <c r="GA22" s="425"/>
      <c r="GB22" s="425"/>
      <c r="GC22" s="425"/>
      <c r="GD22" s="425"/>
      <c r="GE22" s="425"/>
      <c r="GF22" s="425"/>
      <c r="GG22" s="425"/>
      <c r="GH22" s="425"/>
      <c r="GI22" s="425"/>
      <c r="GJ22" s="425"/>
      <c r="GK22" s="425"/>
      <c r="GL22" s="425"/>
      <c r="GM22" s="425"/>
      <c r="GN22" s="425"/>
      <c r="GO22" s="425"/>
      <c r="GP22" s="425"/>
      <c r="GQ22" s="425"/>
      <c r="GR22" s="425"/>
      <c r="GS22" s="425"/>
      <c r="GT22" s="425"/>
      <c r="GU22" s="425"/>
      <c r="GV22" s="425"/>
      <c r="GW22" s="425"/>
      <c r="GX22" s="425"/>
      <c r="GY22" s="425"/>
      <c r="GZ22" s="425"/>
      <c r="HA22" s="425"/>
      <c r="HB22" s="425"/>
      <c r="HC22" s="425"/>
      <c r="HD22" s="425"/>
      <c r="HE22" s="425"/>
      <c r="HF22" s="425"/>
      <c r="HG22" s="425"/>
      <c r="HH22" s="425"/>
      <c r="HI22" s="425"/>
      <c r="HJ22" s="425"/>
      <c r="HK22" s="425"/>
      <c r="HL22" s="425"/>
      <c r="HM22" s="425"/>
      <c r="HN22" s="425"/>
      <c r="HO22" s="425"/>
      <c r="HP22" s="425"/>
      <c r="HQ22" s="425"/>
      <c r="HR22" s="425"/>
      <c r="HS22" s="425"/>
      <c r="HT22" s="425"/>
      <c r="HU22" s="425"/>
      <c r="HV22" s="425"/>
      <c r="HW22" s="425"/>
      <c r="HX22" s="425"/>
      <c r="HY22" s="425"/>
      <c r="HZ22" s="425"/>
      <c r="IA22" s="425"/>
      <c r="IB22" s="425"/>
      <c r="IC22" s="425"/>
      <c r="ID22" s="425"/>
      <c r="IE22" s="425"/>
      <c r="IF22" s="425"/>
      <c r="IG22" s="425"/>
      <c r="IH22" s="425"/>
      <c r="II22" s="425"/>
      <c r="IJ22" s="425"/>
      <c r="IK22" s="425"/>
      <c r="IL22" s="425"/>
      <c r="IM22" s="425"/>
      <c r="IN22" s="425"/>
      <c r="IO22" s="425"/>
      <c r="IP22" s="425"/>
      <c r="IQ22" s="425"/>
      <c r="IR22" s="425"/>
      <c r="IS22" s="425"/>
      <c r="IT22" s="425"/>
      <c r="IU22" s="425"/>
      <c r="IV22" s="425"/>
      <c r="IW22" s="425"/>
      <c r="IX22" s="425"/>
      <c r="IY22" s="425"/>
      <c r="IZ22" s="425"/>
    </row>
    <row r="23" spans="1:260" ht="19.5" customHeight="1">
      <c r="B23" s="781" t="s">
        <v>204</v>
      </c>
      <c r="C23" s="781"/>
      <c r="D23" s="781"/>
      <c r="E23" s="781"/>
      <c r="F23" s="312"/>
      <c r="G23" s="782"/>
      <c r="H23" s="783"/>
      <c r="I23" s="313"/>
      <c r="J23" s="313"/>
      <c r="K23" s="313"/>
      <c r="L23" s="312"/>
      <c r="M23" s="765" t="s">
        <v>151</v>
      </c>
      <c r="N23" s="765"/>
      <c r="O23" s="765"/>
      <c r="P23" s="765"/>
      <c r="Q23" s="765"/>
      <c r="R23" s="765"/>
      <c r="S23" s="765"/>
      <c r="T23" s="430"/>
      <c r="U23" s="444">
        <f>'[1]TT TỐT NGHIỆP (2)'!Q56-'195BSS'!Q23</f>
        <v>0</v>
      </c>
      <c r="AB23" s="425"/>
      <c r="AC23" s="425"/>
      <c r="AD23" s="425"/>
      <c r="AE23" s="425"/>
      <c r="AF23" s="425"/>
      <c r="AG23" s="425"/>
      <c r="AH23" s="425"/>
      <c r="AI23" s="425"/>
      <c r="AJ23" s="425"/>
      <c r="AK23" s="425"/>
      <c r="AL23" s="425"/>
      <c r="AM23" s="425"/>
      <c r="AN23" s="425"/>
      <c r="AO23" s="425"/>
      <c r="AP23" s="425"/>
      <c r="AQ23" s="425"/>
      <c r="AR23" s="425"/>
      <c r="AS23" s="425"/>
      <c r="AT23" s="425"/>
      <c r="AU23" s="425"/>
      <c r="AV23" s="425"/>
      <c r="AW23" s="425"/>
      <c r="AX23" s="425"/>
      <c r="AY23" s="425"/>
      <c r="AZ23" s="425"/>
      <c r="BA23" s="425"/>
      <c r="BB23" s="425"/>
      <c r="BC23" s="425"/>
      <c r="BD23" s="425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5"/>
      <c r="BT23" s="425"/>
      <c r="BU23" s="425"/>
      <c r="BV23" s="425"/>
      <c r="BW23" s="425"/>
      <c r="BX23" s="425"/>
      <c r="BY23" s="425"/>
      <c r="BZ23" s="425"/>
      <c r="CA23" s="425"/>
      <c r="CB23" s="425"/>
      <c r="CC23" s="425"/>
      <c r="CD23" s="425"/>
      <c r="CE23" s="425"/>
      <c r="CF23" s="425"/>
      <c r="CG23" s="425"/>
      <c r="CH23" s="425"/>
      <c r="CI23" s="425"/>
      <c r="CJ23" s="425"/>
      <c r="CK23" s="425"/>
      <c r="CL23" s="425"/>
      <c r="CM23" s="425"/>
      <c r="CN23" s="425"/>
      <c r="CO23" s="425"/>
      <c r="CP23" s="425"/>
      <c r="CQ23" s="425"/>
      <c r="CR23" s="425"/>
      <c r="CS23" s="425"/>
      <c r="CT23" s="425"/>
      <c r="CU23" s="425"/>
      <c r="CV23" s="425"/>
      <c r="CW23" s="425"/>
      <c r="CX23" s="425"/>
      <c r="CY23" s="425"/>
      <c r="CZ23" s="425"/>
      <c r="DA23" s="425"/>
      <c r="DB23" s="425"/>
      <c r="DC23" s="425"/>
      <c r="DD23" s="425"/>
      <c r="DE23" s="425"/>
      <c r="DF23" s="425"/>
      <c r="DG23" s="425"/>
      <c r="DH23" s="425"/>
      <c r="DI23" s="425"/>
      <c r="DJ23" s="425"/>
      <c r="DK23" s="425"/>
      <c r="DL23" s="425"/>
      <c r="DM23" s="425"/>
      <c r="DN23" s="425"/>
      <c r="DO23" s="425"/>
      <c r="DP23" s="425"/>
      <c r="DQ23" s="425"/>
      <c r="DR23" s="425"/>
      <c r="DS23" s="425"/>
      <c r="DT23" s="425"/>
      <c r="DU23" s="425"/>
      <c r="DV23" s="425"/>
      <c r="DW23" s="425"/>
      <c r="DX23" s="425"/>
      <c r="DY23" s="425"/>
      <c r="DZ23" s="425"/>
      <c r="EA23" s="425"/>
      <c r="EB23" s="425"/>
      <c r="EC23" s="425"/>
      <c r="ED23" s="425"/>
      <c r="EE23" s="425"/>
      <c r="EF23" s="425"/>
      <c r="EG23" s="425"/>
      <c r="EH23" s="425"/>
      <c r="EI23" s="425"/>
      <c r="EJ23" s="425"/>
      <c r="EK23" s="425"/>
      <c r="EL23" s="425"/>
      <c r="EM23" s="425"/>
      <c r="EN23" s="425"/>
      <c r="EO23" s="425"/>
      <c r="EP23" s="425"/>
      <c r="EQ23" s="425"/>
      <c r="ER23" s="425"/>
      <c r="ES23" s="425"/>
      <c r="ET23" s="425"/>
      <c r="EU23" s="425"/>
      <c r="EV23" s="425"/>
      <c r="EW23" s="425"/>
      <c r="EX23" s="425"/>
      <c r="EY23" s="425"/>
      <c r="EZ23" s="425"/>
      <c r="FA23" s="425"/>
      <c r="FB23" s="425"/>
      <c r="FC23" s="425"/>
      <c r="FD23" s="425"/>
      <c r="FE23" s="425"/>
      <c r="FF23" s="425"/>
      <c r="FG23" s="425"/>
      <c r="FH23" s="425"/>
      <c r="FI23" s="425"/>
      <c r="FJ23" s="425"/>
      <c r="FK23" s="425"/>
      <c r="FL23" s="425"/>
      <c r="FM23" s="425"/>
      <c r="FN23" s="425"/>
      <c r="FO23" s="425"/>
      <c r="FP23" s="425"/>
      <c r="FQ23" s="425"/>
      <c r="FR23" s="425"/>
      <c r="FS23" s="425"/>
      <c r="FT23" s="425"/>
      <c r="FU23" s="425"/>
      <c r="FV23" s="425"/>
      <c r="FW23" s="425"/>
      <c r="FX23" s="425"/>
      <c r="FY23" s="425"/>
      <c r="FZ23" s="425"/>
      <c r="GA23" s="425"/>
      <c r="GB23" s="425"/>
      <c r="GC23" s="425"/>
      <c r="GD23" s="425"/>
      <c r="GE23" s="425"/>
      <c r="GF23" s="425"/>
      <c r="GG23" s="425"/>
      <c r="GH23" s="425"/>
      <c r="GI23" s="425"/>
      <c r="GJ23" s="425"/>
      <c r="GK23" s="425"/>
      <c r="GL23" s="425"/>
      <c r="GM23" s="425"/>
      <c r="GN23" s="425"/>
      <c r="GO23" s="425"/>
      <c r="GP23" s="425"/>
      <c r="GQ23" s="425"/>
      <c r="GR23" s="425"/>
      <c r="GS23" s="425"/>
      <c r="GT23" s="425"/>
      <c r="GU23" s="425"/>
      <c r="GV23" s="425"/>
      <c r="GW23" s="425"/>
      <c r="GX23" s="425"/>
      <c r="GY23" s="425"/>
      <c r="GZ23" s="425"/>
      <c r="HA23" s="425"/>
      <c r="HB23" s="425"/>
      <c r="HC23" s="425"/>
      <c r="HD23" s="425"/>
      <c r="HE23" s="425"/>
      <c r="HF23" s="425"/>
      <c r="HG23" s="425"/>
      <c r="HH23" s="425"/>
      <c r="HI23" s="425"/>
      <c r="HJ23" s="425"/>
      <c r="HK23" s="425"/>
      <c r="HL23" s="425"/>
      <c r="HM23" s="425"/>
      <c r="HN23" s="425"/>
      <c r="HO23" s="425"/>
      <c r="HP23" s="425"/>
      <c r="HQ23" s="425"/>
      <c r="HR23" s="425"/>
      <c r="HS23" s="425"/>
      <c r="HT23" s="425"/>
      <c r="HU23" s="425"/>
      <c r="HV23" s="425"/>
      <c r="HW23" s="425"/>
      <c r="HX23" s="425"/>
      <c r="HY23" s="425"/>
      <c r="HZ23" s="425"/>
      <c r="IA23" s="425"/>
      <c r="IB23" s="425"/>
      <c r="IC23" s="425"/>
      <c r="ID23" s="425"/>
      <c r="IE23" s="425"/>
      <c r="IF23" s="425"/>
      <c r="IG23" s="425"/>
      <c r="IH23" s="425"/>
      <c r="II23" s="425"/>
      <c r="IJ23" s="425"/>
      <c r="IK23" s="425"/>
      <c r="IL23" s="425"/>
      <c r="IM23" s="425"/>
      <c r="IN23" s="425"/>
      <c r="IO23" s="425"/>
      <c r="IP23" s="425"/>
      <c r="IQ23" s="425"/>
      <c r="IR23" s="425"/>
      <c r="IS23" s="425"/>
      <c r="IT23" s="425"/>
      <c r="IU23" s="425"/>
      <c r="IV23" s="425"/>
      <c r="IW23" s="425"/>
      <c r="IX23" s="425"/>
      <c r="IY23" s="425"/>
      <c r="IZ23" s="425"/>
    </row>
    <row r="24" spans="1:260" ht="18" customHeight="1">
      <c r="B24" s="424"/>
      <c r="C24" s="424"/>
      <c r="D24" s="314"/>
      <c r="E24" s="314"/>
      <c r="F24" s="312"/>
      <c r="G24" s="315"/>
      <c r="H24" s="315"/>
      <c r="I24" s="764"/>
      <c r="J24" s="764"/>
      <c r="K24" s="316"/>
      <c r="L24" s="316"/>
      <c r="M24" s="314"/>
      <c r="N24" s="317"/>
      <c r="O24" s="314"/>
      <c r="P24" s="314"/>
      <c r="Q24" s="314"/>
      <c r="R24" s="314"/>
      <c r="S24" s="314"/>
      <c r="T24" s="480"/>
      <c r="V24" s="481"/>
      <c r="W24" s="481"/>
      <c r="X24" s="481"/>
      <c r="Y24" s="481"/>
      <c r="Z24" s="481"/>
      <c r="AA24" s="481"/>
      <c r="AB24" s="482"/>
      <c r="AC24" s="482"/>
      <c r="AD24" s="482"/>
      <c r="AE24" s="482"/>
      <c r="AF24" s="482"/>
      <c r="AG24" s="482"/>
      <c r="AH24" s="482"/>
      <c r="AI24" s="482"/>
      <c r="AJ24" s="482"/>
      <c r="AK24" s="482"/>
      <c r="AL24" s="482"/>
      <c r="AM24" s="482"/>
      <c r="AN24" s="482"/>
      <c r="AO24" s="482"/>
      <c r="AP24" s="482"/>
      <c r="AQ24" s="482"/>
      <c r="AR24" s="482"/>
      <c r="AS24" s="482"/>
      <c r="AT24" s="482"/>
      <c r="AU24" s="482"/>
      <c r="AV24" s="482"/>
      <c r="AW24" s="482"/>
      <c r="AX24" s="482"/>
      <c r="AY24" s="482"/>
      <c r="AZ24" s="482"/>
      <c r="BA24" s="482"/>
      <c r="BB24" s="482"/>
      <c r="BC24" s="482"/>
      <c r="BD24" s="482"/>
      <c r="BE24" s="482"/>
      <c r="BF24" s="482"/>
      <c r="BG24" s="482"/>
      <c r="BH24" s="482"/>
      <c r="BI24" s="482"/>
      <c r="BJ24" s="482"/>
      <c r="BK24" s="482"/>
      <c r="BL24" s="482"/>
      <c r="BM24" s="482"/>
      <c r="BN24" s="482"/>
      <c r="BO24" s="482"/>
      <c r="BP24" s="482"/>
      <c r="BQ24" s="482"/>
      <c r="BR24" s="482"/>
      <c r="BS24" s="482"/>
      <c r="BT24" s="482"/>
      <c r="BU24" s="482"/>
      <c r="BV24" s="482"/>
      <c r="BW24" s="482"/>
      <c r="BX24" s="482"/>
      <c r="BY24" s="482"/>
      <c r="BZ24" s="482"/>
      <c r="CA24" s="482"/>
      <c r="CB24" s="482"/>
      <c r="CC24" s="482"/>
      <c r="CD24" s="482"/>
      <c r="CE24" s="482"/>
      <c r="CF24" s="482"/>
      <c r="CG24" s="482"/>
      <c r="CH24" s="482"/>
      <c r="CI24" s="482"/>
      <c r="CJ24" s="482"/>
      <c r="CK24" s="482"/>
      <c r="CL24" s="482"/>
      <c r="CM24" s="482"/>
      <c r="CN24" s="482"/>
      <c r="CO24" s="482"/>
      <c r="CP24" s="482"/>
      <c r="CQ24" s="482"/>
      <c r="CR24" s="482"/>
      <c r="CS24" s="482"/>
      <c r="CT24" s="482"/>
      <c r="CU24" s="482"/>
      <c r="CV24" s="482"/>
      <c r="CW24" s="482"/>
      <c r="CX24" s="482"/>
      <c r="CY24" s="482"/>
      <c r="CZ24" s="482"/>
      <c r="DA24" s="482"/>
      <c r="DB24" s="482"/>
      <c r="DC24" s="482"/>
      <c r="DD24" s="482"/>
      <c r="DE24" s="482"/>
      <c r="DF24" s="482"/>
      <c r="DG24" s="482"/>
      <c r="DH24" s="482"/>
      <c r="DI24" s="482"/>
      <c r="DJ24" s="482"/>
      <c r="DK24" s="482"/>
      <c r="DL24" s="482"/>
      <c r="DM24" s="482"/>
      <c r="DN24" s="482"/>
      <c r="DO24" s="482"/>
      <c r="DP24" s="482"/>
      <c r="DQ24" s="482"/>
      <c r="DR24" s="482"/>
      <c r="DS24" s="482"/>
      <c r="DT24" s="482"/>
      <c r="DU24" s="482"/>
      <c r="DV24" s="482"/>
      <c r="DW24" s="482"/>
      <c r="DX24" s="482"/>
      <c r="DY24" s="482"/>
      <c r="DZ24" s="482"/>
      <c r="EA24" s="482"/>
      <c r="EB24" s="482"/>
      <c r="EC24" s="482"/>
      <c r="ED24" s="482"/>
      <c r="EE24" s="482"/>
      <c r="EF24" s="482"/>
      <c r="EG24" s="482"/>
      <c r="EH24" s="482"/>
      <c r="EI24" s="482"/>
      <c r="EJ24" s="482"/>
      <c r="EK24" s="482"/>
      <c r="EL24" s="482"/>
      <c r="EM24" s="482"/>
      <c r="EN24" s="482"/>
      <c r="EO24" s="482"/>
      <c r="EP24" s="482"/>
      <c r="EQ24" s="482"/>
      <c r="ER24" s="482"/>
      <c r="ES24" s="482"/>
      <c r="ET24" s="482"/>
      <c r="EU24" s="482"/>
      <c r="EV24" s="482"/>
      <c r="EW24" s="482"/>
      <c r="EX24" s="482"/>
      <c r="EY24" s="482"/>
      <c r="EZ24" s="482"/>
      <c r="FA24" s="482"/>
      <c r="FB24" s="482"/>
      <c r="FC24" s="482"/>
      <c r="FD24" s="482"/>
      <c r="FE24" s="482"/>
      <c r="FF24" s="482"/>
      <c r="FG24" s="482"/>
      <c r="FH24" s="482"/>
      <c r="FI24" s="482"/>
      <c r="FJ24" s="482"/>
      <c r="FK24" s="482"/>
      <c r="FL24" s="482"/>
      <c r="FM24" s="482"/>
      <c r="FN24" s="482"/>
      <c r="FO24" s="482"/>
      <c r="FP24" s="482"/>
      <c r="FQ24" s="482"/>
      <c r="FR24" s="482"/>
      <c r="FS24" s="482"/>
      <c r="FT24" s="482"/>
      <c r="FU24" s="482"/>
      <c r="FV24" s="482"/>
      <c r="FW24" s="482"/>
      <c r="FX24" s="482"/>
      <c r="FY24" s="482"/>
      <c r="FZ24" s="482"/>
      <c r="GA24" s="482"/>
      <c r="GB24" s="482"/>
      <c r="GC24" s="482"/>
      <c r="GD24" s="482"/>
      <c r="GE24" s="482"/>
      <c r="GF24" s="482"/>
      <c r="GG24" s="482"/>
      <c r="GH24" s="482"/>
      <c r="GI24" s="482"/>
      <c r="GJ24" s="482"/>
      <c r="GK24" s="482"/>
      <c r="GL24" s="482"/>
      <c r="GM24" s="482"/>
      <c r="GN24" s="482"/>
      <c r="GO24" s="482"/>
      <c r="GP24" s="482"/>
      <c r="GQ24" s="482"/>
      <c r="GR24" s="482"/>
      <c r="GS24" s="482"/>
      <c r="GT24" s="482"/>
      <c r="GU24" s="482"/>
      <c r="GV24" s="482"/>
      <c r="GW24" s="482"/>
      <c r="GX24" s="482"/>
      <c r="GY24" s="482"/>
      <c r="GZ24" s="482"/>
      <c r="HA24" s="482"/>
      <c r="HB24" s="482"/>
      <c r="HC24" s="482"/>
      <c r="HD24" s="482"/>
      <c r="HE24" s="482"/>
      <c r="HF24" s="482"/>
      <c r="HG24" s="482"/>
      <c r="HH24" s="482"/>
      <c r="HI24" s="482"/>
      <c r="HJ24" s="482"/>
      <c r="HK24" s="482"/>
      <c r="HL24" s="482"/>
      <c r="HM24" s="482"/>
      <c r="HN24" s="482"/>
      <c r="HO24" s="482"/>
      <c r="HP24" s="482"/>
      <c r="HQ24" s="482"/>
      <c r="HR24" s="482"/>
      <c r="HS24" s="482"/>
      <c r="HT24" s="482"/>
      <c r="HU24" s="482"/>
      <c r="HV24" s="482"/>
      <c r="HW24" s="482"/>
      <c r="HX24" s="482"/>
      <c r="HY24" s="482"/>
      <c r="HZ24" s="482"/>
      <c r="IA24" s="482"/>
      <c r="IB24" s="482"/>
      <c r="IC24" s="482"/>
      <c r="ID24" s="482"/>
      <c r="IE24" s="482"/>
      <c r="IF24" s="482"/>
      <c r="IG24" s="482"/>
      <c r="IH24" s="482"/>
      <c r="II24" s="482"/>
      <c r="IJ24" s="482"/>
      <c r="IK24" s="482"/>
      <c r="IL24" s="482"/>
      <c r="IM24" s="482"/>
      <c r="IN24" s="482"/>
      <c r="IO24" s="482"/>
      <c r="IP24" s="482"/>
      <c r="IQ24" s="482"/>
      <c r="IR24" s="482"/>
      <c r="IS24" s="482"/>
      <c r="IT24" s="482"/>
      <c r="IU24" s="482"/>
      <c r="IV24" s="482"/>
      <c r="IW24" s="482"/>
      <c r="IX24" s="482"/>
      <c r="IY24" s="482"/>
      <c r="IZ24" s="482"/>
    </row>
    <row r="25" spans="1:260" ht="12" customHeight="1">
      <c r="B25" s="424"/>
      <c r="C25" s="424"/>
      <c r="D25" s="314"/>
      <c r="E25" s="314"/>
      <c r="F25" s="312"/>
      <c r="G25" s="312"/>
      <c r="H25" s="312"/>
      <c r="I25" s="316"/>
      <c r="J25" s="316"/>
      <c r="K25" s="316"/>
      <c r="L25" s="312"/>
      <c r="M25" s="314"/>
      <c r="N25" s="314"/>
      <c r="O25" s="314"/>
      <c r="P25" s="314"/>
      <c r="Q25" s="314"/>
      <c r="R25" s="314"/>
      <c r="S25" s="314"/>
      <c r="T25" s="424"/>
      <c r="AB25" s="425"/>
      <c r="AC25" s="425"/>
      <c r="AD25" s="425"/>
      <c r="AE25" s="425"/>
      <c r="AF25" s="425"/>
      <c r="AG25" s="425"/>
      <c r="AH25" s="425"/>
      <c r="AI25" s="425"/>
      <c r="AJ25" s="425"/>
      <c r="AK25" s="425"/>
      <c r="AL25" s="425"/>
      <c r="AM25" s="425"/>
      <c r="AN25" s="425"/>
      <c r="AO25" s="425"/>
      <c r="AP25" s="425"/>
      <c r="AQ25" s="425"/>
      <c r="AR25" s="425"/>
      <c r="AS25" s="425"/>
      <c r="AT25" s="425"/>
      <c r="AU25" s="425"/>
      <c r="AV25" s="425"/>
      <c r="AW25" s="425"/>
      <c r="AX25" s="425"/>
      <c r="AY25" s="425"/>
      <c r="AZ25" s="425"/>
      <c r="BA25" s="425"/>
      <c r="BB25" s="425"/>
      <c r="BC25" s="425"/>
      <c r="BD25" s="425"/>
      <c r="BE25" s="425"/>
      <c r="BF25" s="425"/>
      <c r="BG25" s="425"/>
      <c r="BH25" s="425"/>
      <c r="BI25" s="425"/>
      <c r="BJ25" s="425"/>
      <c r="BK25" s="425"/>
      <c r="BL25" s="425"/>
      <c r="BM25" s="425"/>
      <c r="BN25" s="425"/>
      <c r="BO25" s="425"/>
      <c r="BP25" s="425"/>
      <c r="BQ25" s="425"/>
      <c r="BR25" s="425"/>
      <c r="BS25" s="425"/>
      <c r="BT25" s="425"/>
      <c r="BU25" s="425"/>
      <c r="BV25" s="425"/>
      <c r="BW25" s="425"/>
      <c r="BX25" s="425"/>
      <c r="BY25" s="425"/>
      <c r="BZ25" s="425"/>
      <c r="CA25" s="425"/>
      <c r="CB25" s="425"/>
      <c r="CC25" s="425"/>
      <c r="CD25" s="425"/>
      <c r="CE25" s="425"/>
      <c r="CF25" s="425"/>
      <c r="CG25" s="425"/>
      <c r="CH25" s="425"/>
      <c r="CI25" s="425"/>
      <c r="CJ25" s="425"/>
      <c r="CK25" s="425"/>
      <c r="CL25" s="425"/>
      <c r="CM25" s="425"/>
      <c r="CN25" s="425"/>
      <c r="CO25" s="425"/>
      <c r="CP25" s="425"/>
      <c r="CQ25" s="425"/>
      <c r="CR25" s="425"/>
      <c r="CS25" s="425"/>
      <c r="CT25" s="425"/>
      <c r="CU25" s="425"/>
      <c r="CV25" s="425"/>
      <c r="CW25" s="425"/>
      <c r="CX25" s="425"/>
      <c r="CY25" s="425"/>
      <c r="CZ25" s="425"/>
      <c r="DA25" s="425"/>
      <c r="DB25" s="425"/>
      <c r="DC25" s="425"/>
      <c r="DD25" s="425"/>
      <c r="DE25" s="425"/>
      <c r="DF25" s="425"/>
      <c r="DG25" s="425"/>
      <c r="DH25" s="425"/>
      <c r="DI25" s="425"/>
      <c r="DJ25" s="425"/>
      <c r="DK25" s="425"/>
      <c r="DL25" s="425"/>
      <c r="DM25" s="425"/>
      <c r="DN25" s="425"/>
      <c r="DO25" s="425"/>
      <c r="DP25" s="425"/>
      <c r="DQ25" s="425"/>
      <c r="DR25" s="425"/>
      <c r="DS25" s="425"/>
      <c r="DT25" s="425"/>
      <c r="DU25" s="425"/>
      <c r="DV25" s="425"/>
      <c r="DW25" s="425"/>
      <c r="DX25" s="425"/>
      <c r="DY25" s="425"/>
      <c r="DZ25" s="425"/>
      <c r="EA25" s="425"/>
      <c r="EB25" s="425"/>
      <c r="EC25" s="425"/>
      <c r="ED25" s="425"/>
      <c r="EE25" s="425"/>
      <c r="EF25" s="425"/>
      <c r="EG25" s="425"/>
      <c r="EH25" s="425"/>
      <c r="EI25" s="425"/>
      <c r="EJ25" s="425"/>
      <c r="EK25" s="425"/>
      <c r="EL25" s="425"/>
      <c r="EM25" s="425"/>
      <c r="EN25" s="425"/>
      <c r="EO25" s="425"/>
      <c r="EP25" s="425"/>
      <c r="EQ25" s="425"/>
      <c r="ER25" s="425"/>
      <c r="ES25" s="425"/>
      <c r="ET25" s="425"/>
      <c r="EU25" s="425"/>
      <c r="EV25" s="425"/>
      <c r="EW25" s="425"/>
      <c r="EX25" s="425"/>
      <c r="EY25" s="425"/>
      <c r="EZ25" s="425"/>
      <c r="FA25" s="425"/>
      <c r="FB25" s="425"/>
      <c r="FC25" s="425"/>
      <c r="FD25" s="425"/>
      <c r="FE25" s="425"/>
      <c r="FF25" s="425"/>
      <c r="FG25" s="425"/>
      <c r="FH25" s="425"/>
      <c r="FI25" s="425"/>
      <c r="FJ25" s="425"/>
      <c r="FK25" s="425"/>
      <c r="FL25" s="425"/>
      <c r="FM25" s="425"/>
      <c r="FN25" s="425"/>
      <c r="FO25" s="425"/>
      <c r="FP25" s="425"/>
      <c r="FQ25" s="425"/>
      <c r="FR25" s="425"/>
      <c r="FS25" s="425"/>
      <c r="FT25" s="425"/>
      <c r="FU25" s="425"/>
      <c r="FV25" s="425"/>
      <c r="FW25" s="425"/>
      <c r="FX25" s="425"/>
      <c r="FY25" s="425"/>
      <c r="FZ25" s="425"/>
      <c r="GA25" s="425"/>
      <c r="GB25" s="425"/>
      <c r="GC25" s="425"/>
      <c r="GD25" s="425"/>
      <c r="GE25" s="425"/>
      <c r="GF25" s="425"/>
      <c r="GG25" s="425"/>
      <c r="GH25" s="425"/>
      <c r="GI25" s="425"/>
      <c r="GJ25" s="425"/>
      <c r="GK25" s="425"/>
      <c r="GL25" s="425"/>
      <c r="GM25" s="425"/>
      <c r="GN25" s="425"/>
      <c r="GO25" s="425"/>
      <c r="GP25" s="425"/>
      <c r="GQ25" s="425"/>
      <c r="GR25" s="425"/>
      <c r="GS25" s="425"/>
      <c r="GT25" s="425"/>
      <c r="GU25" s="425"/>
      <c r="GV25" s="425"/>
      <c r="GW25" s="425"/>
      <c r="GX25" s="425"/>
      <c r="GY25" s="425"/>
      <c r="GZ25" s="425"/>
      <c r="HA25" s="425"/>
      <c r="HB25" s="425"/>
      <c r="HC25" s="425"/>
      <c r="HD25" s="425"/>
      <c r="HE25" s="425"/>
      <c r="HF25" s="425"/>
      <c r="HG25" s="425"/>
      <c r="HH25" s="425"/>
      <c r="HI25" s="425"/>
      <c r="HJ25" s="425"/>
      <c r="HK25" s="425"/>
      <c r="HL25" s="425"/>
      <c r="HM25" s="425"/>
      <c r="HN25" s="425"/>
      <c r="HO25" s="425"/>
      <c r="HP25" s="425"/>
      <c r="HQ25" s="425"/>
      <c r="HR25" s="425"/>
      <c r="HS25" s="425"/>
      <c r="HT25" s="425"/>
      <c r="HU25" s="425"/>
      <c r="HV25" s="425"/>
      <c r="HW25" s="425"/>
      <c r="HX25" s="425"/>
      <c r="HY25" s="425"/>
      <c r="HZ25" s="425"/>
      <c r="IA25" s="425"/>
      <c r="IB25" s="425"/>
      <c r="IC25" s="425"/>
      <c r="ID25" s="425"/>
      <c r="IE25" s="425"/>
      <c r="IF25" s="425"/>
      <c r="IG25" s="425"/>
      <c r="IH25" s="425"/>
      <c r="II25" s="425"/>
      <c r="IJ25" s="425"/>
      <c r="IK25" s="425"/>
      <c r="IL25" s="425"/>
      <c r="IM25" s="425"/>
      <c r="IN25" s="425"/>
      <c r="IO25" s="425"/>
      <c r="IP25" s="425"/>
      <c r="IQ25" s="425"/>
      <c r="IR25" s="425"/>
      <c r="IS25" s="425"/>
      <c r="IT25" s="425"/>
      <c r="IU25" s="425"/>
      <c r="IV25" s="425"/>
      <c r="IW25" s="425"/>
      <c r="IX25" s="425"/>
      <c r="IY25" s="425"/>
      <c r="IZ25" s="425"/>
    </row>
    <row r="26" spans="1:260" ht="17.25" customHeight="1">
      <c r="B26" s="424"/>
      <c r="C26" s="424"/>
      <c r="D26" s="314"/>
      <c r="E26" s="314"/>
      <c r="F26" s="312"/>
      <c r="G26" s="318"/>
      <c r="H26" s="316"/>
      <c r="I26" s="316"/>
      <c r="J26" s="316"/>
      <c r="K26" s="316"/>
      <c r="L26" s="316"/>
      <c r="M26" s="314"/>
      <c r="N26" s="314"/>
      <c r="O26" s="314"/>
      <c r="P26" s="314"/>
      <c r="Q26" s="314"/>
      <c r="R26" s="314"/>
      <c r="S26" s="314"/>
      <c r="AB26" s="425"/>
      <c r="AC26" s="425"/>
      <c r="AD26" s="425"/>
      <c r="AE26" s="425"/>
      <c r="AF26" s="425"/>
      <c r="AG26" s="425"/>
      <c r="AH26" s="425"/>
      <c r="AI26" s="425"/>
      <c r="AJ26" s="425"/>
      <c r="AK26" s="425"/>
      <c r="AL26" s="425"/>
      <c r="AM26" s="425"/>
      <c r="AN26" s="425"/>
      <c r="AO26" s="425"/>
      <c r="AP26" s="425"/>
      <c r="AQ26" s="425"/>
      <c r="AR26" s="425"/>
      <c r="AS26" s="425"/>
      <c r="AT26" s="425"/>
      <c r="AU26" s="425"/>
      <c r="AV26" s="425"/>
      <c r="AW26" s="425"/>
      <c r="AX26" s="425"/>
      <c r="AY26" s="425"/>
      <c r="AZ26" s="425"/>
      <c r="BA26" s="425"/>
      <c r="BB26" s="425"/>
      <c r="BC26" s="425"/>
      <c r="BD26" s="425"/>
      <c r="BE26" s="425"/>
      <c r="BF26" s="425"/>
      <c r="BG26" s="425"/>
      <c r="BH26" s="425"/>
      <c r="BI26" s="425"/>
      <c r="BJ26" s="425"/>
      <c r="BK26" s="425"/>
      <c r="BL26" s="425"/>
      <c r="BM26" s="425"/>
      <c r="BN26" s="425"/>
      <c r="BO26" s="425"/>
      <c r="BP26" s="425"/>
      <c r="BQ26" s="425"/>
      <c r="BR26" s="425"/>
      <c r="BS26" s="425"/>
      <c r="BT26" s="425"/>
      <c r="BU26" s="425"/>
      <c r="BV26" s="425"/>
      <c r="BW26" s="425"/>
      <c r="BX26" s="425"/>
      <c r="BY26" s="425"/>
      <c r="BZ26" s="425"/>
      <c r="CA26" s="425"/>
      <c r="CB26" s="425"/>
      <c r="CC26" s="425"/>
      <c r="CD26" s="425"/>
      <c r="CE26" s="425"/>
      <c r="CF26" s="425"/>
      <c r="CG26" s="425"/>
      <c r="CH26" s="425"/>
      <c r="CI26" s="425"/>
      <c r="CJ26" s="425"/>
      <c r="CK26" s="425"/>
      <c r="CL26" s="425"/>
      <c r="CM26" s="425"/>
      <c r="CN26" s="425"/>
      <c r="CO26" s="425"/>
      <c r="CP26" s="425"/>
      <c r="CQ26" s="425"/>
      <c r="CR26" s="425"/>
      <c r="CS26" s="425"/>
      <c r="CT26" s="425"/>
      <c r="CU26" s="425"/>
      <c r="CV26" s="425"/>
      <c r="CW26" s="425"/>
      <c r="CX26" s="425"/>
      <c r="CY26" s="425"/>
      <c r="CZ26" s="425"/>
      <c r="DA26" s="425"/>
      <c r="DB26" s="425"/>
      <c r="DC26" s="425"/>
      <c r="DD26" s="425"/>
      <c r="DE26" s="425"/>
      <c r="DF26" s="425"/>
      <c r="DG26" s="425"/>
      <c r="DH26" s="425"/>
      <c r="DI26" s="425"/>
      <c r="DJ26" s="425"/>
      <c r="DK26" s="425"/>
      <c r="DL26" s="425"/>
      <c r="DM26" s="425"/>
      <c r="DN26" s="425"/>
      <c r="DO26" s="425"/>
      <c r="DP26" s="425"/>
      <c r="DQ26" s="425"/>
      <c r="DR26" s="425"/>
      <c r="DS26" s="425"/>
      <c r="DT26" s="425"/>
      <c r="DU26" s="425"/>
      <c r="DV26" s="425"/>
      <c r="DW26" s="425"/>
      <c r="DX26" s="425"/>
      <c r="DY26" s="425"/>
      <c r="DZ26" s="425"/>
      <c r="EA26" s="425"/>
      <c r="EB26" s="425"/>
      <c r="EC26" s="425"/>
      <c r="ED26" s="425"/>
      <c r="EE26" s="425"/>
      <c r="EF26" s="425"/>
      <c r="EG26" s="425"/>
      <c r="EH26" s="425"/>
      <c r="EI26" s="425"/>
      <c r="EJ26" s="425"/>
      <c r="EK26" s="425"/>
      <c r="EL26" s="425"/>
      <c r="EM26" s="425"/>
      <c r="EN26" s="425"/>
      <c r="EO26" s="425"/>
      <c r="EP26" s="425"/>
      <c r="EQ26" s="425"/>
      <c r="ER26" s="425"/>
      <c r="ES26" s="425"/>
      <c r="ET26" s="425"/>
      <c r="EU26" s="425"/>
      <c r="EV26" s="425"/>
      <c r="EW26" s="425"/>
      <c r="EX26" s="425"/>
      <c r="EY26" s="425"/>
      <c r="EZ26" s="425"/>
      <c r="FA26" s="425"/>
      <c r="FB26" s="425"/>
      <c r="FC26" s="425"/>
      <c r="FD26" s="425"/>
      <c r="FE26" s="425"/>
      <c r="FF26" s="425"/>
      <c r="FG26" s="425"/>
      <c r="FH26" s="425"/>
      <c r="FI26" s="425"/>
      <c r="FJ26" s="425"/>
      <c r="FK26" s="425"/>
      <c r="FL26" s="425"/>
      <c r="FM26" s="425"/>
      <c r="FN26" s="425"/>
      <c r="FO26" s="425"/>
      <c r="FP26" s="425"/>
      <c r="FQ26" s="425"/>
      <c r="FR26" s="425"/>
      <c r="FS26" s="425"/>
      <c r="FT26" s="425"/>
      <c r="FU26" s="425"/>
      <c r="FV26" s="425"/>
      <c r="FW26" s="425"/>
      <c r="FX26" s="425"/>
      <c r="FY26" s="425"/>
      <c r="FZ26" s="425"/>
      <c r="GA26" s="425"/>
      <c r="GB26" s="425"/>
      <c r="GC26" s="425"/>
      <c r="GD26" s="425"/>
      <c r="GE26" s="425"/>
      <c r="GF26" s="425"/>
      <c r="GG26" s="425"/>
      <c r="GH26" s="425"/>
      <c r="GI26" s="425"/>
      <c r="GJ26" s="425"/>
      <c r="GK26" s="425"/>
      <c r="GL26" s="425"/>
      <c r="GM26" s="425"/>
      <c r="GN26" s="425"/>
      <c r="GO26" s="425"/>
      <c r="GP26" s="425"/>
      <c r="GQ26" s="425"/>
      <c r="GR26" s="425"/>
      <c r="GS26" s="425"/>
      <c r="GT26" s="425"/>
      <c r="GU26" s="425"/>
      <c r="GV26" s="425"/>
      <c r="GW26" s="425"/>
      <c r="GX26" s="425"/>
      <c r="GY26" s="425"/>
      <c r="GZ26" s="425"/>
      <c r="HA26" s="425"/>
      <c r="HB26" s="425"/>
      <c r="HC26" s="425"/>
      <c r="HD26" s="425"/>
      <c r="HE26" s="425"/>
      <c r="HF26" s="425"/>
      <c r="HG26" s="425"/>
      <c r="HH26" s="425"/>
      <c r="HI26" s="425"/>
      <c r="HJ26" s="425"/>
      <c r="HK26" s="425"/>
      <c r="HL26" s="425"/>
      <c r="HM26" s="425"/>
      <c r="HN26" s="425"/>
      <c r="HO26" s="425"/>
      <c r="HP26" s="425"/>
      <c r="HQ26" s="425"/>
      <c r="HR26" s="425"/>
      <c r="HS26" s="425"/>
      <c r="HT26" s="425"/>
      <c r="HU26" s="425"/>
      <c r="HV26" s="425"/>
      <c r="HW26" s="425"/>
      <c r="HX26" s="425"/>
      <c r="HY26" s="425"/>
      <c r="HZ26" s="425"/>
      <c r="IA26" s="425"/>
      <c r="IB26" s="425"/>
      <c r="IC26" s="425"/>
      <c r="ID26" s="425"/>
      <c r="IE26" s="425"/>
      <c r="IF26" s="425"/>
      <c r="IG26" s="425"/>
      <c r="IH26" s="425"/>
      <c r="II26" s="425"/>
      <c r="IJ26" s="425"/>
      <c r="IK26" s="425"/>
      <c r="IL26" s="425"/>
      <c r="IM26" s="425"/>
      <c r="IN26" s="425"/>
      <c r="IO26" s="425"/>
      <c r="IP26" s="425"/>
      <c r="IQ26" s="425"/>
      <c r="IR26" s="425"/>
      <c r="IS26" s="425"/>
      <c r="IT26" s="425"/>
      <c r="IU26" s="425"/>
      <c r="IV26" s="425"/>
      <c r="IW26" s="425"/>
      <c r="IX26" s="425"/>
      <c r="IY26" s="425"/>
      <c r="IZ26" s="425"/>
    </row>
    <row r="27" spans="1:260" ht="12.75" customHeight="1">
      <c r="B27" s="424"/>
      <c r="C27" s="424"/>
      <c r="D27" s="314"/>
      <c r="E27" s="314"/>
      <c r="F27" s="312"/>
      <c r="G27" s="312"/>
      <c r="H27" s="312"/>
      <c r="I27" s="316"/>
      <c r="J27" s="316"/>
      <c r="K27" s="312"/>
      <c r="L27" s="312"/>
      <c r="M27" s="314" t="s">
        <v>341</v>
      </c>
      <c r="N27" s="314"/>
      <c r="O27" s="314"/>
      <c r="P27" s="314"/>
      <c r="Q27" s="314"/>
      <c r="R27" s="314"/>
      <c r="S27" s="314"/>
      <c r="AB27" s="425"/>
      <c r="AC27" s="425"/>
      <c r="AD27" s="425"/>
      <c r="AE27" s="425"/>
      <c r="AF27" s="425"/>
      <c r="AG27" s="425"/>
      <c r="AH27" s="425"/>
      <c r="AI27" s="425"/>
      <c r="AJ27" s="425"/>
      <c r="AK27" s="425"/>
      <c r="AL27" s="425"/>
      <c r="AM27" s="425"/>
      <c r="AN27" s="425"/>
      <c r="AO27" s="425"/>
      <c r="AP27" s="425"/>
      <c r="AQ27" s="425"/>
      <c r="AR27" s="425"/>
      <c r="AS27" s="425"/>
      <c r="AT27" s="425"/>
      <c r="AU27" s="425"/>
      <c r="AV27" s="425"/>
      <c r="AW27" s="425"/>
      <c r="AX27" s="425"/>
      <c r="AY27" s="425"/>
      <c r="AZ27" s="425"/>
      <c r="BA27" s="425"/>
      <c r="BB27" s="425"/>
      <c r="BC27" s="425"/>
      <c r="BD27" s="425"/>
      <c r="BE27" s="425"/>
      <c r="BF27" s="425"/>
      <c r="BG27" s="425"/>
      <c r="BH27" s="425"/>
      <c r="BI27" s="425"/>
      <c r="BJ27" s="425"/>
      <c r="BK27" s="425"/>
      <c r="BL27" s="425"/>
      <c r="BM27" s="425"/>
      <c r="BN27" s="425"/>
      <c r="BO27" s="425"/>
      <c r="BP27" s="425"/>
      <c r="BQ27" s="425"/>
      <c r="BR27" s="425"/>
      <c r="BS27" s="425"/>
      <c r="BT27" s="425"/>
      <c r="BU27" s="425"/>
      <c r="BV27" s="425"/>
      <c r="BW27" s="425"/>
      <c r="BX27" s="425"/>
      <c r="BY27" s="425"/>
      <c r="BZ27" s="425"/>
      <c r="CA27" s="425"/>
      <c r="CB27" s="425"/>
      <c r="CC27" s="425"/>
      <c r="CD27" s="425"/>
      <c r="CE27" s="425"/>
      <c r="CF27" s="425"/>
      <c r="CG27" s="425"/>
      <c r="CH27" s="425"/>
      <c r="CI27" s="425"/>
      <c r="CJ27" s="425"/>
      <c r="CK27" s="425"/>
      <c r="CL27" s="425"/>
      <c r="CM27" s="425"/>
      <c r="CN27" s="425"/>
      <c r="CO27" s="425"/>
      <c r="CP27" s="425"/>
      <c r="CQ27" s="425"/>
      <c r="CR27" s="425"/>
      <c r="CS27" s="425"/>
      <c r="CT27" s="425"/>
      <c r="CU27" s="425"/>
      <c r="CV27" s="425"/>
      <c r="CW27" s="425"/>
      <c r="CX27" s="425"/>
      <c r="CY27" s="425"/>
      <c r="CZ27" s="425"/>
      <c r="DA27" s="425"/>
      <c r="DB27" s="425"/>
      <c r="DC27" s="425"/>
      <c r="DD27" s="425"/>
      <c r="DE27" s="425"/>
      <c r="DF27" s="425"/>
      <c r="DG27" s="425"/>
      <c r="DH27" s="425"/>
      <c r="DI27" s="425"/>
      <c r="DJ27" s="425"/>
      <c r="DK27" s="425"/>
      <c r="DL27" s="425"/>
      <c r="DM27" s="425"/>
      <c r="DN27" s="425"/>
      <c r="DO27" s="425"/>
      <c r="DP27" s="425"/>
      <c r="DQ27" s="425"/>
      <c r="DR27" s="425"/>
      <c r="DS27" s="425"/>
      <c r="DT27" s="425"/>
      <c r="DU27" s="425"/>
      <c r="DV27" s="425"/>
      <c r="DW27" s="425"/>
      <c r="DX27" s="425"/>
      <c r="DY27" s="425"/>
      <c r="DZ27" s="425"/>
      <c r="EA27" s="425"/>
      <c r="EB27" s="425"/>
      <c r="EC27" s="425"/>
      <c r="ED27" s="425"/>
      <c r="EE27" s="425"/>
      <c r="EF27" s="425"/>
      <c r="EG27" s="425"/>
      <c r="EH27" s="425"/>
      <c r="EI27" s="425"/>
      <c r="EJ27" s="425"/>
      <c r="EK27" s="425"/>
      <c r="EL27" s="425"/>
      <c r="EM27" s="425"/>
      <c r="EN27" s="425"/>
      <c r="EO27" s="425"/>
      <c r="EP27" s="425"/>
      <c r="EQ27" s="425"/>
      <c r="ER27" s="425"/>
      <c r="ES27" s="425"/>
      <c r="ET27" s="425"/>
      <c r="EU27" s="425"/>
      <c r="EV27" s="425"/>
      <c r="EW27" s="425"/>
      <c r="EX27" s="425"/>
      <c r="EY27" s="425"/>
      <c r="EZ27" s="425"/>
      <c r="FA27" s="425"/>
      <c r="FB27" s="425"/>
      <c r="FC27" s="425"/>
      <c r="FD27" s="425"/>
      <c r="FE27" s="425"/>
      <c r="FF27" s="425"/>
      <c r="FG27" s="425"/>
      <c r="FH27" s="425"/>
      <c r="FI27" s="425"/>
      <c r="FJ27" s="425"/>
      <c r="FK27" s="425"/>
      <c r="FL27" s="425"/>
      <c r="FM27" s="425"/>
      <c r="FN27" s="425"/>
      <c r="FO27" s="425"/>
      <c r="FP27" s="425"/>
      <c r="FQ27" s="425"/>
      <c r="FR27" s="425"/>
      <c r="FS27" s="425"/>
      <c r="FT27" s="425"/>
      <c r="FU27" s="425"/>
      <c r="FV27" s="425"/>
      <c r="FW27" s="425"/>
      <c r="FX27" s="425"/>
      <c r="FY27" s="425"/>
      <c r="FZ27" s="425"/>
      <c r="GA27" s="425"/>
      <c r="GB27" s="425"/>
      <c r="GC27" s="425"/>
      <c r="GD27" s="425"/>
      <c r="GE27" s="425"/>
      <c r="GF27" s="425"/>
      <c r="GG27" s="425"/>
      <c r="GH27" s="425"/>
      <c r="GI27" s="425"/>
      <c r="GJ27" s="425"/>
      <c r="GK27" s="425"/>
      <c r="GL27" s="425"/>
      <c r="GM27" s="425"/>
      <c r="GN27" s="425"/>
      <c r="GO27" s="425"/>
      <c r="GP27" s="425"/>
      <c r="GQ27" s="425"/>
      <c r="GR27" s="425"/>
      <c r="GS27" s="425"/>
      <c r="GT27" s="425"/>
      <c r="GU27" s="425"/>
      <c r="GV27" s="425"/>
      <c r="GW27" s="425"/>
      <c r="GX27" s="425"/>
      <c r="GY27" s="425"/>
      <c r="GZ27" s="425"/>
      <c r="HA27" s="425"/>
      <c r="HB27" s="425"/>
      <c r="HC27" s="425"/>
      <c r="HD27" s="425"/>
      <c r="HE27" s="425"/>
      <c r="HF27" s="425"/>
      <c r="HG27" s="425"/>
      <c r="HH27" s="425"/>
      <c r="HI27" s="425"/>
      <c r="HJ27" s="425"/>
      <c r="HK27" s="425"/>
      <c r="HL27" s="425"/>
      <c r="HM27" s="425"/>
      <c r="HN27" s="425"/>
      <c r="HO27" s="425"/>
      <c r="HP27" s="425"/>
      <c r="HQ27" s="425"/>
      <c r="HR27" s="425"/>
      <c r="HS27" s="425"/>
      <c r="HT27" s="425"/>
      <c r="HU27" s="425"/>
      <c r="HV27" s="425"/>
      <c r="HW27" s="425"/>
      <c r="HX27" s="425"/>
      <c r="HY27" s="425"/>
      <c r="HZ27" s="425"/>
      <c r="IA27" s="425"/>
      <c r="IB27" s="425"/>
      <c r="IC27" s="425"/>
      <c r="ID27" s="425"/>
      <c r="IE27" s="425"/>
      <c r="IF27" s="425"/>
      <c r="IG27" s="425"/>
      <c r="IH27" s="425"/>
      <c r="II27" s="425"/>
      <c r="IJ27" s="425"/>
      <c r="IK27" s="425"/>
      <c r="IL27" s="425"/>
      <c r="IM27" s="425"/>
      <c r="IN27" s="425"/>
      <c r="IO27" s="425"/>
      <c r="IP27" s="425"/>
      <c r="IQ27" s="425"/>
      <c r="IR27" s="425"/>
      <c r="IS27" s="425"/>
      <c r="IT27" s="425"/>
      <c r="IU27" s="425"/>
      <c r="IV27" s="425"/>
      <c r="IW27" s="425"/>
      <c r="IX27" s="425"/>
      <c r="IY27" s="425"/>
      <c r="IZ27" s="425"/>
    </row>
    <row r="28" spans="1:260" ht="26.85" customHeight="1">
      <c r="B28" s="424"/>
      <c r="C28" s="424"/>
      <c r="D28" s="314"/>
      <c r="E28" s="314"/>
      <c r="F28" s="312"/>
      <c r="G28" s="312"/>
      <c r="H28" s="316"/>
      <c r="I28" s="316"/>
      <c r="J28" s="316"/>
      <c r="K28" s="312"/>
      <c r="L28" s="312"/>
      <c r="M28" s="765" t="s">
        <v>153</v>
      </c>
      <c r="N28" s="765"/>
      <c r="O28" s="765"/>
      <c r="P28" s="765"/>
      <c r="Q28" s="765"/>
      <c r="R28" s="765"/>
      <c r="S28" s="765"/>
      <c r="AB28" s="425"/>
      <c r="AC28" s="425"/>
      <c r="AD28" s="425"/>
      <c r="AE28" s="425"/>
      <c r="AF28" s="425"/>
      <c r="AG28" s="425"/>
      <c r="AH28" s="425"/>
      <c r="AI28" s="425"/>
      <c r="AJ28" s="425"/>
      <c r="AK28" s="425"/>
      <c r="AL28" s="425"/>
      <c r="AM28" s="425"/>
      <c r="AN28" s="425"/>
      <c r="AO28" s="425"/>
      <c r="AP28" s="425"/>
      <c r="AQ28" s="425"/>
      <c r="AR28" s="425"/>
      <c r="AS28" s="425"/>
      <c r="AT28" s="425"/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25"/>
      <c r="BF28" s="425"/>
      <c r="BG28" s="425"/>
      <c r="BH28" s="425"/>
      <c r="BI28" s="425"/>
      <c r="BJ28" s="425"/>
      <c r="BK28" s="425"/>
      <c r="BL28" s="425"/>
      <c r="BM28" s="425"/>
      <c r="BN28" s="425"/>
      <c r="BO28" s="425"/>
      <c r="BP28" s="425"/>
      <c r="BQ28" s="425"/>
      <c r="BR28" s="425"/>
      <c r="BS28" s="425"/>
      <c r="BT28" s="425"/>
      <c r="BU28" s="425"/>
      <c r="BV28" s="425"/>
      <c r="BW28" s="425"/>
      <c r="BX28" s="425"/>
      <c r="BY28" s="425"/>
      <c r="BZ28" s="425"/>
      <c r="CA28" s="425"/>
      <c r="CB28" s="425"/>
      <c r="CC28" s="425"/>
      <c r="CD28" s="425"/>
      <c r="CE28" s="425"/>
      <c r="CF28" s="425"/>
      <c r="CG28" s="425"/>
      <c r="CH28" s="425"/>
      <c r="CI28" s="425"/>
      <c r="CJ28" s="425"/>
      <c r="CK28" s="425"/>
      <c r="CL28" s="425"/>
      <c r="CM28" s="425"/>
      <c r="CN28" s="425"/>
      <c r="CO28" s="425"/>
      <c r="CP28" s="425"/>
      <c r="CQ28" s="425"/>
      <c r="CR28" s="425"/>
      <c r="CS28" s="425"/>
      <c r="CT28" s="425"/>
      <c r="CU28" s="425"/>
      <c r="CV28" s="425"/>
      <c r="CW28" s="425"/>
      <c r="CX28" s="425"/>
      <c r="CY28" s="425"/>
      <c r="CZ28" s="425"/>
      <c r="DA28" s="425"/>
      <c r="DB28" s="425"/>
      <c r="DC28" s="425"/>
      <c r="DD28" s="425"/>
      <c r="DE28" s="425"/>
      <c r="DF28" s="425"/>
      <c r="DG28" s="425"/>
      <c r="DH28" s="425"/>
      <c r="DI28" s="425"/>
      <c r="DJ28" s="425"/>
      <c r="DK28" s="425"/>
      <c r="DL28" s="425"/>
      <c r="DM28" s="425"/>
      <c r="DN28" s="425"/>
      <c r="DO28" s="425"/>
      <c r="DP28" s="425"/>
      <c r="DQ28" s="425"/>
      <c r="DR28" s="425"/>
      <c r="DS28" s="425"/>
      <c r="DT28" s="425"/>
      <c r="DU28" s="425"/>
      <c r="DV28" s="425"/>
      <c r="DW28" s="425"/>
      <c r="DX28" s="425"/>
      <c r="DY28" s="425"/>
      <c r="DZ28" s="425"/>
      <c r="EA28" s="425"/>
      <c r="EB28" s="425"/>
      <c r="EC28" s="425"/>
      <c r="ED28" s="425"/>
      <c r="EE28" s="425"/>
      <c r="EF28" s="425"/>
      <c r="EG28" s="425"/>
      <c r="EH28" s="425"/>
      <c r="EI28" s="425"/>
      <c r="EJ28" s="425"/>
      <c r="EK28" s="425"/>
      <c r="EL28" s="425"/>
      <c r="EM28" s="425"/>
      <c r="EN28" s="425"/>
      <c r="EO28" s="425"/>
      <c r="EP28" s="425"/>
      <c r="EQ28" s="425"/>
      <c r="ER28" s="425"/>
      <c r="ES28" s="425"/>
      <c r="ET28" s="425"/>
      <c r="EU28" s="425"/>
      <c r="EV28" s="425"/>
      <c r="EW28" s="425"/>
      <c r="EX28" s="425"/>
      <c r="EY28" s="425"/>
      <c r="EZ28" s="425"/>
      <c r="FA28" s="425"/>
      <c r="FB28" s="425"/>
      <c r="FC28" s="425"/>
      <c r="FD28" s="425"/>
      <c r="FE28" s="425"/>
      <c r="FF28" s="425"/>
      <c r="FG28" s="425"/>
      <c r="FH28" s="425"/>
      <c r="FI28" s="425"/>
      <c r="FJ28" s="425"/>
      <c r="FK28" s="425"/>
      <c r="FL28" s="425"/>
      <c r="FM28" s="425"/>
      <c r="FN28" s="425"/>
      <c r="FO28" s="425"/>
      <c r="FP28" s="425"/>
      <c r="FQ28" s="425"/>
      <c r="FR28" s="425"/>
      <c r="FS28" s="425"/>
      <c r="FT28" s="425"/>
      <c r="FU28" s="425"/>
      <c r="FV28" s="425"/>
      <c r="FW28" s="425"/>
      <c r="FX28" s="425"/>
      <c r="FY28" s="425"/>
      <c r="FZ28" s="425"/>
      <c r="GA28" s="425"/>
      <c r="GB28" s="425"/>
      <c r="GC28" s="425"/>
      <c r="GD28" s="425"/>
      <c r="GE28" s="425"/>
      <c r="GF28" s="425"/>
      <c r="GG28" s="425"/>
      <c r="GH28" s="425"/>
      <c r="GI28" s="425"/>
      <c r="GJ28" s="425"/>
      <c r="GK28" s="425"/>
      <c r="GL28" s="425"/>
      <c r="GM28" s="425"/>
      <c r="GN28" s="425"/>
      <c r="GO28" s="425"/>
      <c r="GP28" s="425"/>
      <c r="GQ28" s="425"/>
      <c r="GR28" s="425"/>
      <c r="GS28" s="425"/>
      <c r="GT28" s="425"/>
      <c r="GU28" s="425"/>
      <c r="GV28" s="425"/>
      <c r="GW28" s="425"/>
      <c r="GX28" s="425"/>
      <c r="GY28" s="425"/>
      <c r="GZ28" s="425"/>
      <c r="HA28" s="425"/>
      <c r="HB28" s="425"/>
      <c r="HC28" s="425"/>
      <c r="HD28" s="425"/>
      <c r="HE28" s="425"/>
      <c r="HF28" s="425"/>
      <c r="HG28" s="425"/>
      <c r="HH28" s="425"/>
      <c r="HI28" s="425"/>
      <c r="HJ28" s="425"/>
      <c r="HK28" s="425"/>
      <c r="HL28" s="425"/>
      <c r="HM28" s="425"/>
      <c r="HN28" s="425"/>
      <c r="HO28" s="425"/>
      <c r="HP28" s="425"/>
      <c r="HQ28" s="425"/>
      <c r="HR28" s="425"/>
      <c r="HS28" s="425"/>
      <c r="HT28" s="425"/>
      <c r="HU28" s="425"/>
      <c r="HV28" s="425"/>
      <c r="HW28" s="425"/>
      <c r="HX28" s="425"/>
      <c r="HY28" s="425"/>
      <c r="HZ28" s="425"/>
      <c r="IA28" s="425"/>
      <c r="IB28" s="425"/>
      <c r="IC28" s="425"/>
      <c r="ID28" s="425"/>
      <c r="IE28" s="425"/>
      <c r="IF28" s="425"/>
      <c r="IG28" s="425"/>
      <c r="IH28" s="425"/>
      <c r="II28" s="425"/>
      <c r="IJ28" s="425"/>
      <c r="IK28" s="425"/>
      <c r="IL28" s="425"/>
      <c r="IM28" s="425"/>
      <c r="IN28" s="425"/>
      <c r="IO28" s="425"/>
      <c r="IP28" s="425"/>
      <c r="IQ28" s="425"/>
      <c r="IR28" s="425"/>
      <c r="IS28" s="425"/>
      <c r="IT28" s="425"/>
      <c r="IU28" s="425"/>
      <c r="IV28" s="425"/>
      <c r="IW28" s="425"/>
      <c r="IX28" s="425"/>
      <c r="IY28" s="425"/>
      <c r="IZ28" s="425"/>
    </row>
    <row r="29" spans="1:260" ht="51" customHeight="1">
      <c r="B29" s="424"/>
      <c r="C29" s="424"/>
      <c r="D29" s="314"/>
      <c r="E29" s="314"/>
      <c r="F29" s="312"/>
      <c r="G29" s="312"/>
      <c r="H29" s="316"/>
      <c r="I29" s="316"/>
      <c r="J29" s="316"/>
      <c r="K29" s="432" t="s">
        <v>205</v>
      </c>
      <c r="M29" s="444"/>
      <c r="N29" s="766"/>
      <c r="O29" s="766"/>
      <c r="P29" s="432"/>
      <c r="Q29" s="432"/>
      <c r="R29" s="432"/>
      <c r="S29" s="314"/>
      <c r="AB29" s="425"/>
      <c r="AC29" s="425"/>
      <c r="AD29" s="425"/>
      <c r="AE29" s="425"/>
      <c r="AF29" s="425"/>
      <c r="AG29" s="425"/>
      <c r="AH29" s="425"/>
      <c r="AI29" s="425"/>
      <c r="AJ29" s="425"/>
      <c r="AK29" s="425"/>
      <c r="AL29" s="425"/>
      <c r="AM29" s="425"/>
      <c r="AN29" s="425"/>
      <c r="AO29" s="425"/>
      <c r="AP29" s="425"/>
      <c r="AQ29" s="425"/>
      <c r="AR29" s="425"/>
      <c r="AS29" s="425"/>
      <c r="AT29" s="425"/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25"/>
      <c r="BF29" s="425"/>
      <c r="BG29" s="425"/>
      <c r="BH29" s="425"/>
      <c r="BI29" s="425"/>
      <c r="BJ29" s="425"/>
      <c r="BK29" s="425"/>
      <c r="BL29" s="425"/>
      <c r="BM29" s="425"/>
      <c r="BN29" s="425"/>
      <c r="BO29" s="425"/>
      <c r="BP29" s="425"/>
      <c r="BQ29" s="425"/>
      <c r="BR29" s="425"/>
      <c r="BS29" s="425"/>
      <c r="BT29" s="425"/>
      <c r="BU29" s="425"/>
      <c r="BV29" s="425"/>
      <c r="BW29" s="425"/>
      <c r="BX29" s="425"/>
      <c r="BY29" s="425"/>
      <c r="BZ29" s="425"/>
      <c r="CA29" s="425"/>
      <c r="CB29" s="425"/>
      <c r="CC29" s="425"/>
      <c r="CD29" s="425"/>
      <c r="CE29" s="425"/>
      <c r="CF29" s="425"/>
      <c r="CG29" s="425"/>
      <c r="CH29" s="425"/>
      <c r="CI29" s="425"/>
      <c r="CJ29" s="425"/>
      <c r="CK29" s="425"/>
      <c r="CL29" s="425"/>
      <c r="CM29" s="425"/>
      <c r="CN29" s="425"/>
      <c r="CO29" s="425"/>
      <c r="CP29" s="425"/>
      <c r="CQ29" s="425"/>
      <c r="CR29" s="425"/>
      <c r="CS29" s="425"/>
      <c r="CT29" s="425"/>
      <c r="CU29" s="425"/>
      <c r="CV29" s="425"/>
      <c r="CW29" s="425"/>
      <c r="CX29" s="425"/>
      <c r="CY29" s="425"/>
      <c r="CZ29" s="425"/>
      <c r="DA29" s="425"/>
      <c r="DB29" s="425"/>
      <c r="DC29" s="425"/>
      <c r="DD29" s="425"/>
      <c r="DE29" s="425"/>
      <c r="DF29" s="425"/>
      <c r="DG29" s="425"/>
      <c r="DH29" s="425"/>
      <c r="DI29" s="425"/>
      <c r="DJ29" s="425"/>
      <c r="DK29" s="425"/>
      <c r="DL29" s="425"/>
      <c r="DM29" s="425"/>
      <c r="DN29" s="425"/>
      <c r="DO29" s="425"/>
      <c r="DP29" s="425"/>
      <c r="DQ29" s="425"/>
      <c r="DR29" s="425"/>
      <c r="DS29" s="425"/>
      <c r="DT29" s="425"/>
      <c r="DU29" s="425"/>
      <c r="DV29" s="425"/>
      <c r="DW29" s="425"/>
      <c r="DX29" s="425"/>
      <c r="DY29" s="425"/>
      <c r="DZ29" s="425"/>
      <c r="EA29" s="425"/>
      <c r="EB29" s="425"/>
      <c r="EC29" s="425"/>
      <c r="ED29" s="425"/>
      <c r="EE29" s="425"/>
      <c r="EF29" s="425"/>
      <c r="EG29" s="425"/>
      <c r="EH29" s="425"/>
      <c r="EI29" s="425"/>
      <c r="EJ29" s="425"/>
      <c r="EK29" s="425"/>
      <c r="EL29" s="425"/>
      <c r="EM29" s="425"/>
      <c r="EN29" s="425"/>
      <c r="EO29" s="425"/>
      <c r="EP29" s="425"/>
      <c r="EQ29" s="425"/>
      <c r="ER29" s="425"/>
      <c r="ES29" s="425"/>
      <c r="ET29" s="425"/>
      <c r="EU29" s="425"/>
      <c r="EV29" s="425"/>
      <c r="EW29" s="425"/>
      <c r="EX29" s="425"/>
      <c r="EY29" s="425"/>
      <c r="EZ29" s="425"/>
      <c r="FA29" s="425"/>
      <c r="FB29" s="425"/>
      <c r="FC29" s="425"/>
      <c r="FD29" s="425"/>
      <c r="FE29" s="425"/>
      <c r="FF29" s="425"/>
      <c r="FG29" s="425"/>
      <c r="FH29" s="425"/>
      <c r="FI29" s="425"/>
      <c r="FJ29" s="425"/>
      <c r="FK29" s="425"/>
      <c r="FL29" s="425"/>
      <c r="FM29" s="425"/>
      <c r="FN29" s="425"/>
      <c r="FO29" s="425"/>
      <c r="FP29" s="425"/>
      <c r="FQ29" s="425"/>
      <c r="FR29" s="425"/>
      <c r="FS29" s="425"/>
      <c r="FT29" s="425"/>
      <c r="FU29" s="425"/>
      <c r="FV29" s="425"/>
      <c r="FW29" s="425"/>
      <c r="FX29" s="425"/>
      <c r="FY29" s="425"/>
      <c r="FZ29" s="425"/>
      <c r="GA29" s="425"/>
      <c r="GB29" s="425"/>
      <c r="GC29" s="425"/>
      <c r="GD29" s="425"/>
      <c r="GE29" s="425"/>
      <c r="GF29" s="425"/>
      <c r="GG29" s="425"/>
      <c r="GH29" s="425"/>
      <c r="GI29" s="425"/>
      <c r="GJ29" s="425"/>
      <c r="GK29" s="425"/>
      <c r="GL29" s="425"/>
      <c r="GM29" s="425"/>
      <c r="GN29" s="425"/>
      <c r="GO29" s="425"/>
      <c r="GP29" s="425"/>
      <c r="GQ29" s="425"/>
      <c r="GR29" s="425"/>
      <c r="GS29" s="425"/>
      <c r="GT29" s="425"/>
      <c r="GU29" s="425"/>
      <c r="GV29" s="425"/>
      <c r="GW29" s="425"/>
      <c r="GX29" s="425"/>
      <c r="GY29" s="425"/>
      <c r="GZ29" s="425"/>
      <c r="HA29" s="425"/>
      <c r="HB29" s="425"/>
      <c r="HC29" s="425"/>
      <c r="HD29" s="425"/>
      <c r="HE29" s="425"/>
      <c r="HF29" s="425"/>
      <c r="HG29" s="425"/>
      <c r="HH29" s="425"/>
      <c r="HI29" s="425"/>
      <c r="HJ29" s="425"/>
      <c r="HK29" s="425"/>
      <c r="HL29" s="425"/>
      <c r="HM29" s="425"/>
      <c r="HN29" s="425"/>
      <c r="HO29" s="425"/>
      <c r="HP29" s="425"/>
      <c r="HQ29" s="425"/>
      <c r="HR29" s="425"/>
      <c r="HS29" s="425"/>
      <c r="HT29" s="425"/>
      <c r="HU29" s="425"/>
      <c r="HV29" s="425"/>
      <c r="HW29" s="425"/>
      <c r="HX29" s="425"/>
      <c r="HY29" s="425"/>
      <c r="HZ29" s="425"/>
      <c r="IA29" s="425"/>
      <c r="IB29" s="425"/>
      <c r="IC29" s="425"/>
      <c r="ID29" s="425"/>
      <c r="IE29" s="425"/>
      <c r="IF29" s="425"/>
      <c r="IG29" s="425"/>
      <c r="IH29" s="425"/>
      <c r="II29" s="425"/>
      <c r="IJ29" s="425"/>
      <c r="IK29" s="425"/>
      <c r="IL29" s="425"/>
      <c r="IM29" s="425"/>
      <c r="IN29" s="425"/>
      <c r="IO29" s="425"/>
      <c r="IP29" s="425"/>
      <c r="IQ29" s="425"/>
      <c r="IR29" s="425"/>
      <c r="IS29" s="425"/>
      <c r="IT29" s="425"/>
      <c r="IU29" s="425"/>
      <c r="IV29" s="425"/>
      <c r="IW29" s="425"/>
      <c r="IX29" s="425"/>
      <c r="IY29" s="425"/>
      <c r="IZ29" s="425"/>
    </row>
    <row r="30" spans="1:260" ht="25.5" customHeight="1">
      <c r="A30" s="428"/>
      <c r="B30" s="424"/>
      <c r="C30" s="424"/>
      <c r="D30" s="314"/>
      <c r="E30" s="314"/>
      <c r="F30" s="312"/>
      <c r="G30" s="312"/>
      <c r="H30" s="312"/>
      <c r="I30" s="316"/>
      <c r="J30" s="316"/>
      <c r="K30" s="767" t="s">
        <v>342</v>
      </c>
      <c r="L30" s="768"/>
      <c r="M30" s="745" t="s">
        <v>199</v>
      </c>
      <c r="N30" s="757" t="s">
        <v>200</v>
      </c>
      <c r="O30" s="758"/>
      <c r="P30" s="767" t="s">
        <v>198</v>
      </c>
      <c r="Q30" s="768"/>
      <c r="R30" s="424"/>
      <c r="S30" s="314"/>
      <c r="AB30" s="425"/>
      <c r="AC30" s="425"/>
      <c r="AD30" s="425"/>
      <c r="AE30" s="425"/>
      <c r="AF30" s="425"/>
      <c r="AG30" s="425"/>
      <c r="AH30" s="425"/>
      <c r="AI30" s="425"/>
      <c r="AJ30" s="425"/>
      <c r="AK30" s="425"/>
      <c r="AL30" s="425"/>
      <c r="AM30" s="425"/>
      <c r="AN30" s="425"/>
      <c r="AO30" s="425"/>
      <c r="AP30" s="425"/>
      <c r="AQ30" s="425"/>
      <c r="AR30" s="425"/>
      <c r="AS30" s="425"/>
      <c r="AT30" s="425"/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25"/>
      <c r="BF30" s="425"/>
      <c r="BG30" s="425"/>
      <c r="BH30" s="425"/>
      <c r="BI30" s="425"/>
      <c r="BJ30" s="425"/>
      <c r="BK30" s="425"/>
      <c r="BL30" s="425"/>
      <c r="BM30" s="425"/>
      <c r="BN30" s="425"/>
      <c r="BO30" s="425"/>
      <c r="BP30" s="425"/>
      <c r="BQ30" s="425"/>
      <c r="BR30" s="425"/>
      <c r="BS30" s="425"/>
      <c r="BT30" s="425"/>
      <c r="BU30" s="425"/>
      <c r="BV30" s="425"/>
      <c r="BW30" s="425"/>
      <c r="BX30" s="425"/>
      <c r="BY30" s="425"/>
      <c r="BZ30" s="425"/>
      <c r="CA30" s="425"/>
      <c r="CB30" s="425"/>
      <c r="CC30" s="425"/>
      <c r="CD30" s="425"/>
      <c r="CE30" s="425"/>
      <c r="CF30" s="425"/>
      <c r="CG30" s="425"/>
      <c r="CH30" s="425"/>
      <c r="CI30" s="425"/>
      <c r="CJ30" s="425"/>
      <c r="CK30" s="425"/>
      <c r="CL30" s="425"/>
      <c r="CM30" s="425"/>
      <c r="CN30" s="425"/>
      <c r="CO30" s="425"/>
      <c r="CP30" s="425"/>
      <c r="CQ30" s="425"/>
      <c r="CR30" s="425"/>
      <c r="CS30" s="425"/>
      <c r="CT30" s="425"/>
      <c r="CU30" s="425"/>
      <c r="CV30" s="425"/>
      <c r="CW30" s="425"/>
      <c r="CX30" s="425"/>
      <c r="CY30" s="425"/>
      <c r="CZ30" s="425"/>
      <c r="DA30" s="425"/>
      <c r="DB30" s="425"/>
      <c r="DC30" s="425"/>
      <c r="DD30" s="425"/>
      <c r="DE30" s="425"/>
      <c r="DF30" s="425"/>
      <c r="DG30" s="425"/>
      <c r="DH30" s="425"/>
      <c r="DI30" s="425"/>
      <c r="DJ30" s="425"/>
      <c r="DK30" s="425"/>
      <c r="DL30" s="425"/>
      <c r="DM30" s="425"/>
      <c r="DN30" s="425"/>
      <c r="DO30" s="425"/>
      <c r="DP30" s="425"/>
      <c r="DQ30" s="425"/>
      <c r="DR30" s="425"/>
      <c r="DS30" s="425"/>
      <c r="DT30" s="425"/>
      <c r="DU30" s="425"/>
      <c r="DV30" s="425"/>
      <c r="DW30" s="425"/>
      <c r="DX30" s="425"/>
      <c r="DY30" s="425"/>
      <c r="DZ30" s="425"/>
      <c r="EA30" s="425"/>
      <c r="EB30" s="425"/>
      <c r="EC30" s="425"/>
      <c r="ED30" s="425"/>
      <c r="EE30" s="425"/>
      <c r="EF30" s="425"/>
      <c r="EG30" s="425"/>
      <c r="EH30" s="425"/>
      <c r="EI30" s="425"/>
      <c r="EJ30" s="425"/>
      <c r="EK30" s="425"/>
      <c r="EL30" s="425"/>
      <c r="EM30" s="425"/>
      <c r="EN30" s="425"/>
      <c r="EO30" s="425"/>
      <c r="EP30" s="425"/>
      <c r="EQ30" s="425"/>
      <c r="ER30" s="425"/>
      <c r="ES30" s="425"/>
      <c r="ET30" s="425"/>
      <c r="EU30" s="425"/>
      <c r="EV30" s="425"/>
      <c r="EW30" s="425"/>
      <c r="EX30" s="425"/>
      <c r="EY30" s="425"/>
      <c r="EZ30" s="425"/>
      <c r="FA30" s="425"/>
      <c r="FB30" s="425"/>
      <c r="FC30" s="425"/>
      <c r="FD30" s="425"/>
      <c r="FE30" s="425"/>
      <c r="FF30" s="425"/>
      <c r="FG30" s="425"/>
      <c r="FH30" s="425"/>
      <c r="FI30" s="425"/>
      <c r="FJ30" s="425"/>
      <c r="FK30" s="425"/>
      <c r="FL30" s="425"/>
      <c r="FM30" s="425"/>
      <c r="FN30" s="425"/>
      <c r="FO30" s="425"/>
      <c r="FP30" s="425"/>
      <c r="FQ30" s="425"/>
      <c r="FR30" s="425"/>
      <c r="FS30" s="425"/>
      <c r="FT30" s="425"/>
      <c r="FU30" s="425"/>
      <c r="FV30" s="425"/>
      <c r="FW30" s="425"/>
      <c r="FX30" s="425"/>
      <c r="FY30" s="425"/>
      <c r="FZ30" s="425"/>
      <c r="GA30" s="425"/>
      <c r="GB30" s="425"/>
      <c r="GC30" s="425"/>
      <c r="GD30" s="425"/>
      <c r="GE30" s="425"/>
      <c r="GF30" s="425"/>
      <c r="GG30" s="425"/>
      <c r="GH30" s="425"/>
      <c r="GI30" s="425"/>
      <c r="GJ30" s="425"/>
      <c r="GK30" s="425"/>
      <c r="GL30" s="425"/>
      <c r="GM30" s="425"/>
      <c r="GN30" s="425"/>
      <c r="GO30" s="425"/>
      <c r="GP30" s="425"/>
      <c r="GQ30" s="425"/>
      <c r="GR30" s="425"/>
      <c r="GS30" s="425"/>
      <c r="GT30" s="425"/>
      <c r="GU30" s="425"/>
      <c r="GV30" s="425"/>
      <c r="GW30" s="425"/>
      <c r="GX30" s="425"/>
      <c r="GY30" s="425"/>
      <c r="GZ30" s="425"/>
      <c r="HA30" s="425"/>
      <c r="HB30" s="425"/>
      <c r="HC30" s="425"/>
      <c r="HD30" s="425"/>
      <c r="HE30" s="425"/>
      <c r="HF30" s="425"/>
      <c r="HG30" s="425"/>
      <c r="HH30" s="425"/>
      <c r="HI30" s="425"/>
      <c r="HJ30" s="425"/>
      <c r="HK30" s="425"/>
      <c r="HL30" s="425"/>
      <c r="HM30" s="425"/>
      <c r="HN30" s="425"/>
      <c r="HO30" s="425"/>
      <c r="HP30" s="425"/>
      <c r="HQ30" s="425"/>
      <c r="HR30" s="425"/>
      <c r="HS30" s="425"/>
      <c r="HT30" s="425"/>
      <c r="HU30" s="425"/>
      <c r="HV30" s="425"/>
      <c r="HW30" s="425"/>
      <c r="HX30" s="425"/>
      <c r="HY30" s="425"/>
      <c r="HZ30" s="425"/>
      <c r="IA30" s="425"/>
      <c r="IB30" s="425"/>
      <c r="IC30" s="425"/>
      <c r="ID30" s="425"/>
      <c r="IE30" s="425"/>
      <c r="IF30" s="425"/>
      <c r="IG30" s="425"/>
      <c r="IH30" s="425"/>
      <c r="II30" s="425"/>
      <c r="IJ30" s="425"/>
      <c r="IK30" s="425"/>
      <c r="IL30" s="425"/>
      <c r="IM30" s="425"/>
      <c r="IN30" s="425"/>
      <c r="IO30" s="425"/>
      <c r="IP30" s="425"/>
      <c r="IQ30" s="425"/>
      <c r="IR30" s="425"/>
      <c r="IS30" s="425"/>
      <c r="IT30" s="425"/>
      <c r="IU30" s="425"/>
      <c r="IV30" s="425"/>
      <c r="IW30" s="425"/>
      <c r="IX30" s="425"/>
      <c r="IY30" s="425"/>
      <c r="IZ30" s="425"/>
    </row>
    <row r="31" spans="1:260" ht="16.5" customHeight="1">
      <c r="A31" s="428"/>
      <c r="B31" s="432"/>
      <c r="C31" s="424"/>
      <c r="D31" s="314"/>
      <c r="E31" s="314"/>
      <c r="F31" s="312"/>
      <c r="G31" s="312"/>
      <c r="H31" s="312"/>
      <c r="I31" s="316"/>
      <c r="J31" s="316"/>
      <c r="K31" s="769"/>
      <c r="L31" s="770"/>
      <c r="M31" s="747"/>
      <c r="N31" s="484" t="s">
        <v>343</v>
      </c>
      <c r="O31" s="484" t="s">
        <v>206</v>
      </c>
      <c r="P31" s="771"/>
      <c r="Q31" s="772"/>
      <c r="R31" s="424"/>
      <c r="S31" s="314"/>
      <c r="AB31" s="425"/>
      <c r="AC31" s="425"/>
      <c r="AD31" s="425"/>
      <c r="AE31" s="425"/>
      <c r="AF31" s="425"/>
      <c r="AG31" s="425"/>
      <c r="AH31" s="425"/>
      <c r="AI31" s="425"/>
      <c r="AJ31" s="425"/>
      <c r="AK31" s="425"/>
      <c r="AL31" s="425"/>
      <c r="AM31" s="425"/>
      <c r="AN31" s="425"/>
      <c r="AO31" s="425"/>
      <c r="AP31" s="425"/>
      <c r="AQ31" s="425"/>
      <c r="AR31" s="425"/>
      <c r="AS31" s="425"/>
      <c r="AT31" s="425"/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25"/>
      <c r="BF31" s="425"/>
      <c r="BG31" s="425"/>
      <c r="BH31" s="425"/>
      <c r="BI31" s="425"/>
      <c r="BJ31" s="425"/>
      <c r="BK31" s="425"/>
      <c r="BL31" s="425"/>
      <c r="BM31" s="425"/>
      <c r="BN31" s="425"/>
      <c r="BO31" s="425"/>
      <c r="BP31" s="425"/>
      <c r="BQ31" s="425"/>
      <c r="BR31" s="425"/>
      <c r="BS31" s="425"/>
      <c r="BT31" s="425"/>
      <c r="BU31" s="425"/>
      <c r="BV31" s="425"/>
      <c r="BW31" s="425"/>
      <c r="BX31" s="425"/>
      <c r="BY31" s="425"/>
      <c r="BZ31" s="425"/>
      <c r="CA31" s="425"/>
      <c r="CB31" s="425"/>
      <c r="CC31" s="425"/>
      <c r="CD31" s="425"/>
      <c r="CE31" s="425"/>
      <c r="CF31" s="425"/>
      <c r="CG31" s="425"/>
      <c r="CH31" s="425"/>
      <c r="CI31" s="425"/>
      <c r="CJ31" s="425"/>
      <c r="CK31" s="425"/>
      <c r="CL31" s="425"/>
      <c r="CM31" s="425"/>
      <c r="CN31" s="425"/>
      <c r="CO31" s="425"/>
      <c r="CP31" s="425"/>
      <c r="CQ31" s="425"/>
      <c r="CR31" s="425"/>
      <c r="CS31" s="425"/>
      <c r="CT31" s="425"/>
      <c r="CU31" s="425"/>
      <c r="CV31" s="425"/>
      <c r="CW31" s="425"/>
      <c r="CX31" s="425"/>
      <c r="CY31" s="425"/>
      <c r="CZ31" s="425"/>
      <c r="DA31" s="425"/>
      <c r="DB31" s="425"/>
      <c r="DC31" s="425"/>
      <c r="DD31" s="425"/>
      <c r="DE31" s="425"/>
      <c r="DF31" s="425"/>
      <c r="DG31" s="425"/>
      <c r="DH31" s="425"/>
      <c r="DI31" s="425"/>
      <c r="DJ31" s="425"/>
      <c r="DK31" s="425"/>
      <c r="DL31" s="425"/>
      <c r="DM31" s="425"/>
      <c r="DN31" s="425"/>
      <c r="DO31" s="425"/>
      <c r="DP31" s="425"/>
      <c r="DQ31" s="425"/>
      <c r="DR31" s="425"/>
      <c r="DS31" s="425"/>
      <c r="DT31" s="425"/>
      <c r="DU31" s="425"/>
      <c r="DV31" s="425"/>
      <c r="DW31" s="425"/>
      <c r="DX31" s="425"/>
      <c r="DY31" s="425"/>
      <c r="DZ31" s="425"/>
      <c r="EA31" s="425"/>
      <c r="EB31" s="425"/>
      <c r="EC31" s="425"/>
      <c r="ED31" s="425"/>
      <c r="EE31" s="425"/>
      <c r="EF31" s="425"/>
      <c r="EG31" s="425"/>
      <c r="EH31" s="425"/>
      <c r="EI31" s="425"/>
      <c r="EJ31" s="425"/>
      <c r="EK31" s="425"/>
      <c r="EL31" s="425"/>
      <c r="EM31" s="425"/>
      <c r="EN31" s="425"/>
      <c r="EO31" s="425"/>
      <c r="EP31" s="425"/>
      <c r="EQ31" s="425"/>
      <c r="ER31" s="425"/>
      <c r="ES31" s="425"/>
      <c r="ET31" s="425"/>
      <c r="EU31" s="425"/>
      <c r="EV31" s="425"/>
      <c r="EW31" s="425"/>
      <c r="EX31" s="425"/>
      <c r="EY31" s="425"/>
      <c r="EZ31" s="425"/>
      <c r="FA31" s="425"/>
      <c r="FB31" s="425"/>
      <c r="FC31" s="425"/>
      <c r="FD31" s="425"/>
      <c r="FE31" s="425"/>
      <c r="FF31" s="425"/>
      <c r="FG31" s="425"/>
      <c r="FH31" s="425"/>
      <c r="FI31" s="425"/>
      <c r="FJ31" s="425"/>
      <c r="FK31" s="425"/>
      <c r="FL31" s="425"/>
      <c r="FM31" s="425"/>
      <c r="FN31" s="425"/>
      <c r="FO31" s="425"/>
      <c r="FP31" s="425"/>
      <c r="FQ31" s="425"/>
      <c r="FR31" s="425"/>
      <c r="FS31" s="425"/>
      <c r="FT31" s="425"/>
      <c r="FU31" s="425"/>
      <c r="FV31" s="425"/>
      <c r="FW31" s="425"/>
      <c r="FX31" s="425"/>
      <c r="FY31" s="425"/>
      <c r="FZ31" s="425"/>
      <c r="GA31" s="425"/>
      <c r="GB31" s="425"/>
      <c r="GC31" s="425"/>
      <c r="GD31" s="425"/>
      <c r="GE31" s="425"/>
      <c r="GF31" s="425"/>
      <c r="GG31" s="425"/>
      <c r="GH31" s="425"/>
      <c r="GI31" s="425"/>
      <c r="GJ31" s="425"/>
      <c r="GK31" s="425"/>
      <c r="GL31" s="425"/>
      <c r="GM31" s="425"/>
      <c r="GN31" s="425"/>
      <c r="GO31" s="425"/>
      <c r="GP31" s="425"/>
      <c r="GQ31" s="425"/>
      <c r="GR31" s="425"/>
      <c r="GS31" s="425"/>
      <c r="GT31" s="425"/>
      <c r="GU31" s="425"/>
      <c r="GV31" s="425"/>
      <c r="GW31" s="425"/>
      <c r="GX31" s="425"/>
      <c r="GY31" s="425"/>
      <c r="GZ31" s="425"/>
      <c r="HA31" s="425"/>
      <c r="HB31" s="425"/>
      <c r="HC31" s="425"/>
      <c r="HD31" s="425"/>
      <c r="HE31" s="425"/>
      <c r="HF31" s="425"/>
      <c r="HG31" s="425"/>
      <c r="HH31" s="425"/>
      <c r="HI31" s="425"/>
      <c r="HJ31" s="425"/>
      <c r="HK31" s="425"/>
      <c r="HL31" s="425"/>
      <c r="HM31" s="425"/>
      <c r="HN31" s="425"/>
      <c r="HO31" s="425"/>
      <c r="HP31" s="425"/>
      <c r="HQ31" s="425"/>
      <c r="HR31" s="425"/>
      <c r="HS31" s="425"/>
      <c r="HT31" s="425"/>
      <c r="HU31" s="425"/>
      <c r="HV31" s="425"/>
      <c r="HW31" s="425"/>
      <c r="HX31" s="425"/>
      <c r="HY31" s="425"/>
      <c r="HZ31" s="425"/>
      <c r="IA31" s="425"/>
      <c r="IB31" s="425"/>
      <c r="IC31" s="425"/>
      <c r="ID31" s="425"/>
      <c r="IE31" s="425"/>
      <c r="IF31" s="425"/>
      <c r="IG31" s="425"/>
      <c r="IH31" s="425"/>
      <c r="II31" s="425"/>
      <c r="IJ31" s="425"/>
      <c r="IK31" s="425"/>
      <c r="IL31" s="425"/>
      <c r="IM31" s="425"/>
      <c r="IN31" s="425"/>
      <c r="IO31" s="425"/>
      <c r="IP31" s="425"/>
      <c r="IQ31" s="425"/>
      <c r="IR31" s="425"/>
      <c r="IS31" s="425"/>
      <c r="IT31" s="425"/>
      <c r="IU31" s="425"/>
      <c r="IV31" s="425"/>
      <c r="IW31" s="425"/>
      <c r="IX31" s="425"/>
      <c r="IY31" s="425"/>
      <c r="IZ31" s="425"/>
    </row>
    <row r="32" spans="1:260" ht="15.75" customHeight="1">
      <c r="A32" s="428"/>
      <c r="B32" s="432"/>
      <c r="C32" s="424"/>
      <c r="D32" s="314"/>
      <c r="E32" s="314"/>
      <c r="F32" s="312"/>
      <c r="G32" s="312"/>
      <c r="H32" s="312"/>
      <c r="I32" s="316"/>
      <c r="J32" s="316"/>
      <c r="K32" s="757" t="s">
        <v>212</v>
      </c>
      <c r="L32" s="758"/>
      <c r="M32" s="485">
        <f>10*55000</f>
        <v>550000</v>
      </c>
      <c r="N32" s="486">
        <v>27910</v>
      </c>
      <c r="O32" s="487">
        <f>10*2*N32</f>
        <v>558200</v>
      </c>
      <c r="P32" s="759"/>
      <c r="Q32" s="759"/>
      <c r="R32" s="424"/>
      <c r="S32" s="314"/>
      <c r="AB32" s="425"/>
      <c r="AC32" s="425"/>
      <c r="AD32" s="425"/>
      <c r="AE32" s="425"/>
      <c r="AF32" s="425"/>
      <c r="AG32" s="425"/>
      <c r="AH32" s="425"/>
      <c r="AI32" s="425"/>
      <c r="AJ32" s="425"/>
      <c r="AK32" s="425"/>
      <c r="AL32" s="425"/>
      <c r="AM32" s="425"/>
      <c r="AN32" s="425"/>
      <c r="AO32" s="425"/>
      <c r="AP32" s="425"/>
      <c r="AQ32" s="425"/>
      <c r="AR32" s="425"/>
      <c r="AS32" s="425"/>
      <c r="AT32" s="425"/>
      <c r="AU32" s="425"/>
      <c r="AV32" s="425"/>
      <c r="AW32" s="425"/>
      <c r="AX32" s="425"/>
      <c r="AY32" s="425"/>
      <c r="AZ32" s="425"/>
      <c r="BA32" s="425"/>
      <c r="BB32" s="425"/>
      <c r="BC32" s="425"/>
      <c r="BD32" s="425"/>
      <c r="BE32" s="425"/>
      <c r="BF32" s="425"/>
      <c r="BG32" s="425"/>
      <c r="BH32" s="425"/>
      <c r="BI32" s="425"/>
      <c r="BJ32" s="425"/>
      <c r="BK32" s="425"/>
      <c r="BL32" s="425"/>
      <c r="BM32" s="425"/>
      <c r="BN32" s="425"/>
      <c r="BO32" s="425"/>
      <c r="BP32" s="425"/>
      <c r="BQ32" s="425"/>
      <c r="BR32" s="425"/>
      <c r="BS32" s="425"/>
      <c r="BT32" s="425"/>
      <c r="BU32" s="425"/>
      <c r="BV32" s="425"/>
      <c r="BW32" s="425"/>
      <c r="BX32" s="425"/>
      <c r="BY32" s="425"/>
      <c r="BZ32" s="425"/>
      <c r="CA32" s="425"/>
      <c r="CB32" s="425"/>
      <c r="CC32" s="425"/>
      <c r="CD32" s="425"/>
      <c r="CE32" s="425"/>
      <c r="CF32" s="425"/>
      <c r="CG32" s="425"/>
      <c r="CH32" s="425"/>
      <c r="CI32" s="425"/>
      <c r="CJ32" s="425"/>
      <c r="CK32" s="425"/>
      <c r="CL32" s="425"/>
      <c r="CM32" s="425"/>
      <c r="CN32" s="425"/>
      <c r="CO32" s="425"/>
      <c r="CP32" s="425"/>
      <c r="CQ32" s="425"/>
      <c r="CR32" s="425"/>
      <c r="CS32" s="425"/>
      <c r="CT32" s="425"/>
      <c r="CU32" s="425"/>
      <c r="CV32" s="425"/>
      <c r="CW32" s="425"/>
      <c r="CX32" s="425"/>
      <c r="CY32" s="425"/>
      <c r="CZ32" s="425"/>
      <c r="DA32" s="425"/>
      <c r="DB32" s="425"/>
      <c r="DC32" s="425"/>
      <c r="DD32" s="425"/>
      <c r="DE32" s="425"/>
      <c r="DF32" s="425"/>
      <c r="DG32" s="425"/>
      <c r="DH32" s="425"/>
      <c r="DI32" s="425"/>
      <c r="DJ32" s="425"/>
      <c r="DK32" s="425"/>
      <c r="DL32" s="425"/>
      <c r="DM32" s="425"/>
      <c r="DN32" s="425"/>
      <c r="DO32" s="425"/>
      <c r="DP32" s="425"/>
      <c r="DQ32" s="425"/>
      <c r="DR32" s="425"/>
      <c r="DS32" s="425"/>
      <c r="DT32" s="425"/>
      <c r="DU32" s="425"/>
      <c r="DV32" s="425"/>
      <c r="DW32" s="425"/>
      <c r="DX32" s="425"/>
      <c r="DY32" s="425"/>
      <c r="DZ32" s="425"/>
      <c r="EA32" s="425"/>
      <c r="EB32" s="425"/>
      <c r="EC32" s="425"/>
      <c r="ED32" s="425"/>
      <c r="EE32" s="425"/>
      <c r="EF32" s="425"/>
      <c r="EG32" s="425"/>
      <c r="EH32" s="425"/>
      <c r="EI32" s="425"/>
      <c r="EJ32" s="425"/>
      <c r="EK32" s="425"/>
      <c r="EL32" s="425"/>
      <c r="EM32" s="425"/>
      <c r="EN32" s="425"/>
      <c r="EO32" s="425"/>
      <c r="EP32" s="425"/>
      <c r="EQ32" s="425"/>
      <c r="ER32" s="425"/>
      <c r="ES32" s="425"/>
      <c r="ET32" s="425"/>
      <c r="EU32" s="425"/>
      <c r="EV32" s="425"/>
      <c r="EW32" s="425"/>
      <c r="EX32" s="425"/>
      <c r="EY32" s="425"/>
      <c r="EZ32" s="425"/>
      <c r="FA32" s="425"/>
      <c r="FB32" s="425"/>
      <c r="FC32" s="425"/>
      <c r="FD32" s="425"/>
      <c r="FE32" s="425"/>
      <c r="FF32" s="425"/>
      <c r="FG32" s="425"/>
      <c r="FH32" s="425"/>
      <c r="FI32" s="425"/>
      <c r="FJ32" s="425"/>
      <c r="FK32" s="425"/>
      <c r="FL32" s="425"/>
      <c r="FM32" s="425"/>
      <c r="FN32" s="425"/>
      <c r="FO32" s="425"/>
      <c r="FP32" s="425"/>
      <c r="FQ32" s="425"/>
      <c r="FR32" s="425"/>
      <c r="FS32" s="425"/>
      <c r="FT32" s="425"/>
      <c r="FU32" s="425"/>
      <c r="FV32" s="425"/>
      <c r="FW32" s="425"/>
      <c r="FX32" s="425"/>
      <c r="FY32" s="425"/>
      <c r="FZ32" s="425"/>
      <c r="GA32" s="425"/>
      <c r="GB32" s="425"/>
      <c r="GC32" s="425"/>
      <c r="GD32" s="425"/>
      <c r="GE32" s="425"/>
      <c r="GF32" s="425"/>
      <c r="GG32" s="425"/>
      <c r="GH32" s="425"/>
      <c r="GI32" s="425"/>
      <c r="GJ32" s="425"/>
      <c r="GK32" s="425"/>
      <c r="GL32" s="425"/>
      <c r="GM32" s="425"/>
      <c r="GN32" s="425"/>
      <c r="GO32" s="425"/>
      <c r="GP32" s="425"/>
      <c r="GQ32" s="425"/>
      <c r="GR32" s="425"/>
      <c r="GS32" s="425"/>
      <c r="GT32" s="425"/>
      <c r="GU32" s="425"/>
      <c r="GV32" s="425"/>
      <c r="GW32" s="425"/>
      <c r="GX32" s="425"/>
      <c r="GY32" s="425"/>
      <c r="GZ32" s="425"/>
      <c r="HA32" s="425"/>
      <c r="HB32" s="425"/>
      <c r="HC32" s="425"/>
      <c r="HD32" s="425"/>
      <c r="HE32" s="425"/>
      <c r="HF32" s="425"/>
      <c r="HG32" s="425"/>
      <c r="HH32" s="425"/>
      <c r="HI32" s="425"/>
      <c r="HJ32" s="425"/>
      <c r="HK32" s="425"/>
      <c r="HL32" s="425"/>
      <c r="HM32" s="425"/>
      <c r="HN32" s="425"/>
      <c r="HO32" s="425"/>
      <c r="HP32" s="425"/>
      <c r="HQ32" s="425"/>
      <c r="HR32" s="425"/>
      <c r="HS32" s="425"/>
      <c r="HT32" s="425"/>
      <c r="HU32" s="425"/>
      <c r="HV32" s="425"/>
      <c r="HW32" s="425"/>
      <c r="HX32" s="425"/>
      <c r="HY32" s="425"/>
      <c r="HZ32" s="425"/>
      <c r="IA32" s="425"/>
      <c r="IB32" s="425"/>
      <c r="IC32" s="425"/>
      <c r="ID32" s="425"/>
      <c r="IE32" s="425"/>
      <c r="IF32" s="425"/>
      <c r="IG32" s="425"/>
      <c r="IH32" s="425"/>
      <c r="II32" s="425"/>
      <c r="IJ32" s="425"/>
      <c r="IK32" s="425"/>
      <c r="IL32" s="425"/>
      <c r="IM32" s="425"/>
      <c r="IN32" s="425"/>
      <c r="IO32" s="425"/>
      <c r="IP32" s="425"/>
      <c r="IQ32" s="425"/>
      <c r="IR32" s="425"/>
      <c r="IS32" s="425"/>
      <c r="IT32" s="425"/>
      <c r="IU32" s="425"/>
      <c r="IV32" s="425"/>
      <c r="IW32" s="425"/>
      <c r="IX32" s="425"/>
      <c r="IY32" s="425"/>
      <c r="IZ32" s="425"/>
    </row>
    <row r="33" spans="1:260" ht="24.75" customHeight="1">
      <c r="A33" s="428"/>
      <c r="B33" s="432"/>
      <c r="C33" s="424"/>
      <c r="D33" s="314"/>
      <c r="E33" s="314"/>
      <c r="F33" s="312"/>
      <c r="G33" s="312"/>
      <c r="H33" s="312"/>
      <c r="I33" s="316"/>
      <c r="J33" s="316"/>
      <c r="K33" s="745" t="s">
        <v>213</v>
      </c>
      <c r="L33" s="745" t="s">
        <v>344</v>
      </c>
      <c r="M33" s="760">
        <f>2500*770</f>
        <v>1925000</v>
      </c>
      <c r="N33" s="486">
        <f>$N$32</f>
        <v>27910</v>
      </c>
      <c r="O33" s="487">
        <f>(770*13/100)*N33</f>
        <v>2793791</v>
      </c>
      <c r="P33" s="753" t="s">
        <v>214</v>
      </c>
      <c r="Q33" s="754"/>
      <c r="R33" s="488"/>
      <c r="S33" s="314"/>
      <c r="AB33" s="425"/>
      <c r="AC33" s="425"/>
      <c r="AD33" s="425"/>
      <c r="AE33" s="425"/>
      <c r="AF33" s="425"/>
      <c r="AG33" s="425"/>
      <c r="AH33" s="425"/>
      <c r="AI33" s="425"/>
      <c r="AJ33" s="425"/>
      <c r="AK33" s="425"/>
      <c r="AL33" s="425"/>
      <c r="AM33" s="425"/>
      <c r="AN33" s="425"/>
      <c r="AO33" s="425"/>
      <c r="AP33" s="425"/>
      <c r="AQ33" s="425"/>
      <c r="AR33" s="425"/>
      <c r="AS33" s="425"/>
      <c r="AT33" s="425"/>
      <c r="AU33" s="425"/>
      <c r="AV33" s="425"/>
      <c r="AW33" s="425"/>
      <c r="AX33" s="425"/>
      <c r="AY33" s="425"/>
      <c r="AZ33" s="425"/>
      <c r="BA33" s="425"/>
      <c r="BB33" s="425"/>
      <c r="BC33" s="425"/>
      <c r="BD33" s="425"/>
      <c r="BE33" s="425"/>
      <c r="BF33" s="425"/>
      <c r="BG33" s="425"/>
      <c r="BH33" s="425"/>
      <c r="BI33" s="425"/>
      <c r="BJ33" s="425"/>
      <c r="BK33" s="425"/>
      <c r="BL33" s="425"/>
      <c r="BM33" s="425"/>
      <c r="BN33" s="425"/>
      <c r="BO33" s="425"/>
      <c r="BP33" s="425"/>
      <c r="BQ33" s="425"/>
      <c r="BR33" s="425"/>
      <c r="BS33" s="425"/>
      <c r="BT33" s="425"/>
      <c r="BU33" s="425"/>
      <c r="BV33" s="425"/>
      <c r="BW33" s="425"/>
      <c r="BX33" s="425"/>
      <c r="BY33" s="425"/>
      <c r="BZ33" s="425"/>
      <c r="CA33" s="425"/>
      <c r="CB33" s="425"/>
      <c r="CC33" s="425"/>
      <c r="CD33" s="425"/>
      <c r="CE33" s="425"/>
      <c r="CF33" s="425"/>
      <c r="CG33" s="425"/>
      <c r="CH33" s="425"/>
      <c r="CI33" s="425"/>
      <c r="CJ33" s="425"/>
      <c r="CK33" s="425"/>
      <c r="CL33" s="425"/>
      <c r="CM33" s="425"/>
      <c r="CN33" s="425"/>
      <c r="CO33" s="425"/>
      <c r="CP33" s="425"/>
      <c r="CQ33" s="425"/>
      <c r="CR33" s="425"/>
      <c r="CS33" s="425"/>
      <c r="CT33" s="425"/>
      <c r="CU33" s="425"/>
      <c r="CV33" s="425"/>
      <c r="CW33" s="425"/>
      <c r="CX33" s="425"/>
      <c r="CY33" s="425"/>
      <c r="CZ33" s="425"/>
      <c r="DA33" s="425"/>
      <c r="DB33" s="425"/>
      <c r="DC33" s="425"/>
      <c r="DD33" s="425"/>
      <c r="DE33" s="425"/>
      <c r="DF33" s="425"/>
      <c r="DG33" s="425"/>
      <c r="DH33" s="425"/>
      <c r="DI33" s="425"/>
      <c r="DJ33" s="425"/>
      <c r="DK33" s="425"/>
      <c r="DL33" s="425"/>
      <c r="DM33" s="425"/>
      <c r="DN33" s="425"/>
      <c r="DO33" s="425"/>
      <c r="DP33" s="425"/>
      <c r="DQ33" s="425"/>
      <c r="DR33" s="425"/>
      <c r="DS33" s="425"/>
      <c r="DT33" s="425"/>
      <c r="DU33" s="425"/>
      <c r="DV33" s="425"/>
      <c r="DW33" s="425"/>
      <c r="DX33" s="425"/>
      <c r="DY33" s="425"/>
      <c r="DZ33" s="425"/>
      <c r="EA33" s="425"/>
      <c r="EB33" s="425"/>
      <c r="EC33" s="425"/>
      <c r="ED33" s="425"/>
      <c r="EE33" s="425"/>
      <c r="EF33" s="425"/>
      <c r="EG33" s="425"/>
      <c r="EH33" s="425"/>
      <c r="EI33" s="425"/>
      <c r="EJ33" s="425"/>
      <c r="EK33" s="425"/>
      <c r="EL33" s="425"/>
      <c r="EM33" s="425"/>
      <c r="EN33" s="425"/>
      <c r="EO33" s="425"/>
      <c r="EP33" s="425"/>
      <c r="EQ33" s="425"/>
      <c r="ER33" s="425"/>
      <c r="ES33" s="425"/>
      <c r="ET33" s="425"/>
      <c r="EU33" s="425"/>
      <c r="EV33" s="425"/>
      <c r="EW33" s="425"/>
      <c r="EX33" s="425"/>
      <c r="EY33" s="425"/>
      <c r="EZ33" s="425"/>
      <c r="FA33" s="425"/>
      <c r="FB33" s="425"/>
      <c r="FC33" s="425"/>
      <c r="FD33" s="425"/>
      <c r="FE33" s="425"/>
      <c r="FF33" s="425"/>
      <c r="FG33" s="425"/>
      <c r="FH33" s="425"/>
      <c r="FI33" s="425"/>
      <c r="FJ33" s="425"/>
      <c r="FK33" s="425"/>
      <c r="FL33" s="425"/>
      <c r="FM33" s="425"/>
      <c r="FN33" s="425"/>
      <c r="FO33" s="425"/>
      <c r="FP33" s="425"/>
      <c r="FQ33" s="425"/>
      <c r="FR33" s="425"/>
      <c r="FS33" s="425"/>
      <c r="FT33" s="425"/>
      <c r="FU33" s="425"/>
      <c r="FV33" s="425"/>
      <c r="FW33" s="425"/>
      <c r="FX33" s="425"/>
      <c r="FY33" s="425"/>
      <c r="FZ33" s="425"/>
      <c r="GA33" s="425"/>
      <c r="GB33" s="425"/>
      <c r="GC33" s="425"/>
      <c r="GD33" s="425"/>
      <c r="GE33" s="425"/>
      <c r="GF33" s="425"/>
      <c r="GG33" s="425"/>
      <c r="GH33" s="425"/>
      <c r="GI33" s="425"/>
      <c r="GJ33" s="425"/>
      <c r="GK33" s="425"/>
      <c r="GL33" s="425"/>
      <c r="GM33" s="425"/>
      <c r="GN33" s="425"/>
      <c r="GO33" s="425"/>
      <c r="GP33" s="425"/>
      <c r="GQ33" s="425"/>
      <c r="GR33" s="425"/>
      <c r="GS33" s="425"/>
      <c r="GT33" s="425"/>
      <c r="GU33" s="425"/>
      <c r="GV33" s="425"/>
      <c r="GW33" s="425"/>
      <c r="GX33" s="425"/>
      <c r="GY33" s="425"/>
      <c r="GZ33" s="425"/>
      <c r="HA33" s="425"/>
      <c r="HB33" s="425"/>
      <c r="HC33" s="425"/>
      <c r="HD33" s="425"/>
      <c r="HE33" s="425"/>
      <c r="HF33" s="425"/>
      <c r="HG33" s="425"/>
      <c r="HH33" s="425"/>
      <c r="HI33" s="425"/>
      <c r="HJ33" s="425"/>
      <c r="HK33" s="425"/>
      <c r="HL33" s="425"/>
      <c r="HM33" s="425"/>
      <c r="HN33" s="425"/>
      <c r="HO33" s="425"/>
      <c r="HP33" s="425"/>
      <c r="HQ33" s="425"/>
      <c r="HR33" s="425"/>
      <c r="HS33" s="425"/>
      <c r="HT33" s="425"/>
      <c r="HU33" s="425"/>
      <c r="HV33" s="425"/>
      <c r="HW33" s="425"/>
      <c r="HX33" s="425"/>
      <c r="HY33" s="425"/>
      <c r="HZ33" s="425"/>
      <c r="IA33" s="425"/>
      <c r="IB33" s="425"/>
      <c r="IC33" s="425"/>
      <c r="ID33" s="425"/>
      <c r="IE33" s="425"/>
      <c r="IF33" s="425"/>
      <c r="IG33" s="425"/>
      <c r="IH33" s="425"/>
      <c r="II33" s="425"/>
      <c r="IJ33" s="425"/>
      <c r="IK33" s="425"/>
      <c r="IL33" s="425"/>
      <c r="IM33" s="425"/>
      <c r="IN33" s="425"/>
      <c r="IO33" s="425"/>
      <c r="IP33" s="425"/>
      <c r="IQ33" s="425"/>
      <c r="IR33" s="425"/>
      <c r="IS33" s="425"/>
      <c r="IT33" s="425"/>
      <c r="IU33" s="425"/>
      <c r="IV33" s="425"/>
      <c r="IW33" s="425"/>
      <c r="IX33" s="425"/>
      <c r="IY33" s="425"/>
      <c r="IZ33" s="425"/>
    </row>
    <row r="34" spans="1:260" ht="24.75" customHeight="1">
      <c r="A34" s="428"/>
      <c r="B34" s="424"/>
      <c r="C34" s="424"/>
      <c r="D34" s="314"/>
      <c r="E34" s="314"/>
      <c r="F34" s="312"/>
      <c r="G34" s="312"/>
      <c r="H34" s="312"/>
      <c r="I34" s="316"/>
      <c r="J34" s="316"/>
      <c r="K34" s="746"/>
      <c r="L34" s="747"/>
      <c r="M34" s="761"/>
      <c r="N34" s="486">
        <f t="shared" ref="N34:N36" si="5">$N$32</f>
        <v>27910</v>
      </c>
      <c r="O34" s="487">
        <f>(770*11/100)*N34</f>
        <v>2363977</v>
      </c>
      <c r="P34" s="753" t="s">
        <v>215</v>
      </c>
      <c r="Q34" s="754"/>
      <c r="R34" s="488"/>
      <c r="S34" s="314"/>
      <c r="AB34" s="425"/>
      <c r="AC34" s="425"/>
      <c r="AD34" s="425"/>
      <c r="AE34" s="425"/>
      <c r="AF34" s="425"/>
      <c r="AG34" s="425"/>
      <c r="AH34" s="425"/>
      <c r="AI34" s="425"/>
      <c r="AJ34" s="425"/>
      <c r="AK34" s="425"/>
      <c r="AL34" s="425"/>
      <c r="AM34" s="425"/>
      <c r="AN34" s="425"/>
      <c r="AO34" s="425"/>
      <c r="AP34" s="425"/>
      <c r="AQ34" s="425"/>
      <c r="AR34" s="425"/>
      <c r="AS34" s="425"/>
      <c r="AT34" s="425"/>
      <c r="AU34" s="425"/>
      <c r="AV34" s="425"/>
      <c r="AW34" s="425"/>
      <c r="AX34" s="425"/>
      <c r="AY34" s="425"/>
      <c r="AZ34" s="425"/>
      <c r="BA34" s="425"/>
      <c r="BB34" s="425"/>
      <c r="BC34" s="425"/>
      <c r="BD34" s="425"/>
      <c r="BE34" s="425"/>
      <c r="BF34" s="425"/>
      <c r="BG34" s="425"/>
      <c r="BH34" s="425"/>
      <c r="BI34" s="425"/>
      <c r="BJ34" s="425"/>
      <c r="BK34" s="425"/>
      <c r="BL34" s="425"/>
      <c r="BM34" s="425"/>
      <c r="BN34" s="425"/>
      <c r="BO34" s="425"/>
      <c r="BP34" s="425"/>
      <c r="BQ34" s="425"/>
      <c r="BR34" s="425"/>
      <c r="BS34" s="425"/>
      <c r="BT34" s="425"/>
      <c r="BU34" s="425"/>
      <c r="BV34" s="425"/>
      <c r="BW34" s="425"/>
      <c r="BX34" s="425"/>
      <c r="BY34" s="425"/>
      <c r="BZ34" s="425"/>
      <c r="CA34" s="425"/>
      <c r="CB34" s="425"/>
      <c r="CC34" s="425"/>
      <c r="CD34" s="425"/>
      <c r="CE34" s="425"/>
      <c r="CF34" s="425"/>
      <c r="CG34" s="425"/>
      <c r="CH34" s="425"/>
      <c r="CI34" s="425"/>
      <c r="CJ34" s="425"/>
      <c r="CK34" s="425"/>
      <c r="CL34" s="425"/>
      <c r="CM34" s="425"/>
      <c r="CN34" s="425"/>
      <c r="CO34" s="425"/>
      <c r="CP34" s="425"/>
      <c r="CQ34" s="425"/>
      <c r="CR34" s="425"/>
      <c r="CS34" s="425"/>
      <c r="CT34" s="425"/>
      <c r="CU34" s="425"/>
      <c r="CV34" s="425"/>
      <c r="CW34" s="425"/>
      <c r="CX34" s="425"/>
      <c r="CY34" s="425"/>
      <c r="CZ34" s="425"/>
      <c r="DA34" s="425"/>
      <c r="DB34" s="425"/>
      <c r="DC34" s="425"/>
      <c r="DD34" s="425"/>
      <c r="DE34" s="425"/>
      <c r="DF34" s="425"/>
      <c r="DG34" s="425"/>
      <c r="DH34" s="425"/>
      <c r="DI34" s="425"/>
      <c r="DJ34" s="425"/>
      <c r="DK34" s="425"/>
      <c r="DL34" s="425"/>
      <c r="DM34" s="425"/>
      <c r="DN34" s="425"/>
      <c r="DO34" s="425"/>
      <c r="DP34" s="425"/>
      <c r="DQ34" s="425"/>
      <c r="DR34" s="425"/>
      <c r="DS34" s="425"/>
      <c r="DT34" s="425"/>
      <c r="DU34" s="425"/>
      <c r="DV34" s="425"/>
      <c r="DW34" s="425"/>
      <c r="DX34" s="425"/>
      <c r="DY34" s="425"/>
      <c r="DZ34" s="425"/>
      <c r="EA34" s="425"/>
      <c r="EB34" s="425"/>
      <c r="EC34" s="425"/>
      <c r="ED34" s="425"/>
      <c r="EE34" s="425"/>
      <c r="EF34" s="425"/>
      <c r="EG34" s="425"/>
      <c r="EH34" s="425"/>
      <c r="EI34" s="425"/>
      <c r="EJ34" s="425"/>
      <c r="EK34" s="425"/>
      <c r="EL34" s="425"/>
      <c r="EM34" s="425"/>
      <c r="EN34" s="425"/>
      <c r="EO34" s="425"/>
      <c r="EP34" s="425"/>
      <c r="EQ34" s="425"/>
      <c r="ER34" s="425"/>
      <c r="ES34" s="425"/>
      <c r="ET34" s="425"/>
      <c r="EU34" s="425"/>
      <c r="EV34" s="425"/>
      <c r="EW34" s="425"/>
      <c r="EX34" s="425"/>
      <c r="EY34" s="425"/>
      <c r="EZ34" s="425"/>
      <c r="FA34" s="425"/>
      <c r="FB34" s="425"/>
      <c r="FC34" s="425"/>
      <c r="FD34" s="425"/>
      <c r="FE34" s="425"/>
      <c r="FF34" s="425"/>
      <c r="FG34" s="425"/>
      <c r="FH34" s="425"/>
      <c r="FI34" s="425"/>
      <c r="FJ34" s="425"/>
      <c r="FK34" s="425"/>
      <c r="FL34" s="425"/>
      <c r="FM34" s="425"/>
      <c r="FN34" s="425"/>
      <c r="FO34" s="425"/>
      <c r="FP34" s="425"/>
      <c r="FQ34" s="425"/>
      <c r="FR34" s="425"/>
      <c r="FS34" s="425"/>
      <c r="FT34" s="425"/>
      <c r="FU34" s="425"/>
      <c r="FV34" s="425"/>
      <c r="FW34" s="425"/>
      <c r="FX34" s="425"/>
      <c r="FY34" s="425"/>
      <c r="FZ34" s="425"/>
      <c r="GA34" s="425"/>
      <c r="GB34" s="425"/>
      <c r="GC34" s="425"/>
      <c r="GD34" s="425"/>
      <c r="GE34" s="425"/>
      <c r="GF34" s="425"/>
      <c r="GG34" s="425"/>
      <c r="GH34" s="425"/>
      <c r="GI34" s="425"/>
      <c r="GJ34" s="425"/>
      <c r="GK34" s="425"/>
      <c r="GL34" s="425"/>
      <c r="GM34" s="425"/>
      <c r="GN34" s="425"/>
      <c r="GO34" s="425"/>
      <c r="GP34" s="425"/>
      <c r="GQ34" s="425"/>
      <c r="GR34" s="425"/>
      <c r="GS34" s="425"/>
      <c r="GT34" s="425"/>
      <c r="GU34" s="425"/>
      <c r="GV34" s="425"/>
      <c r="GW34" s="425"/>
      <c r="GX34" s="425"/>
      <c r="GY34" s="425"/>
      <c r="GZ34" s="425"/>
      <c r="HA34" s="425"/>
      <c r="HB34" s="425"/>
      <c r="HC34" s="425"/>
      <c r="HD34" s="425"/>
      <c r="HE34" s="425"/>
      <c r="HF34" s="425"/>
      <c r="HG34" s="425"/>
      <c r="HH34" s="425"/>
      <c r="HI34" s="425"/>
      <c r="HJ34" s="425"/>
      <c r="HK34" s="425"/>
      <c r="HL34" s="425"/>
      <c r="HM34" s="425"/>
      <c r="HN34" s="425"/>
      <c r="HO34" s="425"/>
      <c r="HP34" s="425"/>
      <c r="HQ34" s="425"/>
      <c r="HR34" s="425"/>
      <c r="HS34" s="425"/>
      <c r="HT34" s="425"/>
      <c r="HU34" s="425"/>
      <c r="HV34" s="425"/>
      <c r="HW34" s="425"/>
      <c r="HX34" s="425"/>
      <c r="HY34" s="425"/>
      <c r="HZ34" s="425"/>
      <c r="IA34" s="425"/>
      <c r="IB34" s="425"/>
      <c r="IC34" s="425"/>
      <c r="ID34" s="425"/>
      <c r="IE34" s="425"/>
      <c r="IF34" s="425"/>
      <c r="IG34" s="425"/>
      <c r="IH34" s="425"/>
      <c r="II34" s="425"/>
      <c r="IJ34" s="425"/>
      <c r="IK34" s="425"/>
      <c r="IL34" s="425"/>
      <c r="IM34" s="425"/>
      <c r="IN34" s="425"/>
      <c r="IO34" s="425"/>
      <c r="IP34" s="425"/>
      <c r="IQ34" s="425"/>
      <c r="IR34" s="425"/>
      <c r="IS34" s="425"/>
      <c r="IT34" s="425"/>
      <c r="IU34" s="425"/>
      <c r="IV34" s="425"/>
      <c r="IW34" s="425"/>
      <c r="IX34" s="425"/>
      <c r="IY34" s="425"/>
      <c r="IZ34" s="425"/>
    </row>
    <row r="35" spans="1:260" ht="19.5" customHeight="1">
      <c r="A35" s="428"/>
      <c r="B35" s="424"/>
      <c r="C35" s="424"/>
      <c r="D35" s="314"/>
      <c r="E35" s="314"/>
      <c r="F35" s="312"/>
      <c r="G35" s="312"/>
      <c r="H35" s="312"/>
      <c r="I35" s="316"/>
      <c r="J35" s="316"/>
      <c r="K35" s="746"/>
      <c r="L35" s="745" t="s">
        <v>345</v>
      </c>
      <c r="M35" s="762">
        <f>2300*40</f>
        <v>92000</v>
      </c>
      <c r="N35" s="486">
        <f t="shared" si="5"/>
        <v>27910</v>
      </c>
      <c r="O35" s="487">
        <f>(40*13/100)*N35</f>
        <v>145132</v>
      </c>
      <c r="P35" s="753" t="s">
        <v>214</v>
      </c>
      <c r="Q35" s="754"/>
      <c r="R35" s="488"/>
      <c r="S35" s="314"/>
      <c r="AB35" s="425"/>
      <c r="AC35" s="425"/>
      <c r="AD35" s="425"/>
      <c r="AE35" s="425"/>
      <c r="AF35" s="425"/>
      <c r="AG35" s="425"/>
      <c r="AH35" s="425"/>
      <c r="AI35" s="425"/>
      <c r="AJ35" s="425"/>
      <c r="AK35" s="425"/>
      <c r="AL35" s="425"/>
      <c r="AM35" s="425"/>
      <c r="AN35" s="425"/>
      <c r="AO35" s="425"/>
      <c r="AP35" s="425"/>
      <c r="AQ35" s="425"/>
      <c r="AR35" s="425"/>
      <c r="AS35" s="425"/>
      <c r="AT35" s="425"/>
      <c r="AU35" s="425"/>
      <c r="AV35" s="425"/>
      <c r="AW35" s="425"/>
      <c r="AX35" s="425"/>
      <c r="AY35" s="425"/>
      <c r="AZ35" s="425"/>
      <c r="BA35" s="425"/>
      <c r="BB35" s="425"/>
      <c r="BC35" s="425"/>
      <c r="BD35" s="425"/>
      <c r="BE35" s="425"/>
      <c r="BF35" s="425"/>
      <c r="BG35" s="425"/>
      <c r="BH35" s="425"/>
      <c r="BI35" s="425"/>
      <c r="BJ35" s="425"/>
      <c r="BK35" s="425"/>
      <c r="BL35" s="425"/>
      <c r="BM35" s="425"/>
      <c r="BN35" s="425"/>
      <c r="BO35" s="425"/>
      <c r="BP35" s="425"/>
      <c r="BQ35" s="425"/>
      <c r="BR35" s="425"/>
      <c r="BS35" s="425"/>
      <c r="BT35" s="425"/>
      <c r="BU35" s="425"/>
      <c r="BV35" s="425"/>
      <c r="BW35" s="425"/>
      <c r="BX35" s="425"/>
      <c r="BY35" s="425"/>
      <c r="BZ35" s="425"/>
      <c r="CA35" s="425"/>
      <c r="CB35" s="425"/>
      <c r="CC35" s="425"/>
      <c r="CD35" s="425"/>
      <c r="CE35" s="425"/>
      <c r="CF35" s="425"/>
      <c r="CG35" s="425"/>
      <c r="CH35" s="425"/>
      <c r="CI35" s="425"/>
      <c r="CJ35" s="425"/>
      <c r="CK35" s="425"/>
      <c r="CL35" s="425"/>
      <c r="CM35" s="425"/>
      <c r="CN35" s="425"/>
      <c r="CO35" s="425"/>
      <c r="CP35" s="425"/>
      <c r="CQ35" s="425"/>
      <c r="CR35" s="425"/>
      <c r="CS35" s="425"/>
      <c r="CT35" s="425"/>
      <c r="CU35" s="425"/>
      <c r="CV35" s="425"/>
      <c r="CW35" s="425"/>
      <c r="CX35" s="425"/>
      <c r="CY35" s="425"/>
      <c r="CZ35" s="425"/>
      <c r="DA35" s="425"/>
      <c r="DB35" s="425"/>
      <c r="DC35" s="425"/>
      <c r="DD35" s="425"/>
      <c r="DE35" s="425"/>
      <c r="DF35" s="425"/>
      <c r="DG35" s="425"/>
      <c r="DH35" s="425"/>
      <c r="DI35" s="425"/>
      <c r="DJ35" s="425"/>
      <c r="DK35" s="425"/>
      <c r="DL35" s="425"/>
      <c r="DM35" s="425"/>
      <c r="DN35" s="425"/>
      <c r="DO35" s="425"/>
      <c r="DP35" s="425"/>
      <c r="DQ35" s="425"/>
      <c r="DR35" s="425"/>
      <c r="DS35" s="425"/>
      <c r="DT35" s="425"/>
      <c r="DU35" s="425"/>
      <c r="DV35" s="425"/>
      <c r="DW35" s="425"/>
      <c r="DX35" s="425"/>
      <c r="DY35" s="425"/>
      <c r="DZ35" s="425"/>
      <c r="EA35" s="425"/>
      <c r="EB35" s="425"/>
      <c r="EC35" s="425"/>
      <c r="ED35" s="425"/>
      <c r="EE35" s="425"/>
      <c r="EF35" s="425"/>
      <c r="EG35" s="425"/>
      <c r="EH35" s="425"/>
      <c r="EI35" s="425"/>
      <c r="EJ35" s="425"/>
      <c r="EK35" s="425"/>
      <c r="EL35" s="425"/>
      <c r="EM35" s="425"/>
      <c r="EN35" s="425"/>
      <c r="EO35" s="425"/>
      <c r="EP35" s="425"/>
      <c r="EQ35" s="425"/>
      <c r="ER35" s="425"/>
      <c r="ES35" s="425"/>
      <c r="ET35" s="425"/>
      <c r="EU35" s="425"/>
      <c r="EV35" s="425"/>
      <c r="EW35" s="425"/>
      <c r="EX35" s="425"/>
      <c r="EY35" s="425"/>
      <c r="EZ35" s="425"/>
      <c r="FA35" s="425"/>
      <c r="FB35" s="425"/>
      <c r="FC35" s="425"/>
      <c r="FD35" s="425"/>
      <c r="FE35" s="425"/>
      <c r="FF35" s="425"/>
      <c r="FG35" s="425"/>
      <c r="FH35" s="425"/>
      <c r="FI35" s="425"/>
      <c r="FJ35" s="425"/>
      <c r="FK35" s="425"/>
      <c r="FL35" s="425"/>
      <c r="FM35" s="425"/>
      <c r="FN35" s="425"/>
      <c r="FO35" s="425"/>
      <c r="FP35" s="425"/>
      <c r="FQ35" s="425"/>
      <c r="FR35" s="425"/>
      <c r="FS35" s="425"/>
      <c r="FT35" s="425"/>
      <c r="FU35" s="425"/>
      <c r="FV35" s="425"/>
      <c r="FW35" s="425"/>
      <c r="FX35" s="425"/>
      <c r="FY35" s="425"/>
      <c r="FZ35" s="425"/>
      <c r="GA35" s="425"/>
      <c r="GB35" s="425"/>
      <c r="GC35" s="425"/>
      <c r="GD35" s="425"/>
      <c r="GE35" s="425"/>
      <c r="GF35" s="425"/>
      <c r="GG35" s="425"/>
      <c r="GH35" s="425"/>
      <c r="GI35" s="425"/>
      <c r="GJ35" s="425"/>
      <c r="GK35" s="425"/>
      <c r="GL35" s="425"/>
      <c r="GM35" s="425"/>
      <c r="GN35" s="425"/>
      <c r="GO35" s="425"/>
      <c r="GP35" s="425"/>
      <c r="GQ35" s="425"/>
      <c r="GR35" s="425"/>
      <c r="GS35" s="425"/>
      <c r="GT35" s="425"/>
      <c r="GU35" s="425"/>
      <c r="GV35" s="425"/>
      <c r="GW35" s="425"/>
      <c r="GX35" s="425"/>
      <c r="GY35" s="425"/>
      <c r="GZ35" s="425"/>
      <c r="HA35" s="425"/>
      <c r="HB35" s="425"/>
      <c r="HC35" s="425"/>
      <c r="HD35" s="425"/>
      <c r="HE35" s="425"/>
      <c r="HF35" s="425"/>
      <c r="HG35" s="425"/>
      <c r="HH35" s="425"/>
      <c r="HI35" s="425"/>
      <c r="HJ35" s="425"/>
      <c r="HK35" s="425"/>
      <c r="HL35" s="425"/>
      <c r="HM35" s="425"/>
      <c r="HN35" s="425"/>
      <c r="HO35" s="425"/>
      <c r="HP35" s="425"/>
      <c r="HQ35" s="425"/>
      <c r="HR35" s="425"/>
      <c r="HS35" s="425"/>
      <c r="HT35" s="425"/>
      <c r="HU35" s="425"/>
      <c r="HV35" s="425"/>
      <c r="HW35" s="425"/>
      <c r="HX35" s="425"/>
      <c r="HY35" s="425"/>
      <c r="HZ35" s="425"/>
      <c r="IA35" s="425"/>
      <c r="IB35" s="425"/>
      <c r="IC35" s="425"/>
      <c r="ID35" s="425"/>
      <c r="IE35" s="425"/>
      <c r="IF35" s="425"/>
      <c r="IG35" s="425"/>
      <c r="IH35" s="425"/>
      <c r="II35" s="425"/>
      <c r="IJ35" s="425"/>
      <c r="IK35" s="425"/>
      <c r="IL35" s="425"/>
      <c r="IM35" s="425"/>
      <c r="IN35" s="425"/>
      <c r="IO35" s="425"/>
      <c r="IP35" s="425"/>
      <c r="IQ35" s="425"/>
      <c r="IR35" s="425"/>
      <c r="IS35" s="425"/>
      <c r="IT35" s="425"/>
      <c r="IU35" s="425"/>
      <c r="IV35" s="425"/>
      <c r="IW35" s="425"/>
      <c r="IX35" s="425"/>
      <c r="IY35" s="425"/>
      <c r="IZ35" s="425"/>
    </row>
    <row r="36" spans="1:260" ht="21" customHeight="1">
      <c r="A36" s="428"/>
      <c r="B36" s="424"/>
      <c r="C36" s="424"/>
      <c r="D36" s="314"/>
      <c r="E36" s="314"/>
      <c r="F36" s="312"/>
      <c r="G36" s="312"/>
      <c r="H36" s="312"/>
      <c r="I36" s="316"/>
      <c r="J36" s="316"/>
      <c r="K36" s="747"/>
      <c r="L36" s="747"/>
      <c r="M36" s="763"/>
      <c r="N36" s="486">
        <f t="shared" si="5"/>
        <v>27910</v>
      </c>
      <c r="O36" s="487">
        <f>(40*11/100)*N36</f>
        <v>122804.00000000001</v>
      </c>
      <c r="P36" s="753" t="s">
        <v>215</v>
      </c>
      <c r="Q36" s="754"/>
      <c r="R36" s="488"/>
      <c r="S36" s="314"/>
      <c r="AB36" s="425"/>
      <c r="AC36" s="425"/>
      <c r="AD36" s="425"/>
      <c r="AE36" s="425"/>
      <c r="AF36" s="425"/>
      <c r="AG36" s="425"/>
      <c r="AH36" s="425"/>
      <c r="AI36" s="425"/>
      <c r="AJ36" s="425"/>
      <c r="AK36" s="425"/>
      <c r="AL36" s="425"/>
      <c r="AM36" s="425"/>
      <c r="AN36" s="425"/>
      <c r="AO36" s="425"/>
      <c r="AP36" s="425"/>
      <c r="AQ36" s="425"/>
      <c r="AR36" s="425"/>
      <c r="AS36" s="425"/>
      <c r="AT36" s="425"/>
      <c r="AU36" s="425"/>
      <c r="AV36" s="425"/>
      <c r="AW36" s="425"/>
      <c r="AX36" s="425"/>
      <c r="AY36" s="425"/>
      <c r="AZ36" s="425"/>
      <c r="BA36" s="425"/>
      <c r="BB36" s="425"/>
      <c r="BC36" s="425"/>
      <c r="BD36" s="425"/>
      <c r="BE36" s="425"/>
      <c r="BF36" s="425"/>
      <c r="BG36" s="425"/>
      <c r="BH36" s="425"/>
      <c r="BI36" s="425"/>
      <c r="BJ36" s="425"/>
      <c r="BK36" s="425"/>
      <c r="BL36" s="425"/>
      <c r="BM36" s="425"/>
      <c r="BN36" s="425"/>
      <c r="BO36" s="425"/>
      <c r="BP36" s="425"/>
      <c r="BQ36" s="425"/>
      <c r="BR36" s="425"/>
      <c r="BS36" s="425"/>
      <c r="BT36" s="425"/>
      <c r="BU36" s="425"/>
      <c r="BV36" s="425"/>
      <c r="BW36" s="425"/>
      <c r="BX36" s="425"/>
      <c r="BY36" s="425"/>
      <c r="BZ36" s="425"/>
      <c r="CA36" s="425"/>
      <c r="CB36" s="425"/>
      <c r="CC36" s="425"/>
      <c r="CD36" s="425"/>
      <c r="CE36" s="425"/>
      <c r="CF36" s="425"/>
      <c r="CG36" s="425"/>
      <c r="CH36" s="425"/>
      <c r="CI36" s="425"/>
      <c r="CJ36" s="425"/>
      <c r="CK36" s="425"/>
      <c r="CL36" s="425"/>
      <c r="CM36" s="425"/>
      <c r="CN36" s="425"/>
      <c r="CO36" s="425"/>
      <c r="CP36" s="425"/>
      <c r="CQ36" s="425"/>
      <c r="CR36" s="425"/>
      <c r="CS36" s="425"/>
      <c r="CT36" s="425"/>
      <c r="CU36" s="425"/>
      <c r="CV36" s="425"/>
      <c r="CW36" s="425"/>
      <c r="CX36" s="425"/>
      <c r="CY36" s="425"/>
      <c r="CZ36" s="425"/>
      <c r="DA36" s="425"/>
      <c r="DB36" s="425"/>
      <c r="DC36" s="425"/>
      <c r="DD36" s="425"/>
      <c r="DE36" s="425"/>
      <c r="DF36" s="425"/>
      <c r="DG36" s="425"/>
      <c r="DH36" s="425"/>
      <c r="DI36" s="425"/>
      <c r="DJ36" s="425"/>
      <c r="DK36" s="425"/>
      <c r="DL36" s="425"/>
      <c r="DM36" s="425"/>
      <c r="DN36" s="425"/>
      <c r="DO36" s="425"/>
      <c r="DP36" s="425"/>
      <c r="DQ36" s="425"/>
      <c r="DR36" s="425"/>
      <c r="DS36" s="425"/>
      <c r="DT36" s="425"/>
      <c r="DU36" s="425"/>
      <c r="DV36" s="425"/>
      <c r="DW36" s="425"/>
      <c r="DX36" s="425"/>
      <c r="DY36" s="425"/>
      <c r="DZ36" s="425"/>
      <c r="EA36" s="425"/>
      <c r="EB36" s="425"/>
      <c r="EC36" s="425"/>
      <c r="ED36" s="425"/>
      <c r="EE36" s="425"/>
      <c r="EF36" s="425"/>
      <c r="EG36" s="425"/>
      <c r="EH36" s="425"/>
      <c r="EI36" s="425"/>
      <c r="EJ36" s="425"/>
      <c r="EK36" s="425"/>
      <c r="EL36" s="425"/>
      <c r="EM36" s="425"/>
      <c r="EN36" s="425"/>
      <c r="EO36" s="425"/>
      <c r="EP36" s="425"/>
      <c r="EQ36" s="425"/>
      <c r="ER36" s="425"/>
      <c r="ES36" s="425"/>
      <c r="ET36" s="425"/>
      <c r="EU36" s="425"/>
      <c r="EV36" s="425"/>
      <c r="EW36" s="425"/>
      <c r="EX36" s="425"/>
      <c r="EY36" s="425"/>
      <c r="EZ36" s="425"/>
      <c r="FA36" s="425"/>
      <c r="FB36" s="425"/>
      <c r="FC36" s="425"/>
      <c r="FD36" s="425"/>
      <c r="FE36" s="425"/>
      <c r="FF36" s="425"/>
      <c r="FG36" s="425"/>
      <c r="FH36" s="425"/>
      <c r="FI36" s="425"/>
      <c r="FJ36" s="425"/>
      <c r="FK36" s="425"/>
      <c r="FL36" s="425"/>
      <c r="FM36" s="425"/>
      <c r="FN36" s="425"/>
      <c r="FO36" s="425"/>
      <c r="FP36" s="425"/>
      <c r="FQ36" s="425"/>
      <c r="FR36" s="425"/>
      <c r="FS36" s="425"/>
      <c r="FT36" s="425"/>
      <c r="FU36" s="425"/>
      <c r="FV36" s="425"/>
      <c r="FW36" s="425"/>
      <c r="FX36" s="425"/>
      <c r="FY36" s="425"/>
      <c r="FZ36" s="425"/>
      <c r="GA36" s="425"/>
      <c r="GB36" s="425"/>
      <c r="GC36" s="425"/>
      <c r="GD36" s="425"/>
      <c r="GE36" s="425"/>
      <c r="GF36" s="425"/>
      <c r="GG36" s="425"/>
      <c r="GH36" s="425"/>
      <c r="GI36" s="425"/>
      <c r="GJ36" s="425"/>
      <c r="GK36" s="425"/>
      <c r="GL36" s="425"/>
      <c r="GM36" s="425"/>
      <c r="GN36" s="425"/>
      <c r="GO36" s="425"/>
      <c r="GP36" s="425"/>
      <c r="GQ36" s="425"/>
      <c r="GR36" s="425"/>
      <c r="GS36" s="425"/>
      <c r="GT36" s="425"/>
      <c r="GU36" s="425"/>
      <c r="GV36" s="425"/>
      <c r="GW36" s="425"/>
      <c r="GX36" s="425"/>
      <c r="GY36" s="425"/>
      <c r="GZ36" s="425"/>
      <c r="HA36" s="425"/>
      <c r="HB36" s="425"/>
      <c r="HC36" s="425"/>
      <c r="HD36" s="425"/>
      <c r="HE36" s="425"/>
      <c r="HF36" s="425"/>
      <c r="HG36" s="425"/>
      <c r="HH36" s="425"/>
      <c r="HI36" s="425"/>
      <c r="HJ36" s="425"/>
      <c r="HK36" s="425"/>
      <c r="HL36" s="425"/>
      <c r="HM36" s="425"/>
      <c r="HN36" s="425"/>
      <c r="HO36" s="425"/>
      <c r="HP36" s="425"/>
      <c r="HQ36" s="425"/>
      <c r="HR36" s="425"/>
      <c r="HS36" s="425"/>
      <c r="HT36" s="425"/>
      <c r="HU36" s="425"/>
      <c r="HV36" s="425"/>
      <c r="HW36" s="425"/>
      <c r="HX36" s="425"/>
      <c r="HY36" s="425"/>
      <c r="HZ36" s="425"/>
      <c r="IA36" s="425"/>
      <c r="IB36" s="425"/>
      <c r="IC36" s="425"/>
      <c r="ID36" s="425"/>
      <c r="IE36" s="425"/>
      <c r="IF36" s="425"/>
      <c r="IG36" s="425"/>
      <c r="IH36" s="425"/>
      <c r="II36" s="425"/>
      <c r="IJ36" s="425"/>
      <c r="IK36" s="425"/>
      <c r="IL36" s="425"/>
      <c r="IM36" s="425"/>
      <c r="IN36" s="425"/>
      <c r="IO36" s="425"/>
      <c r="IP36" s="425"/>
      <c r="IQ36" s="425"/>
      <c r="IR36" s="425"/>
      <c r="IS36" s="425"/>
      <c r="IT36" s="425"/>
      <c r="IU36" s="425"/>
      <c r="IV36" s="425"/>
      <c r="IW36" s="425"/>
      <c r="IX36" s="425"/>
      <c r="IY36" s="425"/>
      <c r="IZ36" s="425"/>
    </row>
    <row r="37" spans="1:260" ht="33.4" customHeight="1">
      <c r="A37" s="428"/>
      <c r="B37" s="424"/>
      <c r="C37" s="424"/>
      <c r="D37" s="314"/>
      <c r="E37" s="314"/>
      <c r="F37" s="312"/>
      <c r="G37" s="312"/>
      <c r="H37" s="312"/>
      <c r="I37" s="316"/>
      <c r="J37" s="316"/>
      <c r="K37" s="735" t="s">
        <v>346</v>
      </c>
      <c r="L37" s="736"/>
      <c r="M37" s="489">
        <v>1500000</v>
      </c>
      <c r="N37" s="490" t="s">
        <v>347</v>
      </c>
      <c r="O37" s="489">
        <v>80000</v>
      </c>
      <c r="P37" s="755" t="s">
        <v>348</v>
      </c>
      <c r="Q37" s="756"/>
      <c r="R37" s="478"/>
      <c r="S37" s="314"/>
      <c r="AB37" s="425"/>
      <c r="AC37" s="425"/>
      <c r="AD37" s="425"/>
      <c r="AE37" s="425"/>
      <c r="AF37" s="425"/>
      <c r="AG37" s="425"/>
      <c r="AH37" s="425"/>
      <c r="AI37" s="425"/>
      <c r="AJ37" s="425"/>
      <c r="AK37" s="425"/>
      <c r="AL37" s="425"/>
      <c r="AM37" s="425"/>
      <c r="AN37" s="425"/>
      <c r="AO37" s="425"/>
      <c r="AP37" s="425"/>
      <c r="AQ37" s="425"/>
      <c r="AR37" s="425"/>
      <c r="AS37" s="425"/>
      <c r="AT37" s="425"/>
      <c r="AU37" s="425"/>
      <c r="AV37" s="425"/>
      <c r="AW37" s="425"/>
      <c r="AX37" s="425"/>
      <c r="AY37" s="425"/>
      <c r="AZ37" s="425"/>
      <c r="BA37" s="425"/>
      <c r="BB37" s="425"/>
      <c r="BC37" s="425"/>
      <c r="BD37" s="425"/>
      <c r="BE37" s="425"/>
      <c r="BF37" s="425"/>
      <c r="BG37" s="425"/>
      <c r="BH37" s="425"/>
      <c r="BI37" s="425"/>
      <c r="BJ37" s="425"/>
      <c r="BK37" s="425"/>
      <c r="BL37" s="425"/>
      <c r="BM37" s="425"/>
      <c r="BN37" s="425"/>
      <c r="BO37" s="425"/>
      <c r="BP37" s="425"/>
      <c r="BQ37" s="425"/>
      <c r="BR37" s="425"/>
      <c r="BS37" s="425"/>
      <c r="BT37" s="425"/>
      <c r="BU37" s="425"/>
      <c r="BV37" s="425"/>
      <c r="BW37" s="425"/>
      <c r="BX37" s="425"/>
      <c r="BY37" s="425"/>
      <c r="BZ37" s="425"/>
      <c r="CA37" s="425"/>
      <c r="CB37" s="425"/>
      <c r="CC37" s="425"/>
      <c r="CD37" s="425"/>
      <c r="CE37" s="425"/>
      <c r="CF37" s="425"/>
      <c r="CG37" s="425"/>
      <c r="CH37" s="425"/>
      <c r="CI37" s="425"/>
      <c r="CJ37" s="425"/>
      <c r="CK37" s="425"/>
      <c r="CL37" s="425"/>
      <c r="CM37" s="425"/>
      <c r="CN37" s="425"/>
      <c r="CO37" s="425"/>
      <c r="CP37" s="425"/>
      <c r="CQ37" s="425"/>
      <c r="CR37" s="425"/>
      <c r="CS37" s="425"/>
      <c r="CT37" s="425"/>
      <c r="CU37" s="425"/>
      <c r="CV37" s="425"/>
      <c r="CW37" s="425"/>
      <c r="CX37" s="425"/>
      <c r="CY37" s="425"/>
      <c r="CZ37" s="425"/>
      <c r="DA37" s="425"/>
      <c r="DB37" s="425"/>
      <c r="DC37" s="425"/>
      <c r="DD37" s="425"/>
      <c r="DE37" s="425"/>
      <c r="DF37" s="425"/>
      <c r="DG37" s="425"/>
      <c r="DH37" s="425"/>
      <c r="DI37" s="425"/>
      <c r="DJ37" s="425"/>
      <c r="DK37" s="425"/>
      <c r="DL37" s="425"/>
      <c r="DM37" s="425"/>
      <c r="DN37" s="425"/>
      <c r="DO37" s="425"/>
      <c r="DP37" s="425"/>
      <c r="DQ37" s="425"/>
      <c r="DR37" s="425"/>
      <c r="DS37" s="425"/>
      <c r="DT37" s="425"/>
      <c r="DU37" s="425"/>
      <c r="DV37" s="425"/>
      <c r="DW37" s="425"/>
      <c r="DX37" s="425"/>
      <c r="DY37" s="425"/>
      <c r="DZ37" s="425"/>
      <c r="EA37" s="425"/>
      <c r="EB37" s="425"/>
      <c r="EC37" s="425"/>
      <c r="ED37" s="425"/>
      <c r="EE37" s="425"/>
      <c r="EF37" s="425"/>
      <c r="EG37" s="425"/>
      <c r="EH37" s="425"/>
      <c r="EI37" s="425"/>
      <c r="EJ37" s="425"/>
      <c r="EK37" s="425"/>
      <c r="EL37" s="425"/>
      <c r="EM37" s="425"/>
      <c r="EN37" s="425"/>
      <c r="EO37" s="425"/>
      <c r="EP37" s="425"/>
      <c r="EQ37" s="425"/>
      <c r="ER37" s="425"/>
      <c r="ES37" s="425"/>
      <c r="ET37" s="425"/>
      <c r="EU37" s="425"/>
      <c r="EV37" s="425"/>
      <c r="EW37" s="425"/>
      <c r="EX37" s="425"/>
      <c r="EY37" s="425"/>
      <c r="EZ37" s="425"/>
      <c r="FA37" s="425"/>
      <c r="FB37" s="425"/>
      <c r="FC37" s="425"/>
      <c r="FD37" s="425"/>
      <c r="FE37" s="425"/>
      <c r="FF37" s="425"/>
      <c r="FG37" s="425"/>
      <c r="FH37" s="425"/>
      <c r="FI37" s="425"/>
      <c r="FJ37" s="425"/>
      <c r="FK37" s="425"/>
      <c r="FL37" s="425"/>
      <c r="FM37" s="425"/>
      <c r="FN37" s="425"/>
      <c r="FO37" s="425"/>
      <c r="FP37" s="425"/>
      <c r="FQ37" s="425"/>
      <c r="FR37" s="425"/>
      <c r="FS37" s="425"/>
      <c r="FT37" s="425"/>
      <c r="FU37" s="425"/>
      <c r="FV37" s="425"/>
      <c r="FW37" s="425"/>
      <c r="FX37" s="425"/>
      <c r="FY37" s="425"/>
      <c r="FZ37" s="425"/>
      <c r="GA37" s="425"/>
      <c r="GB37" s="425"/>
      <c r="GC37" s="425"/>
      <c r="GD37" s="425"/>
      <c r="GE37" s="425"/>
      <c r="GF37" s="425"/>
      <c r="GG37" s="425"/>
      <c r="GH37" s="425"/>
      <c r="GI37" s="425"/>
      <c r="GJ37" s="425"/>
      <c r="GK37" s="425"/>
      <c r="GL37" s="425"/>
      <c r="GM37" s="425"/>
      <c r="GN37" s="425"/>
      <c r="GO37" s="425"/>
      <c r="GP37" s="425"/>
      <c r="GQ37" s="425"/>
      <c r="GR37" s="425"/>
      <c r="GS37" s="425"/>
      <c r="GT37" s="425"/>
      <c r="GU37" s="425"/>
      <c r="GV37" s="425"/>
      <c r="GW37" s="425"/>
      <c r="GX37" s="425"/>
      <c r="GY37" s="425"/>
      <c r="GZ37" s="425"/>
      <c r="HA37" s="425"/>
      <c r="HB37" s="425"/>
      <c r="HC37" s="425"/>
      <c r="HD37" s="425"/>
      <c r="HE37" s="425"/>
      <c r="HF37" s="425"/>
      <c r="HG37" s="425"/>
      <c r="HH37" s="425"/>
      <c r="HI37" s="425"/>
      <c r="HJ37" s="425"/>
      <c r="HK37" s="425"/>
      <c r="HL37" s="425"/>
      <c r="HM37" s="425"/>
      <c r="HN37" s="425"/>
      <c r="HO37" s="425"/>
      <c r="HP37" s="425"/>
      <c r="HQ37" s="425"/>
      <c r="HR37" s="425"/>
      <c r="HS37" s="425"/>
      <c r="HT37" s="425"/>
      <c r="HU37" s="425"/>
      <c r="HV37" s="425"/>
      <c r="HW37" s="425"/>
      <c r="HX37" s="425"/>
      <c r="HY37" s="425"/>
      <c r="HZ37" s="425"/>
      <c r="IA37" s="425"/>
      <c r="IB37" s="425"/>
      <c r="IC37" s="425"/>
      <c r="ID37" s="425"/>
      <c r="IE37" s="425"/>
      <c r="IF37" s="425"/>
      <c r="IG37" s="425"/>
      <c r="IH37" s="425"/>
      <c r="II37" s="425"/>
      <c r="IJ37" s="425"/>
      <c r="IK37" s="425"/>
      <c r="IL37" s="425"/>
      <c r="IM37" s="425"/>
      <c r="IN37" s="425"/>
      <c r="IO37" s="425"/>
      <c r="IP37" s="425"/>
      <c r="IQ37" s="425"/>
      <c r="IR37" s="425"/>
      <c r="IS37" s="425"/>
      <c r="IT37" s="425"/>
      <c r="IU37" s="425"/>
      <c r="IV37" s="425"/>
      <c r="IW37" s="425"/>
      <c r="IX37" s="425"/>
      <c r="IY37" s="425"/>
      <c r="IZ37" s="425"/>
    </row>
    <row r="38" spans="1:260" ht="4.7" customHeight="1">
      <c r="A38" s="428"/>
      <c r="B38" s="424"/>
      <c r="C38" s="424"/>
      <c r="D38" s="314"/>
      <c r="E38" s="314"/>
      <c r="F38" s="312"/>
      <c r="G38" s="312"/>
      <c r="H38" s="312"/>
      <c r="I38" s="316"/>
      <c r="J38" s="316"/>
      <c r="K38" s="491"/>
      <c r="L38" s="312"/>
      <c r="M38" s="314"/>
      <c r="N38" s="314"/>
      <c r="O38" s="314"/>
      <c r="P38" s="314"/>
      <c r="Q38" s="314"/>
      <c r="R38" s="314"/>
      <c r="S38" s="314"/>
      <c r="AB38" s="425"/>
      <c r="AC38" s="425"/>
      <c r="AD38" s="425"/>
      <c r="AE38" s="425"/>
      <c r="AF38" s="425"/>
      <c r="AG38" s="425"/>
      <c r="AH38" s="425"/>
      <c r="AI38" s="425"/>
      <c r="AJ38" s="425"/>
      <c r="AK38" s="425"/>
      <c r="AL38" s="425"/>
      <c r="AM38" s="425"/>
      <c r="AN38" s="425"/>
      <c r="AO38" s="425"/>
      <c r="AP38" s="425"/>
      <c r="AQ38" s="425"/>
      <c r="AR38" s="425"/>
      <c r="AS38" s="425"/>
      <c r="AT38" s="425"/>
      <c r="AU38" s="425"/>
      <c r="AV38" s="425"/>
      <c r="AW38" s="425"/>
      <c r="AX38" s="425"/>
      <c r="AY38" s="425"/>
      <c r="AZ38" s="425"/>
      <c r="BA38" s="425"/>
      <c r="BB38" s="425"/>
      <c r="BC38" s="425"/>
      <c r="BD38" s="425"/>
      <c r="BE38" s="425"/>
      <c r="BF38" s="425"/>
      <c r="BG38" s="425"/>
      <c r="BH38" s="425"/>
      <c r="BI38" s="425"/>
      <c r="BJ38" s="425"/>
      <c r="BK38" s="425"/>
      <c r="BL38" s="425"/>
      <c r="BM38" s="425"/>
      <c r="BN38" s="425"/>
      <c r="BO38" s="425"/>
      <c r="BP38" s="425"/>
      <c r="BQ38" s="425"/>
      <c r="BR38" s="425"/>
      <c r="BS38" s="425"/>
      <c r="BT38" s="425"/>
      <c r="BU38" s="425"/>
      <c r="BV38" s="425"/>
      <c r="BW38" s="425"/>
      <c r="BX38" s="425"/>
      <c r="BY38" s="425"/>
      <c r="BZ38" s="425"/>
      <c r="CA38" s="425"/>
      <c r="CB38" s="425"/>
      <c r="CC38" s="425"/>
      <c r="CD38" s="425"/>
      <c r="CE38" s="425"/>
      <c r="CF38" s="425"/>
      <c r="CG38" s="425"/>
      <c r="CH38" s="425"/>
      <c r="CI38" s="425"/>
      <c r="CJ38" s="425"/>
      <c r="CK38" s="425"/>
      <c r="CL38" s="425"/>
      <c r="CM38" s="425"/>
      <c r="CN38" s="425"/>
      <c r="CO38" s="425"/>
      <c r="CP38" s="425"/>
      <c r="CQ38" s="425"/>
      <c r="CR38" s="425"/>
      <c r="CS38" s="425"/>
      <c r="CT38" s="425"/>
      <c r="CU38" s="425"/>
      <c r="CV38" s="425"/>
      <c r="CW38" s="425"/>
      <c r="CX38" s="425"/>
      <c r="CY38" s="425"/>
      <c r="CZ38" s="425"/>
      <c r="DA38" s="425"/>
      <c r="DB38" s="425"/>
      <c r="DC38" s="425"/>
      <c r="DD38" s="425"/>
      <c r="DE38" s="425"/>
      <c r="DF38" s="425"/>
      <c r="DG38" s="425"/>
      <c r="DH38" s="425"/>
      <c r="DI38" s="425"/>
      <c r="DJ38" s="425"/>
      <c r="DK38" s="425"/>
      <c r="DL38" s="425"/>
      <c r="DM38" s="425"/>
      <c r="DN38" s="425"/>
      <c r="DO38" s="425"/>
      <c r="DP38" s="425"/>
      <c r="DQ38" s="425"/>
      <c r="DR38" s="425"/>
      <c r="DS38" s="425"/>
      <c r="DT38" s="425"/>
      <c r="DU38" s="425"/>
      <c r="DV38" s="425"/>
      <c r="DW38" s="425"/>
      <c r="DX38" s="425"/>
      <c r="DY38" s="425"/>
      <c r="DZ38" s="425"/>
      <c r="EA38" s="425"/>
      <c r="EB38" s="425"/>
      <c r="EC38" s="425"/>
      <c r="ED38" s="425"/>
      <c r="EE38" s="425"/>
      <c r="EF38" s="425"/>
      <c r="EG38" s="425"/>
      <c r="EH38" s="425"/>
      <c r="EI38" s="425"/>
      <c r="EJ38" s="425"/>
      <c r="EK38" s="425"/>
      <c r="EL38" s="425"/>
      <c r="EM38" s="425"/>
      <c r="EN38" s="425"/>
      <c r="EO38" s="425"/>
      <c r="EP38" s="425"/>
      <c r="EQ38" s="425"/>
      <c r="ER38" s="425"/>
      <c r="ES38" s="425"/>
      <c r="ET38" s="425"/>
      <c r="EU38" s="425"/>
      <c r="EV38" s="425"/>
      <c r="EW38" s="425"/>
      <c r="EX38" s="425"/>
      <c r="EY38" s="425"/>
      <c r="EZ38" s="425"/>
      <c r="FA38" s="425"/>
      <c r="FB38" s="425"/>
      <c r="FC38" s="425"/>
      <c r="FD38" s="425"/>
      <c r="FE38" s="425"/>
      <c r="FF38" s="425"/>
      <c r="FG38" s="425"/>
      <c r="FH38" s="425"/>
      <c r="FI38" s="425"/>
      <c r="FJ38" s="425"/>
      <c r="FK38" s="425"/>
      <c r="FL38" s="425"/>
      <c r="FM38" s="425"/>
      <c r="FN38" s="425"/>
      <c r="FO38" s="425"/>
      <c r="FP38" s="425"/>
      <c r="FQ38" s="425"/>
      <c r="FR38" s="425"/>
      <c r="FS38" s="425"/>
      <c r="FT38" s="425"/>
      <c r="FU38" s="425"/>
      <c r="FV38" s="425"/>
      <c r="FW38" s="425"/>
      <c r="FX38" s="425"/>
      <c r="FY38" s="425"/>
      <c r="FZ38" s="425"/>
      <c r="GA38" s="425"/>
      <c r="GB38" s="425"/>
      <c r="GC38" s="425"/>
      <c r="GD38" s="425"/>
      <c r="GE38" s="425"/>
      <c r="GF38" s="425"/>
      <c r="GG38" s="425"/>
      <c r="GH38" s="425"/>
      <c r="GI38" s="425"/>
      <c r="GJ38" s="425"/>
      <c r="GK38" s="425"/>
      <c r="GL38" s="425"/>
      <c r="GM38" s="425"/>
      <c r="GN38" s="425"/>
      <c r="GO38" s="425"/>
      <c r="GP38" s="425"/>
      <c r="GQ38" s="425"/>
      <c r="GR38" s="425"/>
      <c r="GS38" s="425"/>
      <c r="GT38" s="425"/>
      <c r="GU38" s="425"/>
      <c r="GV38" s="425"/>
      <c r="GW38" s="425"/>
      <c r="GX38" s="425"/>
      <c r="GY38" s="425"/>
      <c r="GZ38" s="425"/>
      <c r="HA38" s="425"/>
      <c r="HB38" s="425"/>
      <c r="HC38" s="425"/>
      <c r="HD38" s="425"/>
      <c r="HE38" s="425"/>
      <c r="HF38" s="425"/>
      <c r="HG38" s="425"/>
      <c r="HH38" s="425"/>
      <c r="HI38" s="425"/>
      <c r="HJ38" s="425"/>
      <c r="HK38" s="425"/>
      <c r="HL38" s="425"/>
      <c r="HM38" s="425"/>
      <c r="HN38" s="425"/>
      <c r="HO38" s="425"/>
      <c r="HP38" s="425"/>
      <c r="HQ38" s="425"/>
      <c r="HR38" s="425"/>
      <c r="HS38" s="425"/>
      <c r="HT38" s="425"/>
      <c r="HU38" s="425"/>
      <c r="HV38" s="425"/>
      <c r="HW38" s="425"/>
      <c r="HX38" s="425"/>
      <c r="HY38" s="425"/>
      <c r="HZ38" s="425"/>
      <c r="IA38" s="425"/>
      <c r="IB38" s="425"/>
      <c r="IC38" s="425"/>
      <c r="ID38" s="425"/>
      <c r="IE38" s="425"/>
      <c r="IF38" s="425"/>
      <c r="IG38" s="425"/>
      <c r="IH38" s="425"/>
      <c r="II38" s="425"/>
      <c r="IJ38" s="425"/>
      <c r="IK38" s="425"/>
      <c r="IL38" s="425"/>
      <c r="IM38" s="425"/>
      <c r="IN38" s="425"/>
      <c r="IO38" s="425"/>
      <c r="IP38" s="425"/>
      <c r="IQ38" s="425"/>
      <c r="IR38" s="425"/>
      <c r="IS38" s="425"/>
      <c r="IT38" s="425"/>
      <c r="IU38" s="425"/>
      <c r="IV38" s="425"/>
      <c r="IW38" s="425"/>
      <c r="IX38" s="425"/>
      <c r="IY38" s="425"/>
      <c r="IZ38" s="425"/>
    </row>
    <row r="39" spans="1:260" ht="8.25" customHeight="1">
      <c r="A39" s="428"/>
      <c r="B39" s="424"/>
      <c r="C39" s="424"/>
      <c r="D39" s="314"/>
      <c r="E39" s="314"/>
      <c r="F39" s="312"/>
      <c r="G39" s="312"/>
      <c r="H39" s="312"/>
      <c r="I39" s="316"/>
      <c r="J39" s="316"/>
      <c r="K39" s="491"/>
      <c r="L39" s="312"/>
      <c r="M39" s="314"/>
      <c r="N39" s="314"/>
      <c r="O39" s="314"/>
      <c r="P39" s="314"/>
      <c r="Q39" s="314"/>
      <c r="R39" s="314"/>
      <c r="S39" s="314"/>
      <c r="AB39" s="425"/>
      <c r="AC39" s="425"/>
      <c r="AD39" s="425"/>
      <c r="AE39" s="425"/>
      <c r="AF39" s="425"/>
      <c r="AG39" s="425"/>
      <c r="AH39" s="425"/>
      <c r="AI39" s="425"/>
      <c r="AJ39" s="425"/>
      <c r="AK39" s="425"/>
      <c r="AL39" s="425"/>
      <c r="AM39" s="425"/>
      <c r="AN39" s="425"/>
      <c r="AO39" s="425"/>
      <c r="AP39" s="425"/>
      <c r="AQ39" s="425"/>
      <c r="AR39" s="425"/>
      <c r="AS39" s="425"/>
      <c r="AT39" s="425"/>
      <c r="AU39" s="425"/>
      <c r="AV39" s="425"/>
      <c r="AW39" s="425"/>
      <c r="AX39" s="425"/>
      <c r="AY39" s="425"/>
      <c r="AZ39" s="425"/>
      <c r="BA39" s="425"/>
      <c r="BB39" s="425"/>
      <c r="BC39" s="425"/>
      <c r="BD39" s="425"/>
      <c r="BE39" s="425"/>
      <c r="BF39" s="425"/>
      <c r="BG39" s="425"/>
      <c r="BH39" s="425"/>
      <c r="BI39" s="425"/>
      <c r="BJ39" s="425"/>
      <c r="BK39" s="425"/>
      <c r="BL39" s="425"/>
      <c r="BM39" s="425"/>
      <c r="BN39" s="425"/>
      <c r="BO39" s="425"/>
      <c r="BP39" s="425"/>
      <c r="BQ39" s="425"/>
      <c r="BR39" s="425"/>
      <c r="BS39" s="425"/>
      <c r="BT39" s="425"/>
      <c r="BU39" s="425"/>
      <c r="BV39" s="425"/>
      <c r="BW39" s="425"/>
      <c r="BX39" s="425"/>
      <c r="BY39" s="425"/>
      <c r="BZ39" s="425"/>
      <c r="CA39" s="425"/>
      <c r="CB39" s="425"/>
      <c r="CC39" s="425"/>
      <c r="CD39" s="425"/>
      <c r="CE39" s="425"/>
      <c r="CF39" s="425"/>
      <c r="CG39" s="425"/>
      <c r="CH39" s="425"/>
      <c r="CI39" s="425"/>
      <c r="CJ39" s="425"/>
      <c r="CK39" s="425"/>
      <c r="CL39" s="425"/>
      <c r="CM39" s="425"/>
      <c r="CN39" s="425"/>
      <c r="CO39" s="425"/>
      <c r="CP39" s="425"/>
      <c r="CQ39" s="425"/>
      <c r="CR39" s="425"/>
      <c r="CS39" s="425"/>
      <c r="CT39" s="425"/>
      <c r="CU39" s="425"/>
      <c r="CV39" s="425"/>
      <c r="CW39" s="425"/>
      <c r="CX39" s="425"/>
      <c r="CY39" s="425"/>
      <c r="CZ39" s="425"/>
      <c r="DA39" s="425"/>
      <c r="DB39" s="425"/>
      <c r="DC39" s="425"/>
      <c r="DD39" s="425"/>
      <c r="DE39" s="425"/>
      <c r="DF39" s="425"/>
      <c r="DG39" s="425"/>
      <c r="DH39" s="425"/>
      <c r="DI39" s="425"/>
      <c r="DJ39" s="425"/>
      <c r="DK39" s="425"/>
      <c r="DL39" s="425"/>
      <c r="DM39" s="425"/>
      <c r="DN39" s="425"/>
      <c r="DO39" s="425"/>
      <c r="DP39" s="425"/>
      <c r="DQ39" s="425"/>
      <c r="DR39" s="425"/>
      <c r="DS39" s="425"/>
      <c r="DT39" s="425"/>
      <c r="DU39" s="425"/>
      <c r="DV39" s="425"/>
      <c r="DW39" s="425"/>
      <c r="DX39" s="425"/>
      <c r="DY39" s="425"/>
      <c r="DZ39" s="425"/>
      <c r="EA39" s="425"/>
      <c r="EB39" s="425"/>
      <c r="EC39" s="425"/>
      <c r="ED39" s="425"/>
      <c r="EE39" s="425"/>
      <c r="EF39" s="425"/>
      <c r="EG39" s="425"/>
      <c r="EH39" s="425"/>
      <c r="EI39" s="425"/>
      <c r="EJ39" s="425"/>
      <c r="EK39" s="425"/>
      <c r="EL39" s="425"/>
      <c r="EM39" s="425"/>
      <c r="EN39" s="425"/>
      <c r="EO39" s="425"/>
      <c r="EP39" s="425"/>
      <c r="EQ39" s="425"/>
      <c r="ER39" s="425"/>
      <c r="ES39" s="425"/>
      <c r="ET39" s="425"/>
      <c r="EU39" s="425"/>
      <c r="EV39" s="425"/>
      <c r="EW39" s="425"/>
      <c r="EX39" s="425"/>
      <c r="EY39" s="425"/>
      <c r="EZ39" s="425"/>
      <c r="FA39" s="425"/>
      <c r="FB39" s="425"/>
      <c r="FC39" s="425"/>
      <c r="FD39" s="425"/>
      <c r="FE39" s="425"/>
      <c r="FF39" s="425"/>
      <c r="FG39" s="425"/>
      <c r="FH39" s="425"/>
      <c r="FI39" s="425"/>
      <c r="FJ39" s="425"/>
      <c r="FK39" s="425"/>
      <c r="FL39" s="425"/>
      <c r="FM39" s="425"/>
      <c r="FN39" s="425"/>
      <c r="FO39" s="425"/>
      <c r="FP39" s="425"/>
      <c r="FQ39" s="425"/>
      <c r="FR39" s="425"/>
      <c r="FS39" s="425"/>
      <c r="FT39" s="425"/>
      <c r="FU39" s="425"/>
      <c r="FV39" s="425"/>
      <c r="FW39" s="425"/>
      <c r="FX39" s="425"/>
      <c r="FY39" s="425"/>
      <c r="FZ39" s="425"/>
      <c r="GA39" s="425"/>
      <c r="GB39" s="425"/>
      <c r="GC39" s="425"/>
      <c r="GD39" s="425"/>
      <c r="GE39" s="425"/>
      <c r="GF39" s="425"/>
      <c r="GG39" s="425"/>
      <c r="GH39" s="425"/>
      <c r="GI39" s="425"/>
      <c r="GJ39" s="425"/>
      <c r="GK39" s="425"/>
      <c r="GL39" s="425"/>
      <c r="GM39" s="425"/>
      <c r="GN39" s="425"/>
      <c r="GO39" s="425"/>
      <c r="GP39" s="425"/>
      <c r="GQ39" s="425"/>
      <c r="GR39" s="425"/>
      <c r="GS39" s="425"/>
      <c r="GT39" s="425"/>
      <c r="GU39" s="425"/>
      <c r="GV39" s="425"/>
      <c r="GW39" s="425"/>
      <c r="GX39" s="425"/>
      <c r="GY39" s="425"/>
      <c r="GZ39" s="425"/>
      <c r="HA39" s="425"/>
      <c r="HB39" s="425"/>
      <c r="HC39" s="425"/>
      <c r="HD39" s="425"/>
      <c r="HE39" s="425"/>
      <c r="HF39" s="425"/>
      <c r="HG39" s="425"/>
      <c r="HH39" s="425"/>
      <c r="HI39" s="425"/>
      <c r="HJ39" s="425"/>
      <c r="HK39" s="425"/>
      <c r="HL39" s="425"/>
      <c r="HM39" s="425"/>
      <c r="HN39" s="425"/>
      <c r="HO39" s="425"/>
      <c r="HP39" s="425"/>
      <c r="HQ39" s="425"/>
      <c r="HR39" s="425"/>
      <c r="HS39" s="425"/>
      <c r="HT39" s="425"/>
      <c r="HU39" s="425"/>
      <c r="HV39" s="425"/>
      <c r="HW39" s="425"/>
      <c r="HX39" s="425"/>
      <c r="HY39" s="425"/>
      <c r="HZ39" s="425"/>
      <c r="IA39" s="425"/>
      <c r="IB39" s="425"/>
      <c r="IC39" s="425"/>
      <c r="ID39" s="425"/>
      <c r="IE39" s="425"/>
      <c r="IF39" s="425"/>
      <c r="IG39" s="425"/>
      <c r="IH39" s="425"/>
      <c r="II39" s="425"/>
      <c r="IJ39" s="425"/>
      <c r="IK39" s="425"/>
      <c r="IL39" s="425"/>
      <c r="IM39" s="425"/>
      <c r="IN39" s="425"/>
      <c r="IO39" s="425"/>
      <c r="IP39" s="425"/>
      <c r="IQ39" s="425"/>
      <c r="IR39" s="425"/>
      <c r="IS39" s="425"/>
      <c r="IT39" s="425"/>
      <c r="IU39" s="425"/>
      <c r="IV39" s="425"/>
      <c r="IW39" s="425"/>
      <c r="IX39" s="425"/>
      <c r="IY39" s="425"/>
      <c r="IZ39" s="425"/>
    </row>
    <row r="40" spans="1:260" ht="15.75">
      <c r="A40" s="428"/>
      <c r="B40" s="424"/>
      <c r="C40" s="424"/>
      <c r="D40" s="314"/>
      <c r="E40" s="314"/>
      <c r="F40" s="312"/>
      <c r="G40" s="312"/>
      <c r="H40" s="312"/>
      <c r="I40" s="316"/>
      <c r="J40" s="319"/>
      <c r="K40" s="492"/>
      <c r="L40" s="312"/>
      <c r="M40" s="314"/>
      <c r="O40" s="319"/>
      <c r="P40" s="491"/>
      <c r="Q40" s="428"/>
      <c r="R40" s="428"/>
      <c r="S40" s="428"/>
      <c r="T40" s="428"/>
      <c r="AA40" s="425"/>
      <c r="AB40" s="425"/>
      <c r="AC40" s="425"/>
      <c r="AD40" s="425"/>
      <c r="AE40" s="425"/>
      <c r="AF40" s="425"/>
      <c r="AG40" s="425"/>
      <c r="AH40" s="425"/>
      <c r="AI40" s="425"/>
      <c r="AJ40" s="425"/>
      <c r="AK40" s="425"/>
      <c r="AL40" s="425"/>
      <c r="AM40" s="425"/>
      <c r="AN40" s="425"/>
      <c r="AO40" s="425"/>
      <c r="AP40" s="425"/>
      <c r="AQ40" s="425"/>
      <c r="AR40" s="425"/>
      <c r="AS40" s="425"/>
      <c r="AT40" s="425"/>
      <c r="AU40" s="425"/>
      <c r="AV40" s="425"/>
      <c r="AW40" s="425"/>
      <c r="AX40" s="425"/>
      <c r="AY40" s="425"/>
      <c r="AZ40" s="425"/>
      <c r="BA40" s="425"/>
      <c r="BB40" s="425"/>
      <c r="BC40" s="425"/>
      <c r="BD40" s="425"/>
      <c r="BE40" s="425"/>
      <c r="BF40" s="425"/>
      <c r="BG40" s="425"/>
      <c r="BH40" s="425"/>
      <c r="BI40" s="425"/>
      <c r="BJ40" s="425"/>
      <c r="BK40" s="425"/>
      <c r="BL40" s="425"/>
      <c r="BM40" s="425"/>
      <c r="BN40" s="425"/>
      <c r="BO40" s="425"/>
      <c r="BP40" s="425"/>
      <c r="BQ40" s="425"/>
      <c r="BR40" s="425"/>
      <c r="BS40" s="425"/>
      <c r="BT40" s="425"/>
      <c r="BU40" s="425"/>
      <c r="BV40" s="425"/>
      <c r="BW40" s="425"/>
      <c r="BX40" s="425"/>
      <c r="BY40" s="425"/>
      <c r="BZ40" s="425"/>
      <c r="CA40" s="425"/>
      <c r="CB40" s="425"/>
      <c r="CC40" s="425"/>
      <c r="CD40" s="425"/>
      <c r="CE40" s="425"/>
      <c r="CF40" s="425"/>
      <c r="CG40" s="425"/>
      <c r="CH40" s="425"/>
      <c r="CI40" s="425"/>
      <c r="CJ40" s="425"/>
      <c r="CK40" s="425"/>
      <c r="CL40" s="425"/>
      <c r="CM40" s="425"/>
      <c r="CN40" s="425"/>
      <c r="CO40" s="425"/>
      <c r="CP40" s="425"/>
      <c r="CQ40" s="425"/>
      <c r="CR40" s="425"/>
      <c r="CS40" s="425"/>
      <c r="CT40" s="425"/>
      <c r="CU40" s="425"/>
      <c r="CV40" s="425"/>
      <c r="CW40" s="425"/>
      <c r="CX40" s="425"/>
      <c r="CY40" s="425"/>
      <c r="CZ40" s="425"/>
      <c r="DA40" s="425"/>
      <c r="DB40" s="425"/>
      <c r="DC40" s="425"/>
      <c r="DD40" s="425"/>
      <c r="DE40" s="425"/>
      <c r="DF40" s="425"/>
      <c r="DG40" s="425"/>
      <c r="DH40" s="425"/>
      <c r="DI40" s="425"/>
      <c r="DJ40" s="425"/>
      <c r="DK40" s="425"/>
      <c r="DL40" s="425"/>
      <c r="DM40" s="425"/>
      <c r="DN40" s="425"/>
      <c r="DO40" s="425"/>
      <c r="DP40" s="425"/>
      <c r="DQ40" s="425"/>
      <c r="DR40" s="425"/>
      <c r="DS40" s="425"/>
      <c r="DT40" s="425"/>
      <c r="DU40" s="425"/>
      <c r="DV40" s="425"/>
      <c r="DW40" s="425"/>
      <c r="DX40" s="425"/>
      <c r="DY40" s="425"/>
      <c r="DZ40" s="425"/>
      <c r="EA40" s="425"/>
      <c r="EB40" s="425"/>
      <c r="EC40" s="425"/>
      <c r="ED40" s="425"/>
      <c r="EE40" s="425"/>
      <c r="EF40" s="425"/>
      <c r="EG40" s="425"/>
      <c r="EH40" s="425"/>
      <c r="EI40" s="425"/>
      <c r="EJ40" s="425"/>
      <c r="EK40" s="425"/>
      <c r="EL40" s="425"/>
      <c r="EM40" s="425"/>
      <c r="EN40" s="425"/>
      <c r="EO40" s="425"/>
      <c r="EP40" s="425"/>
      <c r="EQ40" s="425"/>
      <c r="ER40" s="425"/>
      <c r="ES40" s="425"/>
      <c r="ET40" s="425"/>
      <c r="EU40" s="425"/>
      <c r="EV40" s="425"/>
      <c r="EW40" s="425"/>
      <c r="EX40" s="425"/>
      <c r="EY40" s="425"/>
      <c r="EZ40" s="425"/>
      <c r="FA40" s="425"/>
      <c r="FB40" s="425"/>
      <c r="FC40" s="425"/>
      <c r="FD40" s="425"/>
      <c r="FE40" s="425"/>
      <c r="FF40" s="425"/>
      <c r="FG40" s="425"/>
      <c r="FH40" s="425"/>
      <c r="FI40" s="425"/>
      <c r="FJ40" s="425"/>
      <c r="FK40" s="425"/>
      <c r="FL40" s="425"/>
      <c r="FM40" s="425"/>
      <c r="FN40" s="425"/>
      <c r="FO40" s="425"/>
      <c r="FP40" s="425"/>
      <c r="FQ40" s="425"/>
      <c r="FR40" s="425"/>
      <c r="FS40" s="425"/>
      <c r="FT40" s="425"/>
      <c r="FU40" s="425"/>
      <c r="FV40" s="425"/>
      <c r="FW40" s="425"/>
      <c r="FX40" s="425"/>
      <c r="FY40" s="425"/>
      <c r="FZ40" s="425"/>
      <c r="GA40" s="425"/>
      <c r="GB40" s="425"/>
      <c r="GC40" s="425"/>
      <c r="GD40" s="425"/>
      <c r="GE40" s="425"/>
      <c r="GF40" s="425"/>
      <c r="GG40" s="425"/>
      <c r="GH40" s="425"/>
      <c r="GI40" s="425"/>
      <c r="GJ40" s="425"/>
      <c r="GK40" s="425"/>
      <c r="GL40" s="425"/>
      <c r="GM40" s="425"/>
      <c r="GN40" s="425"/>
      <c r="GO40" s="425"/>
      <c r="GP40" s="425"/>
      <c r="GQ40" s="425"/>
      <c r="GR40" s="425"/>
      <c r="GS40" s="425"/>
      <c r="GT40" s="425"/>
      <c r="GU40" s="425"/>
      <c r="GV40" s="425"/>
      <c r="GW40" s="425"/>
      <c r="GX40" s="425"/>
      <c r="GY40" s="425"/>
      <c r="GZ40" s="425"/>
      <c r="HA40" s="425"/>
      <c r="HB40" s="425"/>
      <c r="HC40" s="425"/>
      <c r="HD40" s="425"/>
      <c r="HE40" s="425"/>
      <c r="HF40" s="425"/>
      <c r="HG40" s="425"/>
      <c r="HH40" s="425"/>
      <c r="HI40" s="425"/>
      <c r="HJ40" s="425"/>
      <c r="HK40" s="425"/>
      <c r="HL40" s="425"/>
      <c r="HM40" s="425"/>
      <c r="HN40" s="425"/>
      <c r="HO40" s="425"/>
      <c r="HP40" s="425"/>
      <c r="HQ40" s="425"/>
      <c r="HR40" s="425"/>
      <c r="HS40" s="425"/>
      <c r="HT40" s="425"/>
      <c r="HU40" s="425"/>
      <c r="HV40" s="425"/>
      <c r="HW40" s="425"/>
      <c r="HX40" s="425"/>
      <c r="HY40" s="425"/>
      <c r="HZ40" s="425"/>
      <c r="IA40" s="425"/>
      <c r="IB40" s="425"/>
      <c r="IC40" s="425"/>
      <c r="ID40" s="425"/>
      <c r="IE40" s="425"/>
      <c r="IF40" s="425"/>
      <c r="IG40" s="425"/>
      <c r="IH40" s="425"/>
      <c r="II40" s="425"/>
      <c r="IJ40" s="425"/>
      <c r="IK40" s="425"/>
      <c r="IL40" s="425"/>
      <c r="IM40" s="425"/>
      <c r="IN40" s="425"/>
      <c r="IO40" s="425"/>
      <c r="IP40" s="425"/>
      <c r="IQ40" s="425"/>
      <c r="IR40" s="425"/>
      <c r="IS40" s="425"/>
      <c r="IT40" s="425"/>
      <c r="IU40" s="425"/>
      <c r="IV40" s="425"/>
      <c r="IW40" s="425"/>
      <c r="IX40" s="425"/>
      <c r="IY40" s="425"/>
      <c r="IZ40" s="428"/>
    </row>
    <row r="41" spans="1:260" ht="15.75">
      <c r="A41" s="428"/>
      <c r="B41" s="424"/>
      <c r="C41" s="424"/>
      <c r="D41" s="314"/>
      <c r="E41" s="314"/>
      <c r="F41" s="312"/>
      <c r="G41" s="312"/>
      <c r="H41" s="312"/>
      <c r="I41" s="316"/>
      <c r="J41" s="316"/>
      <c r="K41" s="413"/>
      <c r="L41" s="312"/>
      <c r="M41" s="314"/>
      <c r="O41" s="444"/>
      <c r="P41" s="491"/>
      <c r="Q41" s="428"/>
      <c r="R41" s="428"/>
      <c r="S41" s="428"/>
      <c r="T41" s="428"/>
      <c r="AA41" s="425"/>
      <c r="AB41" s="425"/>
      <c r="AC41" s="425"/>
      <c r="AD41" s="425"/>
      <c r="AE41" s="425"/>
      <c r="AF41" s="425"/>
      <c r="AG41" s="425"/>
      <c r="AH41" s="425"/>
      <c r="AI41" s="425"/>
      <c r="AJ41" s="425"/>
      <c r="AK41" s="425"/>
      <c r="AL41" s="425"/>
      <c r="AM41" s="425"/>
      <c r="AN41" s="425"/>
      <c r="AO41" s="425"/>
      <c r="AP41" s="425"/>
      <c r="AQ41" s="425"/>
      <c r="AR41" s="425"/>
      <c r="AS41" s="425"/>
      <c r="AT41" s="425"/>
      <c r="AU41" s="425"/>
      <c r="AV41" s="425"/>
      <c r="AW41" s="425"/>
      <c r="AX41" s="425"/>
      <c r="AY41" s="425"/>
      <c r="AZ41" s="425"/>
      <c r="BA41" s="425"/>
      <c r="BB41" s="425"/>
      <c r="BC41" s="425"/>
      <c r="BD41" s="425"/>
      <c r="BE41" s="425"/>
      <c r="BF41" s="425"/>
      <c r="BG41" s="425"/>
      <c r="BH41" s="425"/>
      <c r="BI41" s="425"/>
      <c r="BJ41" s="425"/>
      <c r="BK41" s="425"/>
      <c r="BL41" s="425"/>
      <c r="BM41" s="425"/>
      <c r="BN41" s="425"/>
      <c r="BO41" s="425"/>
      <c r="BP41" s="425"/>
      <c r="BQ41" s="425"/>
      <c r="BR41" s="425"/>
      <c r="BS41" s="425"/>
      <c r="BT41" s="425"/>
      <c r="BU41" s="425"/>
      <c r="BV41" s="425"/>
      <c r="BW41" s="425"/>
      <c r="BX41" s="425"/>
      <c r="BY41" s="425"/>
      <c r="BZ41" s="425"/>
      <c r="CA41" s="425"/>
      <c r="CB41" s="425"/>
      <c r="CC41" s="425"/>
      <c r="CD41" s="425"/>
      <c r="CE41" s="425"/>
      <c r="CF41" s="425"/>
      <c r="CG41" s="425"/>
      <c r="CH41" s="425"/>
      <c r="CI41" s="425"/>
      <c r="CJ41" s="425"/>
      <c r="CK41" s="425"/>
      <c r="CL41" s="425"/>
      <c r="CM41" s="425"/>
      <c r="CN41" s="425"/>
      <c r="CO41" s="425"/>
      <c r="CP41" s="425"/>
      <c r="CQ41" s="425"/>
      <c r="CR41" s="425"/>
      <c r="CS41" s="425"/>
      <c r="CT41" s="425"/>
      <c r="CU41" s="425"/>
      <c r="CV41" s="425"/>
      <c r="CW41" s="425"/>
      <c r="CX41" s="425"/>
      <c r="CY41" s="425"/>
      <c r="CZ41" s="425"/>
      <c r="DA41" s="425"/>
      <c r="DB41" s="425"/>
      <c r="DC41" s="425"/>
      <c r="DD41" s="425"/>
      <c r="DE41" s="425"/>
      <c r="DF41" s="425"/>
      <c r="DG41" s="425"/>
      <c r="DH41" s="425"/>
      <c r="DI41" s="425"/>
      <c r="DJ41" s="425"/>
      <c r="DK41" s="425"/>
      <c r="DL41" s="425"/>
      <c r="DM41" s="425"/>
      <c r="DN41" s="425"/>
      <c r="DO41" s="425"/>
      <c r="DP41" s="425"/>
      <c r="DQ41" s="425"/>
      <c r="DR41" s="425"/>
      <c r="DS41" s="425"/>
      <c r="DT41" s="425"/>
      <c r="DU41" s="425"/>
      <c r="DV41" s="425"/>
      <c r="DW41" s="425"/>
      <c r="DX41" s="425"/>
      <c r="DY41" s="425"/>
      <c r="DZ41" s="425"/>
      <c r="EA41" s="425"/>
      <c r="EB41" s="425"/>
      <c r="EC41" s="425"/>
      <c r="ED41" s="425"/>
      <c r="EE41" s="425"/>
      <c r="EF41" s="425"/>
      <c r="EG41" s="425"/>
      <c r="EH41" s="425"/>
      <c r="EI41" s="425"/>
      <c r="EJ41" s="425"/>
      <c r="EK41" s="425"/>
      <c r="EL41" s="425"/>
      <c r="EM41" s="425"/>
      <c r="EN41" s="425"/>
      <c r="EO41" s="425"/>
      <c r="EP41" s="425"/>
      <c r="EQ41" s="425"/>
      <c r="ER41" s="425"/>
      <c r="ES41" s="425"/>
      <c r="ET41" s="425"/>
      <c r="EU41" s="425"/>
      <c r="EV41" s="425"/>
      <c r="EW41" s="425"/>
      <c r="EX41" s="425"/>
      <c r="EY41" s="425"/>
      <c r="EZ41" s="425"/>
      <c r="FA41" s="425"/>
      <c r="FB41" s="425"/>
      <c r="FC41" s="425"/>
      <c r="FD41" s="425"/>
      <c r="FE41" s="425"/>
      <c r="FF41" s="425"/>
      <c r="FG41" s="425"/>
      <c r="FH41" s="425"/>
      <c r="FI41" s="425"/>
      <c r="FJ41" s="425"/>
      <c r="FK41" s="425"/>
      <c r="FL41" s="425"/>
      <c r="FM41" s="425"/>
      <c r="FN41" s="425"/>
      <c r="FO41" s="425"/>
      <c r="FP41" s="425"/>
      <c r="FQ41" s="425"/>
      <c r="FR41" s="425"/>
      <c r="FS41" s="425"/>
      <c r="FT41" s="425"/>
      <c r="FU41" s="425"/>
      <c r="FV41" s="425"/>
      <c r="FW41" s="425"/>
      <c r="FX41" s="425"/>
      <c r="FY41" s="425"/>
      <c r="FZ41" s="425"/>
      <c r="GA41" s="425"/>
      <c r="GB41" s="425"/>
      <c r="GC41" s="425"/>
      <c r="GD41" s="425"/>
      <c r="GE41" s="425"/>
      <c r="GF41" s="425"/>
      <c r="GG41" s="425"/>
      <c r="GH41" s="425"/>
      <c r="GI41" s="425"/>
      <c r="GJ41" s="425"/>
      <c r="GK41" s="425"/>
      <c r="GL41" s="425"/>
      <c r="GM41" s="425"/>
      <c r="GN41" s="425"/>
      <c r="GO41" s="425"/>
      <c r="GP41" s="425"/>
      <c r="GQ41" s="425"/>
      <c r="GR41" s="425"/>
      <c r="GS41" s="425"/>
      <c r="GT41" s="425"/>
      <c r="GU41" s="425"/>
      <c r="GV41" s="425"/>
      <c r="GW41" s="425"/>
      <c r="GX41" s="425"/>
      <c r="GY41" s="425"/>
      <c r="GZ41" s="425"/>
      <c r="HA41" s="425"/>
      <c r="HB41" s="425"/>
      <c r="HC41" s="425"/>
      <c r="HD41" s="425"/>
      <c r="HE41" s="425"/>
      <c r="HF41" s="425"/>
      <c r="HG41" s="425"/>
      <c r="HH41" s="425"/>
      <c r="HI41" s="425"/>
      <c r="HJ41" s="425"/>
      <c r="HK41" s="425"/>
      <c r="HL41" s="425"/>
      <c r="HM41" s="425"/>
      <c r="HN41" s="425"/>
      <c r="HO41" s="425"/>
      <c r="HP41" s="425"/>
      <c r="HQ41" s="425"/>
      <c r="HR41" s="425"/>
      <c r="HS41" s="425"/>
      <c r="HT41" s="425"/>
      <c r="HU41" s="425"/>
      <c r="HV41" s="425"/>
      <c r="HW41" s="425"/>
      <c r="HX41" s="425"/>
      <c r="HY41" s="425"/>
      <c r="HZ41" s="425"/>
      <c r="IA41" s="425"/>
      <c r="IB41" s="425"/>
      <c r="IC41" s="425"/>
      <c r="ID41" s="425"/>
      <c r="IE41" s="425"/>
      <c r="IF41" s="425"/>
      <c r="IG41" s="425"/>
      <c r="IH41" s="425"/>
      <c r="II41" s="425"/>
      <c r="IJ41" s="425"/>
      <c r="IK41" s="425"/>
      <c r="IL41" s="425"/>
      <c r="IM41" s="425"/>
      <c r="IN41" s="425"/>
      <c r="IO41" s="425"/>
      <c r="IP41" s="425"/>
      <c r="IQ41" s="425"/>
      <c r="IR41" s="425"/>
      <c r="IS41" s="425"/>
      <c r="IT41" s="425"/>
      <c r="IU41" s="425"/>
      <c r="IV41" s="425"/>
      <c r="IW41" s="425"/>
      <c r="IX41" s="425"/>
      <c r="IY41" s="425"/>
      <c r="IZ41" s="428"/>
    </row>
    <row r="42" spans="1:260" ht="15.75">
      <c r="A42" s="428"/>
      <c r="B42" s="424"/>
      <c r="C42" s="424"/>
      <c r="D42" s="314"/>
      <c r="E42" s="314"/>
      <c r="F42" s="312"/>
      <c r="G42" s="312"/>
      <c r="H42" s="312"/>
      <c r="I42" s="316"/>
      <c r="J42" s="316"/>
      <c r="K42" s="413"/>
      <c r="L42" s="312"/>
      <c r="M42" s="314"/>
      <c r="P42" s="491"/>
      <c r="Q42" s="428"/>
      <c r="R42" s="428"/>
      <c r="S42" s="428"/>
      <c r="T42" s="428"/>
      <c r="AA42" s="425"/>
      <c r="AB42" s="425"/>
      <c r="AC42" s="425"/>
      <c r="AD42" s="425"/>
      <c r="AE42" s="425"/>
      <c r="AF42" s="425"/>
      <c r="AG42" s="425"/>
      <c r="AH42" s="425"/>
      <c r="AI42" s="425"/>
      <c r="AJ42" s="425"/>
      <c r="AK42" s="425"/>
      <c r="AL42" s="425"/>
      <c r="AM42" s="425"/>
      <c r="AN42" s="425"/>
      <c r="AO42" s="425"/>
      <c r="AP42" s="425"/>
      <c r="AQ42" s="425"/>
      <c r="AR42" s="425"/>
      <c r="AS42" s="425"/>
      <c r="AT42" s="425"/>
      <c r="AU42" s="425"/>
      <c r="AV42" s="425"/>
      <c r="AW42" s="425"/>
      <c r="AX42" s="425"/>
      <c r="AY42" s="425"/>
      <c r="AZ42" s="425"/>
      <c r="BA42" s="425"/>
      <c r="BB42" s="425"/>
      <c r="BC42" s="425"/>
      <c r="BD42" s="425"/>
      <c r="BE42" s="425"/>
      <c r="BF42" s="425"/>
      <c r="BG42" s="425"/>
      <c r="BH42" s="425"/>
      <c r="BI42" s="425"/>
      <c r="BJ42" s="425"/>
      <c r="BK42" s="425"/>
      <c r="BL42" s="425"/>
      <c r="BM42" s="425"/>
      <c r="BN42" s="425"/>
      <c r="BO42" s="425"/>
      <c r="BP42" s="425"/>
      <c r="BQ42" s="425"/>
      <c r="BR42" s="425"/>
      <c r="BS42" s="425"/>
      <c r="BT42" s="425"/>
      <c r="BU42" s="425"/>
      <c r="BV42" s="425"/>
      <c r="BW42" s="425"/>
      <c r="BX42" s="425"/>
      <c r="BY42" s="425"/>
      <c r="BZ42" s="425"/>
      <c r="CA42" s="425"/>
      <c r="CB42" s="425"/>
      <c r="CC42" s="425"/>
      <c r="CD42" s="425"/>
      <c r="CE42" s="425"/>
      <c r="CF42" s="425"/>
      <c r="CG42" s="425"/>
      <c r="CH42" s="425"/>
      <c r="CI42" s="425"/>
      <c r="CJ42" s="425"/>
      <c r="CK42" s="425"/>
      <c r="CL42" s="425"/>
      <c r="CM42" s="425"/>
      <c r="CN42" s="425"/>
      <c r="CO42" s="425"/>
      <c r="CP42" s="425"/>
      <c r="CQ42" s="425"/>
      <c r="CR42" s="425"/>
      <c r="CS42" s="425"/>
      <c r="CT42" s="425"/>
      <c r="CU42" s="425"/>
      <c r="CV42" s="425"/>
      <c r="CW42" s="425"/>
      <c r="CX42" s="425"/>
      <c r="CY42" s="425"/>
      <c r="CZ42" s="425"/>
      <c r="DA42" s="425"/>
      <c r="DB42" s="425"/>
      <c r="DC42" s="425"/>
      <c r="DD42" s="425"/>
      <c r="DE42" s="425"/>
      <c r="DF42" s="425"/>
      <c r="DG42" s="425"/>
      <c r="DH42" s="425"/>
      <c r="DI42" s="425"/>
      <c r="DJ42" s="425"/>
      <c r="DK42" s="425"/>
      <c r="DL42" s="425"/>
      <c r="DM42" s="425"/>
      <c r="DN42" s="425"/>
      <c r="DO42" s="425"/>
      <c r="DP42" s="425"/>
      <c r="DQ42" s="425"/>
      <c r="DR42" s="425"/>
      <c r="DS42" s="425"/>
      <c r="DT42" s="425"/>
      <c r="DU42" s="425"/>
      <c r="DV42" s="425"/>
      <c r="DW42" s="425"/>
      <c r="DX42" s="425"/>
      <c r="DY42" s="425"/>
      <c r="DZ42" s="425"/>
      <c r="EA42" s="425"/>
      <c r="EB42" s="425"/>
      <c r="EC42" s="425"/>
      <c r="ED42" s="425"/>
      <c r="EE42" s="425"/>
      <c r="EF42" s="425"/>
      <c r="EG42" s="425"/>
      <c r="EH42" s="425"/>
      <c r="EI42" s="425"/>
      <c r="EJ42" s="425"/>
      <c r="EK42" s="425"/>
      <c r="EL42" s="425"/>
      <c r="EM42" s="425"/>
      <c r="EN42" s="425"/>
      <c r="EO42" s="425"/>
      <c r="EP42" s="425"/>
      <c r="EQ42" s="425"/>
      <c r="ER42" s="425"/>
      <c r="ES42" s="425"/>
      <c r="ET42" s="425"/>
      <c r="EU42" s="425"/>
      <c r="EV42" s="425"/>
      <c r="EW42" s="425"/>
      <c r="EX42" s="425"/>
      <c r="EY42" s="425"/>
      <c r="EZ42" s="425"/>
      <c r="FA42" s="425"/>
      <c r="FB42" s="425"/>
      <c r="FC42" s="425"/>
      <c r="FD42" s="425"/>
      <c r="FE42" s="425"/>
      <c r="FF42" s="425"/>
      <c r="FG42" s="425"/>
      <c r="FH42" s="425"/>
      <c r="FI42" s="425"/>
      <c r="FJ42" s="425"/>
      <c r="FK42" s="425"/>
      <c r="FL42" s="425"/>
      <c r="FM42" s="425"/>
      <c r="FN42" s="425"/>
      <c r="FO42" s="425"/>
      <c r="FP42" s="425"/>
      <c r="FQ42" s="425"/>
      <c r="FR42" s="425"/>
      <c r="FS42" s="425"/>
      <c r="FT42" s="425"/>
      <c r="FU42" s="425"/>
      <c r="FV42" s="425"/>
      <c r="FW42" s="425"/>
      <c r="FX42" s="425"/>
      <c r="FY42" s="425"/>
      <c r="FZ42" s="425"/>
      <c r="GA42" s="425"/>
      <c r="GB42" s="425"/>
      <c r="GC42" s="425"/>
      <c r="GD42" s="425"/>
      <c r="GE42" s="425"/>
      <c r="GF42" s="425"/>
      <c r="GG42" s="425"/>
      <c r="GH42" s="425"/>
      <c r="GI42" s="425"/>
      <c r="GJ42" s="425"/>
      <c r="GK42" s="425"/>
      <c r="GL42" s="425"/>
      <c r="GM42" s="425"/>
      <c r="GN42" s="425"/>
      <c r="GO42" s="425"/>
      <c r="GP42" s="425"/>
      <c r="GQ42" s="425"/>
      <c r="GR42" s="425"/>
      <c r="GS42" s="425"/>
      <c r="GT42" s="425"/>
      <c r="GU42" s="425"/>
      <c r="GV42" s="425"/>
      <c r="GW42" s="425"/>
      <c r="GX42" s="425"/>
      <c r="GY42" s="425"/>
      <c r="GZ42" s="425"/>
      <c r="HA42" s="425"/>
      <c r="HB42" s="425"/>
      <c r="HC42" s="425"/>
      <c r="HD42" s="425"/>
      <c r="HE42" s="425"/>
      <c r="HF42" s="425"/>
      <c r="HG42" s="425"/>
      <c r="HH42" s="425"/>
      <c r="HI42" s="425"/>
      <c r="HJ42" s="425"/>
      <c r="HK42" s="425"/>
      <c r="HL42" s="425"/>
      <c r="HM42" s="425"/>
      <c r="HN42" s="425"/>
      <c r="HO42" s="425"/>
      <c r="HP42" s="425"/>
      <c r="HQ42" s="425"/>
      <c r="HR42" s="425"/>
      <c r="HS42" s="425"/>
      <c r="HT42" s="425"/>
      <c r="HU42" s="425"/>
      <c r="HV42" s="425"/>
      <c r="HW42" s="425"/>
      <c r="HX42" s="425"/>
      <c r="HY42" s="425"/>
      <c r="HZ42" s="425"/>
      <c r="IA42" s="425"/>
      <c r="IB42" s="425"/>
      <c r="IC42" s="425"/>
      <c r="ID42" s="425"/>
      <c r="IE42" s="425"/>
      <c r="IF42" s="425"/>
      <c r="IG42" s="425"/>
      <c r="IH42" s="425"/>
      <c r="II42" s="425"/>
      <c r="IJ42" s="425"/>
      <c r="IK42" s="425"/>
      <c r="IL42" s="425"/>
      <c r="IM42" s="425"/>
      <c r="IN42" s="425"/>
      <c r="IO42" s="425"/>
      <c r="IP42" s="425"/>
      <c r="IQ42" s="425"/>
      <c r="IR42" s="425"/>
      <c r="IS42" s="425"/>
      <c r="IT42" s="425"/>
      <c r="IU42" s="425"/>
      <c r="IV42" s="425"/>
      <c r="IW42" s="425"/>
      <c r="IX42" s="425"/>
      <c r="IY42" s="425"/>
      <c r="IZ42" s="428"/>
    </row>
    <row r="43" spans="1:260" ht="15.75">
      <c r="A43" s="428"/>
      <c r="B43" s="424"/>
      <c r="D43" s="493"/>
      <c r="E43" s="493"/>
      <c r="F43" s="494"/>
      <c r="G43" s="494"/>
      <c r="H43" s="494"/>
      <c r="K43" s="413"/>
      <c r="P43" s="491"/>
      <c r="Q43" s="428"/>
      <c r="R43" s="428"/>
      <c r="S43" s="428"/>
      <c r="T43" s="428"/>
      <c r="AA43" s="425"/>
      <c r="AB43" s="425"/>
      <c r="AC43" s="425"/>
      <c r="AD43" s="425"/>
      <c r="AE43" s="425"/>
      <c r="AF43" s="425"/>
      <c r="AG43" s="425"/>
      <c r="AH43" s="425"/>
      <c r="AI43" s="425"/>
      <c r="AJ43" s="425"/>
      <c r="AK43" s="425"/>
      <c r="AL43" s="425"/>
      <c r="AM43" s="425"/>
      <c r="AN43" s="425"/>
      <c r="AO43" s="425"/>
      <c r="AP43" s="425"/>
      <c r="AQ43" s="425"/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5"/>
      <c r="BF43" s="425"/>
      <c r="BG43" s="425"/>
      <c r="BH43" s="425"/>
      <c r="BI43" s="425"/>
      <c r="BJ43" s="425"/>
      <c r="BK43" s="425"/>
      <c r="BL43" s="425"/>
      <c r="BM43" s="425"/>
      <c r="BN43" s="425"/>
      <c r="BO43" s="425"/>
      <c r="BP43" s="425"/>
      <c r="BQ43" s="425"/>
      <c r="BR43" s="425"/>
      <c r="BS43" s="425"/>
      <c r="BT43" s="425"/>
      <c r="BU43" s="425"/>
      <c r="BV43" s="425"/>
      <c r="BW43" s="425"/>
      <c r="BX43" s="425"/>
      <c r="BY43" s="425"/>
      <c r="BZ43" s="425"/>
      <c r="CA43" s="425"/>
      <c r="CB43" s="425"/>
      <c r="CC43" s="425"/>
      <c r="CD43" s="425"/>
      <c r="CE43" s="425"/>
      <c r="CF43" s="425"/>
      <c r="CG43" s="425"/>
      <c r="CH43" s="425"/>
      <c r="CI43" s="425"/>
      <c r="CJ43" s="425"/>
      <c r="CK43" s="425"/>
      <c r="CL43" s="425"/>
      <c r="CM43" s="425"/>
      <c r="CN43" s="425"/>
      <c r="CO43" s="425"/>
      <c r="CP43" s="425"/>
      <c r="CQ43" s="425"/>
      <c r="CR43" s="425"/>
      <c r="CS43" s="425"/>
      <c r="CT43" s="425"/>
      <c r="CU43" s="425"/>
      <c r="CV43" s="425"/>
      <c r="CW43" s="425"/>
      <c r="CX43" s="425"/>
      <c r="CY43" s="425"/>
      <c r="CZ43" s="425"/>
      <c r="DA43" s="425"/>
      <c r="DB43" s="425"/>
      <c r="DC43" s="425"/>
      <c r="DD43" s="425"/>
      <c r="DE43" s="425"/>
      <c r="DF43" s="425"/>
      <c r="DG43" s="425"/>
      <c r="DH43" s="425"/>
      <c r="DI43" s="425"/>
      <c r="DJ43" s="425"/>
      <c r="DK43" s="425"/>
      <c r="DL43" s="425"/>
      <c r="DM43" s="425"/>
      <c r="DN43" s="425"/>
      <c r="DO43" s="425"/>
      <c r="DP43" s="425"/>
      <c r="DQ43" s="425"/>
      <c r="DR43" s="425"/>
      <c r="DS43" s="425"/>
      <c r="DT43" s="425"/>
      <c r="DU43" s="425"/>
      <c r="DV43" s="425"/>
      <c r="DW43" s="425"/>
      <c r="DX43" s="425"/>
      <c r="DY43" s="425"/>
      <c r="DZ43" s="425"/>
      <c r="EA43" s="425"/>
      <c r="EB43" s="425"/>
      <c r="EC43" s="425"/>
      <c r="ED43" s="425"/>
      <c r="EE43" s="425"/>
      <c r="EF43" s="425"/>
      <c r="EG43" s="425"/>
      <c r="EH43" s="425"/>
      <c r="EI43" s="425"/>
      <c r="EJ43" s="425"/>
      <c r="EK43" s="425"/>
      <c r="EL43" s="425"/>
      <c r="EM43" s="425"/>
      <c r="EN43" s="425"/>
      <c r="EO43" s="425"/>
      <c r="EP43" s="425"/>
      <c r="EQ43" s="425"/>
      <c r="ER43" s="425"/>
      <c r="ES43" s="425"/>
      <c r="ET43" s="425"/>
      <c r="EU43" s="425"/>
      <c r="EV43" s="425"/>
      <c r="EW43" s="425"/>
      <c r="EX43" s="425"/>
      <c r="EY43" s="425"/>
      <c r="EZ43" s="425"/>
      <c r="FA43" s="425"/>
      <c r="FB43" s="425"/>
      <c r="FC43" s="425"/>
      <c r="FD43" s="425"/>
      <c r="FE43" s="425"/>
      <c r="FF43" s="425"/>
      <c r="FG43" s="425"/>
      <c r="FH43" s="425"/>
      <c r="FI43" s="425"/>
      <c r="FJ43" s="425"/>
      <c r="FK43" s="425"/>
      <c r="FL43" s="425"/>
      <c r="FM43" s="425"/>
      <c r="FN43" s="425"/>
      <c r="FO43" s="425"/>
      <c r="FP43" s="425"/>
      <c r="FQ43" s="425"/>
      <c r="FR43" s="425"/>
      <c r="FS43" s="425"/>
      <c r="FT43" s="425"/>
      <c r="FU43" s="425"/>
      <c r="FV43" s="425"/>
      <c r="FW43" s="425"/>
      <c r="FX43" s="425"/>
      <c r="FY43" s="425"/>
      <c r="FZ43" s="425"/>
      <c r="GA43" s="425"/>
      <c r="GB43" s="425"/>
      <c r="GC43" s="425"/>
      <c r="GD43" s="425"/>
      <c r="GE43" s="425"/>
      <c r="GF43" s="425"/>
      <c r="GG43" s="425"/>
      <c r="GH43" s="425"/>
      <c r="GI43" s="425"/>
      <c r="GJ43" s="425"/>
      <c r="GK43" s="425"/>
      <c r="GL43" s="425"/>
      <c r="GM43" s="425"/>
      <c r="GN43" s="425"/>
      <c r="GO43" s="425"/>
      <c r="GP43" s="425"/>
      <c r="GQ43" s="425"/>
      <c r="GR43" s="425"/>
      <c r="GS43" s="425"/>
      <c r="GT43" s="425"/>
      <c r="GU43" s="425"/>
      <c r="GV43" s="425"/>
      <c r="GW43" s="425"/>
      <c r="GX43" s="425"/>
      <c r="GY43" s="425"/>
      <c r="GZ43" s="425"/>
      <c r="HA43" s="425"/>
      <c r="HB43" s="425"/>
      <c r="HC43" s="425"/>
      <c r="HD43" s="425"/>
      <c r="HE43" s="425"/>
      <c r="HF43" s="425"/>
      <c r="HG43" s="425"/>
      <c r="HH43" s="425"/>
      <c r="HI43" s="425"/>
      <c r="HJ43" s="425"/>
      <c r="HK43" s="425"/>
      <c r="HL43" s="425"/>
      <c r="HM43" s="425"/>
      <c r="HN43" s="425"/>
      <c r="HO43" s="425"/>
      <c r="HP43" s="425"/>
      <c r="HQ43" s="425"/>
      <c r="HR43" s="425"/>
      <c r="HS43" s="425"/>
      <c r="HT43" s="425"/>
      <c r="HU43" s="425"/>
      <c r="HV43" s="425"/>
      <c r="HW43" s="425"/>
      <c r="HX43" s="425"/>
      <c r="HY43" s="425"/>
      <c r="HZ43" s="425"/>
      <c r="IA43" s="425"/>
      <c r="IB43" s="425"/>
      <c r="IC43" s="425"/>
      <c r="ID43" s="425"/>
      <c r="IE43" s="425"/>
      <c r="IF43" s="425"/>
      <c r="IG43" s="425"/>
      <c r="IH43" s="425"/>
      <c r="II43" s="425"/>
      <c r="IJ43" s="425"/>
      <c r="IK43" s="425"/>
      <c r="IL43" s="425"/>
      <c r="IM43" s="425"/>
      <c r="IN43" s="425"/>
      <c r="IO43" s="425"/>
      <c r="IP43" s="425"/>
      <c r="IQ43" s="425"/>
      <c r="IR43" s="425"/>
      <c r="IS43" s="425"/>
      <c r="IT43" s="425"/>
      <c r="IU43" s="425"/>
      <c r="IV43" s="425"/>
      <c r="IW43" s="425"/>
      <c r="IX43" s="425"/>
      <c r="IY43" s="425"/>
      <c r="IZ43" s="428"/>
    </row>
    <row r="44" spans="1:260" ht="15.75">
      <c r="A44" s="428"/>
      <c r="B44" s="424"/>
      <c r="K44" s="413"/>
      <c r="O44" s="428"/>
      <c r="P44" s="428"/>
      <c r="Q44" s="428"/>
      <c r="R44" s="428"/>
      <c r="AB44" s="425"/>
      <c r="AC44" s="425"/>
      <c r="AD44" s="425"/>
      <c r="AE44" s="425"/>
      <c r="AF44" s="425"/>
      <c r="AG44" s="425"/>
      <c r="AH44" s="425"/>
      <c r="AI44" s="425"/>
      <c r="AJ44" s="425"/>
      <c r="AK44" s="425"/>
      <c r="AL44" s="425"/>
      <c r="AM44" s="425"/>
      <c r="AN44" s="425"/>
      <c r="AO44" s="425"/>
      <c r="AP44" s="425"/>
      <c r="AQ44" s="425"/>
      <c r="AR44" s="425"/>
      <c r="AS44" s="425"/>
      <c r="AT44" s="425"/>
      <c r="AU44" s="425"/>
      <c r="AV44" s="425"/>
      <c r="AW44" s="425"/>
      <c r="AX44" s="425"/>
      <c r="AY44" s="425"/>
      <c r="AZ44" s="425"/>
      <c r="BA44" s="425"/>
      <c r="BB44" s="425"/>
      <c r="BC44" s="425"/>
      <c r="BD44" s="425"/>
      <c r="BE44" s="425"/>
      <c r="BF44" s="425"/>
      <c r="BG44" s="425"/>
      <c r="BH44" s="425"/>
      <c r="BI44" s="425"/>
      <c r="BJ44" s="425"/>
      <c r="BK44" s="425"/>
      <c r="BL44" s="425"/>
      <c r="BM44" s="425"/>
      <c r="BN44" s="425"/>
      <c r="BO44" s="425"/>
      <c r="BP44" s="425"/>
      <c r="BQ44" s="425"/>
      <c r="BR44" s="425"/>
      <c r="BS44" s="425"/>
      <c r="BT44" s="425"/>
      <c r="BU44" s="425"/>
      <c r="BV44" s="425"/>
      <c r="BW44" s="425"/>
      <c r="BX44" s="425"/>
      <c r="BY44" s="425"/>
      <c r="BZ44" s="425"/>
      <c r="CA44" s="425"/>
      <c r="CB44" s="425"/>
      <c r="CC44" s="425"/>
      <c r="CD44" s="425"/>
      <c r="CE44" s="425"/>
      <c r="CF44" s="425"/>
      <c r="CG44" s="425"/>
      <c r="CH44" s="425"/>
      <c r="CI44" s="425"/>
      <c r="CJ44" s="425"/>
      <c r="CK44" s="425"/>
      <c r="CL44" s="425"/>
      <c r="CM44" s="425"/>
      <c r="CN44" s="425"/>
      <c r="CO44" s="425"/>
      <c r="CP44" s="425"/>
      <c r="CQ44" s="425"/>
      <c r="CR44" s="425"/>
      <c r="CS44" s="425"/>
      <c r="CT44" s="425"/>
      <c r="CU44" s="425"/>
      <c r="CV44" s="425"/>
      <c r="CW44" s="425"/>
      <c r="CX44" s="425"/>
      <c r="CY44" s="425"/>
      <c r="CZ44" s="425"/>
      <c r="DA44" s="425"/>
      <c r="DB44" s="425"/>
      <c r="DC44" s="425"/>
      <c r="DD44" s="425"/>
      <c r="DE44" s="425"/>
      <c r="DF44" s="425"/>
      <c r="DG44" s="425"/>
      <c r="DH44" s="425"/>
      <c r="DI44" s="425"/>
      <c r="DJ44" s="425"/>
      <c r="DK44" s="425"/>
      <c r="DL44" s="425"/>
      <c r="DM44" s="425"/>
      <c r="DN44" s="425"/>
      <c r="DO44" s="425"/>
      <c r="DP44" s="425"/>
      <c r="DQ44" s="425"/>
      <c r="DR44" s="425"/>
      <c r="DS44" s="425"/>
      <c r="DT44" s="425"/>
      <c r="DU44" s="425"/>
      <c r="DV44" s="425"/>
      <c r="DW44" s="425"/>
      <c r="DX44" s="425"/>
      <c r="DY44" s="425"/>
      <c r="DZ44" s="425"/>
      <c r="EA44" s="425"/>
      <c r="EB44" s="425"/>
      <c r="EC44" s="425"/>
      <c r="ED44" s="425"/>
      <c r="EE44" s="425"/>
      <c r="EF44" s="425"/>
      <c r="EG44" s="425"/>
      <c r="EH44" s="425"/>
      <c r="EI44" s="425"/>
      <c r="EJ44" s="425"/>
      <c r="EK44" s="425"/>
      <c r="EL44" s="425"/>
      <c r="EM44" s="425"/>
      <c r="EN44" s="425"/>
      <c r="EO44" s="425"/>
      <c r="EP44" s="425"/>
      <c r="EQ44" s="425"/>
      <c r="ER44" s="425"/>
      <c r="ES44" s="425"/>
      <c r="ET44" s="425"/>
      <c r="EU44" s="425"/>
      <c r="EV44" s="425"/>
      <c r="EW44" s="425"/>
      <c r="EX44" s="425"/>
      <c r="EY44" s="425"/>
      <c r="EZ44" s="425"/>
      <c r="FA44" s="425"/>
      <c r="FB44" s="425"/>
      <c r="FC44" s="425"/>
      <c r="FD44" s="425"/>
      <c r="FE44" s="425"/>
      <c r="FF44" s="425"/>
      <c r="FG44" s="425"/>
      <c r="FH44" s="425"/>
      <c r="FI44" s="425"/>
      <c r="FJ44" s="425"/>
      <c r="FK44" s="425"/>
      <c r="FL44" s="425"/>
      <c r="FM44" s="425"/>
      <c r="FN44" s="425"/>
      <c r="FO44" s="425"/>
      <c r="FP44" s="425"/>
      <c r="FQ44" s="425"/>
      <c r="FR44" s="425"/>
      <c r="FS44" s="425"/>
      <c r="FT44" s="425"/>
      <c r="FU44" s="425"/>
      <c r="FV44" s="425"/>
      <c r="FW44" s="425"/>
      <c r="FX44" s="425"/>
      <c r="FY44" s="425"/>
      <c r="FZ44" s="425"/>
      <c r="GA44" s="425"/>
      <c r="GB44" s="425"/>
      <c r="GC44" s="425"/>
      <c r="GD44" s="425"/>
      <c r="GE44" s="425"/>
      <c r="GF44" s="425"/>
      <c r="GG44" s="425"/>
      <c r="GH44" s="425"/>
      <c r="GI44" s="425"/>
      <c r="GJ44" s="425"/>
      <c r="GK44" s="425"/>
      <c r="GL44" s="425"/>
      <c r="GM44" s="425"/>
      <c r="GN44" s="425"/>
      <c r="GO44" s="425"/>
      <c r="GP44" s="425"/>
      <c r="GQ44" s="425"/>
      <c r="GR44" s="425"/>
      <c r="GS44" s="425"/>
      <c r="GT44" s="425"/>
      <c r="GU44" s="425"/>
      <c r="GV44" s="425"/>
      <c r="GW44" s="425"/>
      <c r="GX44" s="425"/>
      <c r="GY44" s="425"/>
      <c r="GZ44" s="425"/>
      <c r="HA44" s="425"/>
      <c r="HB44" s="425"/>
      <c r="HC44" s="425"/>
      <c r="HD44" s="425"/>
      <c r="HE44" s="425"/>
      <c r="HF44" s="425"/>
      <c r="HG44" s="425"/>
      <c r="HH44" s="425"/>
      <c r="HI44" s="425"/>
      <c r="HJ44" s="425"/>
      <c r="HK44" s="425"/>
      <c r="HL44" s="425"/>
      <c r="HM44" s="425"/>
      <c r="HN44" s="425"/>
      <c r="HO44" s="425"/>
      <c r="HP44" s="425"/>
      <c r="HQ44" s="425"/>
      <c r="HR44" s="425"/>
      <c r="HS44" s="425"/>
      <c r="HT44" s="425"/>
      <c r="HU44" s="425"/>
      <c r="HV44" s="425"/>
      <c r="HW44" s="425"/>
      <c r="HX44" s="425"/>
      <c r="HY44" s="425"/>
      <c r="HZ44" s="425"/>
      <c r="IA44" s="425"/>
      <c r="IB44" s="425"/>
      <c r="IC44" s="425"/>
      <c r="ID44" s="425"/>
      <c r="IE44" s="425"/>
      <c r="IF44" s="425"/>
      <c r="IG44" s="425"/>
      <c r="IH44" s="425"/>
      <c r="II44" s="425"/>
      <c r="IJ44" s="425"/>
      <c r="IK44" s="425"/>
      <c r="IL44" s="425"/>
      <c r="IM44" s="425"/>
      <c r="IN44" s="425"/>
      <c r="IO44" s="425"/>
      <c r="IP44" s="425"/>
      <c r="IQ44" s="425"/>
      <c r="IR44" s="425"/>
      <c r="IS44" s="425"/>
      <c r="IT44" s="425"/>
      <c r="IU44" s="425"/>
      <c r="IV44" s="425"/>
      <c r="IW44" s="425"/>
      <c r="IX44" s="425"/>
      <c r="IY44" s="425"/>
      <c r="IZ44" s="425"/>
    </row>
    <row r="45" spans="1:260">
      <c r="A45" s="428"/>
      <c r="B45" s="424"/>
      <c r="F45" s="312"/>
      <c r="G45" s="312"/>
      <c r="H45" s="312"/>
      <c r="I45" s="444"/>
      <c r="O45" s="428"/>
      <c r="P45" s="428"/>
      <c r="Q45" s="428"/>
      <c r="R45" s="428"/>
      <c r="S45" s="314"/>
      <c r="AB45" s="425"/>
      <c r="AC45" s="425"/>
      <c r="AD45" s="425"/>
      <c r="AE45" s="425"/>
      <c r="AF45" s="425"/>
      <c r="AG45" s="425"/>
      <c r="AH45" s="425"/>
      <c r="AI45" s="425"/>
      <c r="AJ45" s="425"/>
      <c r="AK45" s="425"/>
      <c r="AL45" s="425"/>
      <c r="AM45" s="425"/>
      <c r="AN45" s="425"/>
      <c r="AO45" s="425"/>
      <c r="AP45" s="425"/>
      <c r="AQ45" s="425"/>
      <c r="AR45" s="425"/>
      <c r="AS45" s="425"/>
      <c r="AT45" s="425"/>
      <c r="AU45" s="425"/>
      <c r="AV45" s="425"/>
      <c r="AW45" s="425"/>
      <c r="AX45" s="425"/>
      <c r="AY45" s="425"/>
      <c r="AZ45" s="425"/>
      <c r="BA45" s="425"/>
      <c r="BB45" s="425"/>
      <c r="BC45" s="425"/>
      <c r="BD45" s="425"/>
      <c r="BE45" s="425"/>
      <c r="BF45" s="425"/>
      <c r="BG45" s="425"/>
      <c r="BH45" s="425"/>
      <c r="BI45" s="425"/>
      <c r="BJ45" s="425"/>
      <c r="BK45" s="425"/>
      <c r="BL45" s="425"/>
      <c r="BM45" s="425"/>
      <c r="BN45" s="425"/>
      <c r="BO45" s="425"/>
      <c r="BP45" s="425"/>
      <c r="BQ45" s="425"/>
      <c r="BR45" s="425"/>
      <c r="BS45" s="425"/>
      <c r="BT45" s="425"/>
      <c r="BU45" s="425"/>
      <c r="BV45" s="425"/>
      <c r="BW45" s="425"/>
      <c r="BX45" s="425"/>
      <c r="BY45" s="425"/>
      <c r="BZ45" s="425"/>
      <c r="CA45" s="425"/>
      <c r="CB45" s="425"/>
      <c r="CC45" s="425"/>
      <c r="CD45" s="425"/>
      <c r="CE45" s="425"/>
      <c r="CF45" s="425"/>
      <c r="CG45" s="425"/>
      <c r="CH45" s="425"/>
      <c r="CI45" s="425"/>
      <c r="CJ45" s="425"/>
      <c r="CK45" s="425"/>
      <c r="CL45" s="425"/>
      <c r="CM45" s="425"/>
      <c r="CN45" s="425"/>
      <c r="CO45" s="425"/>
      <c r="CP45" s="425"/>
      <c r="CQ45" s="425"/>
      <c r="CR45" s="425"/>
      <c r="CS45" s="425"/>
      <c r="CT45" s="425"/>
      <c r="CU45" s="425"/>
      <c r="CV45" s="425"/>
      <c r="CW45" s="425"/>
      <c r="CX45" s="425"/>
      <c r="CY45" s="425"/>
      <c r="CZ45" s="425"/>
      <c r="DA45" s="425"/>
      <c r="DB45" s="425"/>
      <c r="DC45" s="425"/>
      <c r="DD45" s="425"/>
      <c r="DE45" s="425"/>
      <c r="DF45" s="425"/>
      <c r="DG45" s="425"/>
      <c r="DH45" s="425"/>
      <c r="DI45" s="425"/>
      <c r="DJ45" s="425"/>
      <c r="DK45" s="425"/>
      <c r="DL45" s="425"/>
      <c r="DM45" s="425"/>
      <c r="DN45" s="425"/>
      <c r="DO45" s="425"/>
      <c r="DP45" s="425"/>
      <c r="DQ45" s="425"/>
      <c r="DR45" s="425"/>
      <c r="DS45" s="425"/>
      <c r="DT45" s="425"/>
      <c r="DU45" s="425"/>
      <c r="DV45" s="425"/>
      <c r="DW45" s="425"/>
      <c r="DX45" s="425"/>
      <c r="DY45" s="425"/>
      <c r="DZ45" s="425"/>
      <c r="EA45" s="425"/>
      <c r="EB45" s="425"/>
      <c r="EC45" s="425"/>
      <c r="ED45" s="425"/>
      <c r="EE45" s="425"/>
      <c r="EF45" s="425"/>
      <c r="EG45" s="425"/>
      <c r="EH45" s="425"/>
      <c r="EI45" s="425"/>
      <c r="EJ45" s="425"/>
      <c r="EK45" s="425"/>
      <c r="EL45" s="425"/>
      <c r="EM45" s="425"/>
      <c r="EN45" s="425"/>
      <c r="EO45" s="425"/>
      <c r="EP45" s="425"/>
      <c r="EQ45" s="425"/>
      <c r="ER45" s="425"/>
      <c r="ES45" s="425"/>
      <c r="ET45" s="425"/>
      <c r="EU45" s="425"/>
      <c r="EV45" s="425"/>
      <c r="EW45" s="425"/>
      <c r="EX45" s="425"/>
      <c r="EY45" s="425"/>
      <c r="EZ45" s="425"/>
      <c r="FA45" s="425"/>
      <c r="FB45" s="425"/>
      <c r="FC45" s="425"/>
      <c r="FD45" s="425"/>
      <c r="FE45" s="425"/>
      <c r="FF45" s="425"/>
      <c r="FG45" s="425"/>
      <c r="FH45" s="425"/>
      <c r="FI45" s="425"/>
      <c r="FJ45" s="425"/>
      <c r="FK45" s="425"/>
      <c r="FL45" s="425"/>
      <c r="FM45" s="425"/>
      <c r="FN45" s="425"/>
      <c r="FO45" s="425"/>
      <c r="FP45" s="425"/>
      <c r="FQ45" s="425"/>
      <c r="FR45" s="425"/>
      <c r="FS45" s="425"/>
      <c r="FT45" s="425"/>
      <c r="FU45" s="425"/>
      <c r="FV45" s="425"/>
      <c r="FW45" s="425"/>
      <c r="FX45" s="425"/>
      <c r="FY45" s="425"/>
      <c r="FZ45" s="425"/>
      <c r="GA45" s="425"/>
      <c r="GB45" s="425"/>
      <c r="GC45" s="425"/>
      <c r="GD45" s="425"/>
      <c r="GE45" s="425"/>
      <c r="GF45" s="425"/>
      <c r="GG45" s="425"/>
      <c r="GH45" s="425"/>
      <c r="GI45" s="425"/>
      <c r="GJ45" s="425"/>
      <c r="GK45" s="425"/>
      <c r="GL45" s="425"/>
      <c r="GM45" s="425"/>
      <c r="GN45" s="425"/>
      <c r="GO45" s="425"/>
      <c r="GP45" s="425"/>
      <c r="GQ45" s="425"/>
      <c r="GR45" s="425"/>
      <c r="GS45" s="425"/>
      <c r="GT45" s="425"/>
      <c r="GU45" s="425"/>
      <c r="GV45" s="425"/>
      <c r="GW45" s="425"/>
      <c r="GX45" s="425"/>
      <c r="GY45" s="425"/>
      <c r="GZ45" s="425"/>
      <c r="HA45" s="425"/>
      <c r="HB45" s="425"/>
      <c r="HC45" s="425"/>
      <c r="HD45" s="425"/>
      <c r="HE45" s="425"/>
      <c r="HF45" s="425"/>
      <c r="HG45" s="425"/>
      <c r="HH45" s="425"/>
      <c r="HI45" s="425"/>
      <c r="HJ45" s="425"/>
      <c r="HK45" s="425"/>
      <c r="HL45" s="425"/>
      <c r="HM45" s="425"/>
      <c r="HN45" s="425"/>
      <c r="HO45" s="425"/>
      <c r="HP45" s="425"/>
      <c r="HQ45" s="425"/>
      <c r="HR45" s="425"/>
      <c r="HS45" s="425"/>
      <c r="HT45" s="425"/>
      <c r="HU45" s="425"/>
      <c r="HV45" s="425"/>
      <c r="HW45" s="425"/>
      <c r="HX45" s="425"/>
      <c r="HY45" s="425"/>
      <c r="HZ45" s="425"/>
      <c r="IA45" s="425"/>
      <c r="IB45" s="425"/>
      <c r="IC45" s="425"/>
      <c r="ID45" s="425"/>
      <c r="IE45" s="425"/>
      <c r="IF45" s="425"/>
      <c r="IG45" s="425"/>
      <c r="IH45" s="425"/>
      <c r="II45" s="425"/>
      <c r="IJ45" s="425"/>
      <c r="IK45" s="425"/>
      <c r="IL45" s="425"/>
      <c r="IM45" s="425"/>
      <c r="IN45" s="425"/>
      <c r="IO45" s="425"/>
      <c r="IP45" s="425"/>
      <c r="IQ45" s="425"/>
      <c r="IR45" s="425"/>
      <c r="IS45" s="425"/>
      <c r="IT45" s="425"/>
      <c r="IU45" s="425"/>
      <c r="IV45" s="425"/>
      <c r="IW45" s="425"/>
      <c r="IX45" s="425"/>
      <c r="IY45" s="425"/>
      <c r="IZ45" s="425"/>
    </row>
    <row r="46" spans="1:260" ht="15.75">
      <c r="B46" s="424"/>
      <c r="K46" s="413"/>
      <c r="O46" s="428"/>
      <c r="P46" s="428"/>
      <c r="Q46" s="428"/>
      <c r="R46" s="428"/>
      <c r="S46" s="314"/>
      <c r="AB46" s="425"/>
      <c r="AC46" s="425"/>
      <c r="AD46" s="425"/>
      <c r="AE46" s="425"/>
      <c r="AF46" s="425"/>
      <c r="AG46" s="425"/>
      <c r="AH46" s="425"/>
      <c r="AI46" s="425"/>
      <c r="AJ46" s="425"/>
      <c r="AK46" s="425"/>
      <c r="AL46" s="425"/>
      <c r="AM46" s="425"/>
      <c r="AN46" s="425"/>
      <c r="AO46" s="425"/>
      <c r="AP46" s="425"/>
      <c r="AQ46" s="425"/>
      <c r="AR46" s="425"/>
      <c r="AS46" s="425"/>
      <c r="AT46" s="425"/>
      <c r="AU46" s="425"/>
      <c r="AV46" s="425"/>
      <c r="AW46" s="425"/>
      <c r="AX46" s="425"/>
      <c r="AY46" s="425"/>
      <c r="AZ46" s="425"/>
      <c r="BA46" s="425"/>
      <c r="BB46" s="425"/>
      <c r="BC46" s="425"/>
      <c r="BD46" s="425"/>
      <c r="BE46" s="425"/>
      <c r="BF46" s="425"/>
      <c r="BG46" s="425"/>
      <c r="BH46" s="425"/>
      <c r="BI46" s="425"/>
      <c r="BJ46" s="425"/>
      <c r="BK46" s="425"/>
      <c r="BL46" s="425"/>
      <c r="BM46" s="425"/>
      <c r="BN46" s="425"/>
      <c r="BO46" s="425"/>
      <c r="BP46" s="425"/>
      <c r="BQ46" s="425"/>
      <c r="BR46" s="425"/>
      <c r="BS46" s="425"/>
      <c r="BT46" s="425"/>
      <c r="BU46" s="425"/>
      <c r="BV46" s="425"/>
      <c r="BW46" s="425"/>
      <c r="BX46" s="425"/>
      <c r="BY46" s="425"/>
      <c r="BZ46" s="425"/>
      <c r="CA46" s="425"/>
      <c r="CB46" s="425"/>
      <c r="CC46" s="425"/>
      <c r="CD46" s="425"/>
      <c r="CE46" s="425"/>
      <c r="CF46" s="425"/>
      <c r="CG46" s="425"/>
      <c r="CH46" s="425"/>
      <c r="CI46" s="425"/>
      <c r="CJ46" s="425"/>
      <c r="CK46" s="425"/>
      <c r="CL46" s="425"/>
      <c r="CM46" s="425"/>
      <c r="CN46" s="425"/>
      <c r="CO46" s="425"/>
      <c r="CP46" s="425"/>
      <c r="CQ46" s="425"/>
      <c r="CR46" s="425"/>
      <c r="CS46" s="425"/>
      <c r="CT46" s="425"/>
      <c r="CU46" s="425"/>
      <c r="CV46" s="425"/>
      <c r="CW46" s="425"/>
      <c r="CX46" s="425"/>
      <c r="CY46" s="425"/>
      <c r="CZ46" s="425"/>
      <c r="DA46" s="425"/>
      <c r="DB46" s="425"/>
      <c r="DC46" s="425"/>
      <c r="DD46" s="425"/>
      <c r="DE46" s="425"/>
      <c r="DF46" s="425"/>
      <c r="DG46" s="425"/>
      <c r="DH46" s="425"/>
      <c r="DI46" s="425"/>
      <c r="DJ46" s="425"/>
      <c r="DK46" s="425"/>
      <c r="DL46" s="425"/>
      <c r="DM46" s="425"/>
      <c r="DN46" s="425"/>
      <c r="DO46" s="425"/>
      <c r="DP46" s="425"/>
      <c r="DQ46" s="425"/>
      <c r="DR46" s="425"/>
      <c r="DS46" s="425"/>
      <c r="DT46" s="425"/>
      <c r="DU46" s="425"/>
      <c r="DV46" s="425"/>
      <c r="DW46" s="425"/>
      <c r="DX46" s="425"/>
      <c r="DY46" s="425"/>
      <c r="DZ46" s="425"/>
      <c r="EA46" s="425"/>
      <c r="EB46" s="425"/>
      <c r="EC46" s="425"/>
      <c r="ED46" s="425"/>
      <c r="EE46" s="425"/>
      <c r="EF46" s="425"/>
      <c r="EG46" s="425"/>
      <c r="EH46" s="425"/>
      <c r="EI46" s="425"/>
      <c r="EJ46" s="425"/>
      <c r="EK46" s="425"/>
      <c r="EL46" s="425"/>
      <c r="EM46" s="425"/>
      <c r="EN46" s="425"/>
      <c r="EO46" s="425"/>
      <c r="EP46" s="425"/>
      <c r="EQ46" s="425"/>
      <c r="ER46" s="425"/>
      <c r="ES46" s="425"/>
      <c r="ET46" s="425"/>
      <c r="EU46" s="425"/>
      <c r="EV46" s="425"/>
      <c r="EW46" s="425"/>
      <c r="EX46" s="425"/>
      <c r="EY46" s="425"/>
      <c r="EZ46" s="425"/>
      <c r="FA46" s="425"/>
      <c r="FB46" s="425"/>
      <c r="FC46" s="425"/>
      <c r="FD46" s="425"/>
      <c r="FE46" s="425"/>
      <c r="FF46" s="425"/>
      <c r="FG46" s="425"/>
      <c r="FH46" s="425"/>
      <c r="FI46" s="425"/>
      <c r="FJ46" s="425"/>
      <c r="FK46" s="425"/>
      <c r="FL46" s="425"/>
      <c r="FM46" s="425"/>
      <c r="FN46" s="425"/>
      <c r="FO46" s="425"/>
      <c r="FP46" s="425"/>
      <c r="FQ46" s="425"/>
      <c r="FR46" s="425"/>
      <c r="FS46" s="425"/>
      <c r="FT46" s="425"/>
      <c r="FU46" s="425"/>
      <c r="FV46" s="425"/>
      <c r="FW46" s="425"/>
      <c r="FX46" s="425"/>
      <c r="FY46" s="425"/>
      <c r="FZ46" s="425"/>
      <c r="GA46" s="425"/>
      <c r="GB46" s="425"/>
      <c r="GC46" s="425"/>
      <c r="GD46" s="425"/>
      <c r="GE46" s="425"/>
      <c r="GF46" s="425"/>
      <c r="GG46" s="425"/>
      <c r="GH46" s="425"/>
      <c r="GI46" s="425"/>
      <c r="GJ46" s="425"/>
      <c r="GK46" s="425"/>
      <c r="GL46" s="425"/>
      <c r="GM46" s="425"/>
      <c r="GN46" s="425"/>
      <c r="GO46" s="425"/>
      <c r="GP46" s="425"/>
      <c r="GQ46" s="425"/>
      <c r="GR46" s="425"/>
      <c r="GS46" s="425"/>
      <c r="GT46" s="425"/>
      <c r="GU46" s="425"/>
      <c r="GV46" s="425"/>
      <c r="GW46" s="425"/>
      <c r="GX46" s="425"/>
      <c r="GY46" s="425"/>
      <c r="GZ46" s="425"/>
      <c r="HA46" s="425"/>
      <c r="HB46" s="425"/>
      <c r="HC46" s="425"/>
      <c r="HD46" s="425"/>
      <c r="HE46" s="425"/>
      <c r="HF46" s="425"/>
      <c r="HG46" s="425"/>
      <c r="HH46" s="425"/>
      <c r="HI46" s="425"/>
      <c r="HJ46" s="425"/>
      <c r="HK46" s="425"/>
      <c r="HL46" s="425"/>
      <c r="HM46" s="425"/>
      <c r="HN46" s="425"/>
      <c r="HO46" s="425"/>
      <c r="HP46" s="425"/>
      <c r="HQ46" s="425"/>
      <c r="HR46" s="425"/>
      <c r="HS46" s="425"/>
      <c r="HT46" s="425"/>
      <c r="HU46" s="425"/>
      <c r="HV46" s="425"/>
      <c r="HW46" s="425"/>
      <c r="HX46" s="425"/>
      <c r="HY46" s="425"/>
      <c r="HZ46" s="425"/>
      <c r="IA46" s="425"/>
      <c r="IB46" s="425"/>
      <c r="IC46" s="425"/>
      <c r="ID46" s="425"/>
      <c r="IE46" s="425"/>
      <c r="IF46" s="425"/>
      <c r="IG46" s="425"/>
      <c r="IH46" s="425"/>
      <c r="II46" s="425"/>
      <c r="IJ46" s="425"/>
      <c r="IK46" s="425"/>
      <c r="IL46" s="425"/>
      <c r="IM46" s="425"/>
      <c r="IN46" s="425"/>
      <c r="IO46" s="425"/>
      <c r="IP46" s="425"/>
      <c r="IQ46" s="425"/>
      <c r="IR46" s="425"/>
      <c r="IS46" s="425"/>
      <c r="IT46" s="425"/>
      <c r="IU46" s="425"/>
      <c r="IV46" s="425"/>
      <c r="IW46" s="425"/>
      <c r="IX46" s="425"/>
      <c r="IY46" s="425"/>
      <c r="IZ46" s="425"/>
    </row>
    <row r="47" spans="1:260" ht="15.75">
      <c r="B47" s="424"/>
      <c r="K47" s="495"/>
      <c r="O47" s="428"/>
      <c r="P47" s="428"/>
      <c r="Q47" s="428"/>
      <c r="R47" s="428"/>
    </row>
    <row r="48" spans="1:260" ht="15.75">
      <c r="B48" s="424"/>
      <c r="K48" s="495"/>
      <c r="L48" s="428"/>
      <c r="M48" s="428"/>
      <c r="N48" s="428"/>
      <c r="O48" s="428"/>
      <c r="P48" s="428"/>
      <c r="Q48" s="428"/>
      <c r="R48" s="428"/>
    </row>
    <row r="49" spans="1:260" ht="15" customHeight="1">
      <c r="B49" s="424"/>
      <c r="K49" s="496"/>
      <c r="L49" s="428"/>
      <c r="M49" s="428"/>
      <c r="N49" s="428"/>
      <c r="O49" s="428"/>
      <c r="P49" s="428"/>
      <c r="Q49" s="428"/>
      <c r="R49" s="428"/>
    </row>
    <row r="50" spans="1:260">
      <c r="B50" s="424"/>
      <c r="K50" s="428"/>
      <c r="L50" s="428"/>
      <c r="M50" s="428"/>
      <c r="N50" s="428"/>
      <c r="O50" s="428"/>
      <c r="P50" s="428"/>
      <c r="Q50" s="428"/>
      <c r="R50" s="428"/>
    </row>
    <row r="51" spans="1:260">
      <c r="A51" s="497"/>
      <c r="B51" s="424"/>
      <c r="K51" s="428"/>
      <c r="L51" s="428"/>
      <c r="M51" s="428"/>
      <c r="N51" s="428"/>
      <c r="O51" s="428"/>
      <c r="P51" s="428"/>
      <c r="Q51" s="428"/>
      <c r="R51" s="428"/>
    </row>
    <row r="52" spans="1:260" ht="25.5" customHeight="1">
      <c r="A52" s="497"/>
      <c r="B52" s="424"/>
      <c r="K52" s="495"/>
      <c r="L52" s="428"/>
      <c r="M52" s="428"/>
      <c r="N52" s="428"/>
      <c r="O52" s="428"/>
      <c r="P52" s="428"/>
      <c r="Q52" s="428"/>
      <c r="R52" s="428"/>
    </row>
    <row r="53" spans="1:260" ht="15" customHeight="1">
      <c r="B53" s="424"/>
      <c r="K53" s="495"/>
    </row>
    <row r="54" spans="1:260" ht="15" customHeight="1">
      <c r="B54" s="424"/>
      <c r="K54" s="496"/>
      <c r="T54" s="432"/>
      <c r="IZ54" s="428"/>
    </row>
    <row r="55" spans="1:260" ht="24" customHeight="1">
      <c r="B55" s="424"/>
      <c r="K55" s="428"/>
      <c r="T55" s="432"/>
      <c r="IY55" s="428"/>
      <c r="IZ55" s="428"/>
    </row>
    <row r="56" spans="1:260" ht="15.75">
      <c r="B56" s="424"/>
      <c r="K56" s="413"/>
      <c r="T56" s="432"/>
      <c r="IY56" s="428"/>
      <c r="IZ56" s="428"/>
    </row>
    <row r="57" spans="1:260" ht="22.7" customHeight="1">
      <c r="B57" s="424"/>
      <c r="K57" s="495"/>
      <c r="T57" s="432"/>
      <c r="IY57" s="428"/>
      <c r="IZ57" s="428"/>
    </row>
    <row r="58" spans="1:260" ht="24" customHeight="1">
      <c r="B58" s="424"/>
      <c r="K58" s="496"/>
      <c r="T58" s="432"/>
      <c r="IO58" s="428"/>
      <c r="IP58" s="428"/>
      <c r="IQ58" s="428"/>
      <c r="IR58" s="428"/>
      <c r="IS58" s="428"/>
      <c r="IT58" s="428"/>
      <c r="IU58" s="428"/>
      <c r="IV58" s="428"/>
      <c r="IW58" s="428"/>
      <c r="IX58" s="428"/>
      <c r="IY58" s="428"/>
      <c r="IZ58" s="428"/>
    </row>
    <row r="59" spans="1:260" ht="24" customHeight="1">
      <c r="B59" s="424"/>
      <c r="T59" s="432"/>
      <c r="IP59" s="428"/>
      <c r="IQ59" s="428"/>
      <c r="IR59" s="428"/>
      <c r="IS59" s="428"/>
      <c r="IT59" s="428"/>
      <c r="IU59" s="428"/>
      <c r="IV59" s="428"/>
      <c r="IW59" s="428"/>
      <c r="IX59" s="428"/>
      <c r="IY59" s="428"/>
      <c r="IZ59" s="428"/>
    </row>
    <row r="60" spans="1:260" ht="27" customHeight="1">
      <c r="B60" s="424"/>
      <c r="T60" s="432"/>
      <c r="IZ60" s="428"/>
    </row>
    <row r="61" spans="1:260" ht="30.75" customHeight="1">
      <c r="B61" s="424"/>
      <c r="T61" s="432"/>
      <c r="IZ61" s="428"/>
    </row>
    <row r="62" spans="1:260">
      <c r="A62" s="428"/>
      <c r="B62" s="428"/>
      <c r="C62" s="499"/>
      <c r="D62" s="428"/>
      <c r="E62" s="499"/>
      <c r="F62" s="428"/>
      <c r="G62" s="428"/>
      <c r="H62" s="428"/>
      <c r="I62" s="428"/>
      <c r="J62" s="428"/>
      <c r="K62" s="428"/>
      <c r="L62" s="428"/>
      <c r="M62" s="428"/>
      <c r="N62" s="428"/>
      <c r="O62" s="428"/>
      <c r="P62" s="428"/>
      <c r="Q62" s="428"/>
      <c r="R62" s="428"/>
      <c r="S62" s="428"/>
      <c r="W62" s="428"/>
      <c r="X62" s="428"/>
      <c r="Y62" s="428"/>
      <c r="Z62" s="428"/>
      <c r="AA62" s="428"/>
      <c r="AB62" s="428"/>
      <c r="AC62" s="428"/>
      <c r="AD62" s="428"/>
      <c r="AE62" s="428"/>
      <c r="AF62" s="428"/>
      <c r="AG62" s="428"/>
      <c r="AH62" s="428"/>
      <c r="AI62" s="428"/>
      <c r="AJ62" s="428"/>
      <c r="AK62" s="428"/>
      <c r="AL62" s="428"/>
      <c r="AM62" s="428"/>
      <c r="AN62" s="428"/>
      <c r="AO62" s="428"/>
      <c r="AP62" s="428"/>
      <c r="AQ62" s="428"/>
      <c r="AR62" s="428"/>
      <c r="AS62" s="428"/>
      <c r="AT62" s="428"/>
      <c r="AU62" s="428"/>
      <c r="AV62" s="428"/>
      <c r="AW62" s="428"/>
      <c r="AX62" s="428"/>
      <c r="AY62" s="428"/>
      <c r="AZ62" s="428"/>
      <c r="BA62" s="428"/>
      <c r="BB62" s="428"/>
      <c r="BC62" s="428"/>
      <c r="BD62" s="428"/>
      <c r="BE62" s="428"/>
      <c r="BF62" s="428"/>
      <c r="BG62" s="428"/>
      <c r="BH62" s="428"/>
      <c r="BI62" s="428"/>
      <c r="BJ62" s="428"/>
      <c r="BK62" s="428"/>
      <c r="BL62" s="428"/>
      <c r="BM62" s="428"/>
      <c r="BN62" s="428"/>
      <c r="BO62" s="428"/>
      <c r="BP62" s="428"/>
      <c r="BQ62" s="428"/>
      <c r="BR62" s="428"/>
      <c r="BS62" s="428"/>
      <c r="BT62" s="428"/>
      <c r="BU62" s="428"/>
      <c r="BV62" s="428"/>
      <c r="BW62" s="428"/>
      <c r="BX62" s="428"/>
      <c r="BY62" s="428"/>
      <c r="BZ62" s="428"/>
      <c r="CA62" s="428"/>
      <c r="CB62" s="428"/>
      <c r="CC62" s="428"/>
      <c r="CD62" s="428"/>
      <c r="CE62" s="428"/>
      <c r="CF62" s="428"/>
      <c r="CG62" s="428"/>
      <c r="CH62" s="428"/>
      <c r="CI62" s="428"/>
      <c r="CJ62" s="428"/>
      <c r="CK62" s="428"/>
      <c r="CL62" s="428"/>
      <c r="CM62" s="428"/>
      <c r="CN62" s="428"/>
      <c r="CO62" s="428"/>
      <c r="CP62" s="428"/>
      <c r="CQ62" s="428"/>
      <c r="CR62" s="428"/>
      <c r="CS62" s="428"/>
      <c r="CT62" s="428"/>
      <c r="CU62" s="428"/>
      <c r="CV62" s="428"/>
      <c r="CW62" s="428"/>
      <c r="CX62" s="428"/>
      <c r="CY62" s="428"/>
      <c r="CZ62" s="428"/>
      <c r="DA62" s="428"/>
      <c r="DB62" s="428"/>
      <c r="DC62" s="428"/>
      <c r="DD62" s="428"/>
      <c r="DE62" s="428"/>
      <c r="DF62" s="428"/>
      <c r="DG62" s="428"/>
      <c r="DH62" s="428"/>
      <c r="DI62" s="428"/>
      <c r="DJ62" s="428"/>
      <c r="DK62" s="428"/>
      <c r="DL62" s="428"/>
      <c r="DM62" s="428"/>
      <c r="DN62" s="428"/>
      <c r="DO62" s="428"/>
      <c r="DP62" s="428"/>
      <c r="DQ62" s="428"/>
      <c r="DR62" s="428"/>
      <c r="DS62" s="428"/>
      <c r="DT62" s="428"/>
      <c r="DU62" s="428"/>
      <c r="DV62" s="428"/>
      <c r="DW62" s="428"/>
      <c r="DX62" s="428"/>
      <c r="DY62" s="428"/>
      <c r="DZ62" s="428"/>
      <c r="EA62" s="428"/>
      <c r="EB62" s="428"/>
      <c r="EC62" s="428"/>
      <c r="ED62" s="428"/>
      <c r="EE62" s="428"/>
      <c r="EF62" s="428"/>
      <c r="EG62" s="428"/>
      <c r="EH62" s="428"/>
      <c r="EI62" s="428"/>
      <c r="EJ62" s="428"/>
      <c r="EK62" s="428"/>
      <c r="EL62" s="428"/>
      <c r="EM62" s="428"/>
      <c r="EN62" s="428"/>
      <c r="EO62" s="428"/>
      <c r="EP62" s="428"/>
      <c r="EQ62" s="428"/>
      <c r="ER62" s="428"/>
      <c r="ES62" s="428"/>
      <c r="ET62" s="428"/>
      <c r="EU62" s="428"/>
      <c r="EV62" s="428"/>
      <c r="EW62" s="428"/>
      <c r="EX62" s="428"/>
      <c r="EY62" s="428"/>
      <c r="EZ62" s="428"/>
      <c r="FA62" s="428"/>
      <c r="FB62" s="428"/>
      <c r="FC62" s="428"/>
      <c r="FD62" s="428"/>
      <c r="FE62" s="428"/>
      <c r="FF62" s="428"/>
      <c r="FG62" s="428"/>
      <c r="FH62" s="428"/>
      <c r="FI62" s="428"/>
      <c r="FJ62" s="428"/>
      <c r="FK62" s="428"/>
      <c r="FL62" s="428"/>
      <c r="FM62" s="428"/>
      <c r="FN62" s="428"/>
      <c r="FO62" s="428"/>
      <c r="FP62" s="428"/>
      <c r="FQ62" s="428"/>
      <c r="FR62" s="428"/>
      <c r="FS62" s="428"/>
      <c r="FT62" s="428"/>
      <c r="FU62" s="428"/>
      <c r="FV62" s="428"/>
      <c r="FW62" s="428"/>
      <c r="FX62" s="428"/>
      <c r="FY62" s="428"/>
      <c r="FZ62" s="428"/>
      <c r="GA62" s="428"/>
      <c r="GB62" s="428"/>
      <c r="GC62" s="428"/>
      <c r="GD62" s="428"/>
      <c r="GE62" s="428"/>
      <c r="GF62" s="428"/>
      <c r="GG62" s="428"/>
      <c r="GH62" s="428"/>
      <c r="GI62" s="428"/>
      <c r="GJ62" s="428"/>
      <c r="GK62" s="428"/>
      <c r="GL62" s="428"/>
      <c r="GM62" s="428"/>
      <c r="GN62" s="428"/>
      <c r="GO62" s="428"/>
      <c r="GP62" s="428"/>
      <c r="GQ62" s="428"/>
      <c r="GR62" s="428"/>
      <c r="GS62" s="428"/>
      <c r="GT62" s="428"/>
      <c r="GU62" s="428"/>
      <c r="GV62" s="428"/>
      <c r="GW62" s="428"/>
      <c r="GX62" s="428"/>
      <c r="GY62" s="428"/>
      <c r="GZ62" s="428"/>
      <c r="HA62" s="428"/>
      <c r="HB62" s="428"/>
      <c r="HC62" s="428"/>
      <c r="HD62" s="428"/>
      <c r="HE62" s="428"/>
      <c r="HF62" s="428"/>
      <c r="HG62" s="428"/>
      <c r="HH62" s="428"/>
      <c r="HI62" s="428"/>
      <c r="HJ62" s="428"/>
      <c r="HK62" s="428"/>
      <c r="HL62" s="428"/>
      <c r="HM62" s="428"/>
      <c r="HN62" s="428"/>
      <c r="HO62" s="428"/>
      <c r="HP62" s="428"/>
      <c r="HQ62" s="428"/>
      <c r="HR62" s="428"/>
      <c r="HS62" s="428"/>
      <c r="HT62" s="428"/>
      <c r="HU62" s="428"/>
      <c r="HV62" s="428"/>
      <c r="HW62" s="428"/>
      <c r="HX62" s="428"/>
      <c r="HY62" s="428"/>
      <c r="HZ62" s="428"/>
      <c r="IA62" s="428"/>
      <c r="IB62" s="428"/>
      <c r="IC62" s="428"/>
      <c r="ID62" s="428"/>
      <c r="IE62" s="428"/>
      <c r="IF62" s="428"/>
      <c r="IG62" s="428"/>
      <c r="IH62" s="428"/>
      <c r="II62" s="428"/>
      <c r="IJ62" s="428"/>
      <c r="IK62" s="428"/>
      <c r="IL62" s="428"/>
      <c r="IM62" s="428"/>
      <c r="IN62" s="428"/>
      <c r="IO62" s="428"/>
      <c r="IP62" s="428"/>
      <c r="IQ62" s="428"/>
      <c r="IR62" s="428"/>
      <c r="IS62" s="428"/>
      <c r="IT62" s="428"/>
      <c r="IU62" s="428"/>
      <c r="IV62" s="428"/>
      <c r="IW62" s="428"/>
      <c r="IX62" s="428"/>
      <c r="IY62" s="428"/>
      <c r="IZ62" s="428"/>
    </row>
  </sheetData>
  <mergeCells count="56">
    <mergeCell ref="B3:S3"/>
    <mergeCell ref="B4:S4"/>
    <mergeCell ref="T6:Y6"/>
    <mergeCell ref="A7:A10"/>
    <mergeCell ref="B7:B10"/>
    <mergeCell ref="C7:C10"/>
    <mergeCell ref="D7:D10"/>
    <mergeCell ref="E7:E10"/>
    <mergeCell ref="F7:N7"/>
    <mergeCell ref="O7:O10"/>
    <mergeCell ref="L8:L10"/>
    <mergeCell ref="M8:M10"/>
    <mergeCell ref="N8:N10"/>
    <mergeCell ref="F9:F10"/>
    <mergeCell ref="G9:H9"/>
    <mergeCell ref="B23:E23"/>
    <mergeCell ref="G23:H23"/>
    <mergeCell ref="M23:S23"/>
    <mergeCell ref="I9:I10"/>
    <mergeCell ref="J9:K9"/>
    <mergeCell ref="Q11:Q13"/>
    <mergeCell ref="R11:R13"/>
    <mergeCell ref="S11:S13"/>
    <mergeCell ref="Q14:Q16"/>
    <mergeCell ref="R14:R16"/>
    <mergeCell ref="S14:S15"/>
    <mergeCell ref="P7:P10"/>
    <mergeCell ref="R7:R10"/>
    <mergeCell ref="S7:S10"/>
    <mergeCell ref="F8:H8"/>
    <mergeCell ref="I8:K8"/>
    <mergeCell ref="Q17:Q19"/>
    <mergeCell ref="R17:R19"/>
    <mergeCell ref="S17:S19"/>
    <mergeCell ref="A20:B20"/>
    <mergeCell ref="M22:S22"/>
    <mergeCell ref="I24:J24"/>
    <mergeCell ref="M28:S28"/>
    <mergeCell ref="N29:O29"/>
    <mergeCell ref="K30:L31"/>
    <mergeCell ref="M30:M31"/>
    <mergeCell ref="N30:O30"/>
    <mergeCell ref="P30:Q31"/>
    <mergeCell ref="P36:Q36"/>
    <mergeCell ref="K37:L37"/>
    <mergeCell ref="P37:Q37"/>
    <mergeCell ref="K32:L32"/>
    <mergeCell ref="P32:Q32"/>
    <mergeCell ref="K33:K36"/>
    <mergeCell ref="L33:L34"/>
    <mergeCell ref="M33:M34"/>
    <mergeCell ref="P33:Q33"/>
    <mergeCell ref="P34:Q34"/>
    <mergeCell ref="L35:L36"/>
    <mergeCell ref="M35:M36"/>
    <mergeCell ref="P35:Q35"/>
  </mergeCells>
  <conditionalFormatting sqref="B15:B16">
    <cfRule type="duplicateValues" dxfId="160" priority="7" stopIfTrue="1"/>
    <cfRule type="duplicateValues" dxfId="159" priority="8" stopIfTrue="1"/>
    <cfRule type="duplicateValues" dxfId="158" priority="9" stopIfTrue="1"/>
    <cfRule type="duplicateValues" dxfId="157" priority="10" stopIfTrue="1"/>
  </conditionalFormatting>
  <conditionalFormatting sqref="B17">
    <cfRule type="duplicateValues" dxfId="156" priority="11"/>
    <cfRule type="duplicateValues" dxfId="155" priority="12"/>
  </conditionalFormatting>
  <conditionalFormatting sqref="B18:B19">
    <cfRule type="duplicateValues" dxfId="154" priority="3" stopIfTrue="1"/>
    <cfRule type="duplicateValues" dxfId="153" priority="4" stopIfTrue="1"/>
    <cfRule type="duplicateValues" dxfId="152" priority="5" stopIfTrue="1"/>
    <cfRule type="duplicateValues" dxfId="151" priority="6" stopIfTrue="1"/>
  </conditionalFormatting>
  <conditionalFormatting sqref="B20 B1:B2 B22:B1048576 B4:B14">
    <cfRule type="duplicateValues" dxfId="150" priority="13"/>
  </conditionalFormatting>
  <conditionalFormatting sqref="B20">
    <cfRule type="duplicateValues" dxfId="149" priority="14"/>
  </conditionalFormatting>
  <conditionalFormatting sqref="B21">
    <cfRule type="duplicateValues" dxfId="148" priority="1"/>
    <cfRule type="duplicateValues" dxfId="147" priority="2"/>
  </conditionalFormatting>
  <conditionalFormatting sqref="B43">
    <cfRule type="duplicateValues" dxfId="146" priority="18"/>
  </conditionalFormatting>
  <conditionalFormatting sqref="B44:B45">
    <cfRule type="duplicateValues" dxfId="145" priority="17"/>
  </conditionalFormatting>
  <conditionalFormatting sqref="B46:B48">
    <cfRule type="duplicateValues" dxfId="144" priority="16"/>
  </conditionalFormatting>
  <conditionalFormatting sqref="B50">
    <cfRule type="duplicateValues" dxfId="143" priority="15"/>
  </conditionalFormatting>
  <conditionalFormatting sqref="B53:B59 B41:B42">
    <cfRule type="duplicateValues" dxfId="142" priority="19" stopIfTrue="1"/>
    <cfRule type="duplicateValues" dxfId="141" priority="20" stopIfTrue="1"/>
    <cfRule type="duplicateValues" dxfId="140" priority="22" stopIfTrue="1"/>
  </conditionalFormatting>
  <conditionalFormatting sqref="B53:B59">
    <cfRule type="duplicateValues" dxfId="139" priority="21" stopIfTrue="1"/>
  </conditionalFormatting>
  <pageMargins left="0.5" right="0.25" top="0.5" bottom="0.5" header="0.3" footer="0.3"/>
  <pageSetup paperSize="9" scale="75" orientation="landscape" r:id="rId1"/>
  <rowBreaks count="1" manualBreakCount="1">
    <brk id="28" max="18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23"/>
  <sheetViews>
    <sheetView tabSelected="1" topLeftCell="A2" zoomScale="83" zoomScaleNormal="83" workbookViewId="0">
      <selection activeCell="B9" sqref="B9"/>
    </sheetView>
  </sheetViews>
  <sheetFormatPr defaultColWidth="9.140625" defaultRowHeight="18.75"/>
  <cols>
    <col min="1" max="1" width="43.28515625" style="95" customWidth="1"/>
    <col min="2" max="2" width="17.5703125" style="96" customWidth="1"/>
    <col min="3" max="3" width="11" style="95" customWidth="1"/>
    <col min="4" max="16384" width="9.140625" style="95"/>
  </cols>
  <sheetData>
    <row r="1" spans="1:8" hidden="1"/>
    <row r="2" spans="1:8">
      <c r="A2" s="811" t="str">
        <f>PROPER(E4)</f>
        <v>Lưu Văn Huy</v>
      </c>
      <c r="B2" s="811"/>
    </row>
    <row r="3" spans="1:8">
      <c r="A3" s="812"/>
      <c r="B3" s="812"/>
      <c r="E3" s="813" t="s">
        <v>224</v>
      </c>
      <c r="F3" s="813"/>
      <c r="G3" s="813"/>
      <c r="H3" s="813"/>
    </row>
    <row r="4" spans="1:8">
      <c r="A4" s="97" t="s">
        <v>173</v>
      </c>
      <c r="B4" s="103">
        <f>INDEX(L!$AC$14:$AC$97,MATCH($A$2,L!$B$14:$B$97,0))</f>
        <v>35616609.350000001</v>
      </c>
      <c r="C4" s="99"/>
      <c r="D4" s="99"/>
      <c r="E4" s="814" t="s">
        <v>886</v>
      </c>
      <c r="F4" s="815"/>
      <c r="G4" s="815"/>
      <c r="H4" s="816"/>
    </row>
    <row r="5" spans="1:8">
      <c r="A5" s="97" t="s">
        <v>225</v>
      </c>
      <c r="B5" s="98">
        <f>INDEX(L!$AG$14:$AG$97,MATCH($A$2,L!$B$14:$B$97,0))</f>
        <v>7681700</v>
      </c>
      <c r="C5" s="99"/>
      <c r="D5" s="99"/>
      <c r="E5" s="99"/>
    </row>
    <row r="6" spans="1:8">
      <c r="A6" s="97" t="s">
        <v>20</v>
      </c>
      <c r="B6" s="100">
        <f>B4-B5</f>
        <v>27934909.350000001</v>
      </c>
      <c r="C6" s="99"/>
      <c r="D6" s="99"/>
      <c r="E6" s="99"/>
    </row>
    <row r="7" spans="1:8">
      <c r="A7" s="101"/>
      <c r="B7" s="102"/>
      <c r="C7" s="99"/>
      <c r="D7" s="99"/>
      <c r="E7" s="99"/>
    </row>
    <row r="8" spans="1:8">
      <c r="A8" s="101" t="s">
        <v>227</v>
      </c>
      <c r="B8" s="103">
        <f>INDEX(L!$AK$14:$AK$97,MATCH($A$2,L!$B$14:$B$97,0))*1100000</f>
        <v>14300000</v>
      </c>
      <c r="C8" s="99"/>
      <c r="D8" s="99"/>
      <c r="E8" s="99"/>
    </row>
    <row r="9" spans="1:8">
      <c r="A9" s="97" t="s">
        <v>228</v>
      </c>
      <c r="B9" s="103">
        <f>INDEX(L!$N$14:$N$97,MATCH($A$2,L!$B$14:$B$97,0))-'Bảng kê GV'!B8</f>
        <v>14000000</v>
      </c>
      <c r="C9" s="99"/>
      <c r="D9" s="99"/>
      <c r="E9" s="99"/>
    </row>
    <row r="10" spans="1:8">
      <c r="A10" s="97" t="s">
        <v>882</v>
      </c>
      <c r="B10" s="98">
        <f>INDEX(L!$AH$14:$AH$97,MATCH($A$2,L!$B$14:$B$97,0))</f>
        <v>1</v>
      </c>
      <c r="C10" s="99"/>
      <c r="D10" s="99"/>
      <c r="E10" s="99"/>
    </row>
    <row r="11" spans="1:8">
      <c r="A11" s="97" t="s">
        <v>883</v>
      </c>
      <c r="B11" s="98">
        <f>INDEX(L!$AI$14:$AI$97,MATCH($A$2,L!$B$14:$B$97,0))</f>
        <v>2</v>
      </c>
      <c r="C11" s="99"/>
      <c r="D11" s="99"/>
      <c r="E11" s="99"/>
    </row>
    <row r="12" spans="1:8">
      <c r="A12" s="97" t="s">
        <v>884</v>
      </c>
      <c r="B12" s="98">
        <f>INDEX(L!$AJ$14:$AJ$97,MATCH($A$2,L!$B$14:$B$97,0))</f>
        <v>2</v>
      </c>
      <c r="C12" s="99"/>
      <c r="D12" s="99"/>
      <c r="E12" s="99"/>
    </row>
    <row r="13" spans="1:8">
      <c r="A13" s="97" t="s">
        <v>423</v>
      </c>
      <c r="B13" s="103">
        <f>INDEX(L!$I$14:$I$97,MATCH($A$2,L!$B$14:$B$97,0))</f>
        <v>0</v>
      </c>
    </row>
    <row r="14" spans="1:8">
      <c r="A14" s="97" t="s">
        <v>230</v>
      </c>
      <c r="B14" s="103">
        <f>INDEX(L!$M$14:$M$97,MATCH($A$2,L!$B$14:$B$97,0))</f>
        <v>0</v>
      </c>
    </row>
    <row r="15" spans="1:8">
      <c r="A15" s="97" t="s">
        <v>422</v>
      </c>
      <c r="B15" s="103">
        <f>INDEX(L!$Q$14:$Q$97,MATCH($A$2,L!$B$14:$B$97,0))</f>
        <v>1000000</v>
      </c>
    </row>
    <row r="16" spans="1:8">
      <c r="A16" s="97" t="s">
        <v>232</v>
      </c>
      <c r="B16" s="104">
        <f>INDEX(L!$T$14:$T$97,MATCH($A$2,L!$B$14:$B$97,0))</f>
        <v>596578.5</v>
      </c>
    </row>
    <row r="17" spans="1:4">
      <c r="A17" s="97" t="s">
        <v>231</v>
      </c>
      <c r="B17" s="104">
        <f>INDEX(L!$AB$14:$AB$97,MATCH($A$2,L!$B$14:$B$97,0))</f>
        <v>768512.15000000014</v>
      </c>
    </row>
    <row r="18" spans="1:4">
      <c r="A18" s="97" t="s">
        <v>226</v>
      </c>
      <c r="B18" s="100">
        <f>B8+B9+B13+B14+B15-B16-B17</f>
        <v>27934909.350000001</v>
      </c>
    </row>
    <row r="20" spans="1:4">
      <c r="A20" s="97" t="s">
        <v>424</v>
      </c>
      <c r="B20" s="98">
        <f>INDEX(L!$X$14:$X$97,MATCH($A$2,L!$B$14:$B$97,0))</f>
        <v>1</v>
      </c>
    </row>
    <row r="23" spans="1:4">
      <c r="D23" s="105"/>
    </row>
  </sheetData>
  <mergeCells count="4">
    <mergeCell ref="A2:B2"/>
    <mergeCell ref="A3:B3"/>
    <mergeCell ref="E3:H3"/>
    <mergeCell ref="E4:H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G31"/>
  <sheetViews>
    <sheetView workbookViewId="0">
      <selection activeCell="E23" sqref="E23:E30"/>
    </sheetView>
  </sheetViews>
  <sheetFormatPr defaultColWidth="9.140625" defaultRowHeight="15.75"/>
  <cols>
    <col min="1" max="1" width="6.42578125" style="276" customWidth="1"/>
    <col min="2" max="2" width="14.28515625" style="276" customWidth="1"/>
    <col min="3" max="3" width="24.5703125" style="276" customWidth="1"/>
    <col min="4" max="4" width="7.42578125" style="276" customWidth="1"/>
    <col min="5" max="5" width="20.5703125" style="276" customWidth="1"/>
    <col min="6" max="6" width="15" style="276" customWidth="1"/>
    <col min="7" max="7" width="7" style="276" customWidth="1"/>
    <col min="8" max="16384" width="9.140625" style="276"/>
  </cols>
  <sheetData>
    <row r="1" spans="1:7">
      <c r="A1" s="818"/>
      <c r="B1" s="818"/>
      <c r="C1" s="818"/>
      <c r="D1" s="818"/>
      <c r="E1" s="818"/>
    </row>
    <row r="2" spans="1:7">
      <c r="A2" s="819" t="s">
        <v>280</v>
      </c>
      <c r="B2" s="819"/>
      <c r="C2" s="819"/>
      <c r="D2" s="819"/>
      <c r="E2" s="819"/>
    </row>
    <row r="3" spans="1:7">
      <c r="A3" s="277"/>
      <c r="B3" s="277"/>
      <c r="C3" s="277"/>
      <c r="D3" s="277"/>
      <c r="E3" s="277"/>
    </row>
    <row r="4" spans="1:7">
      <c r="A4" s="817" t="s">
        <v>285</v>
      </c>
      <c r="B4" s="817"/>
      <c r="C4" s="817"/>
      <c r="D4" s="817"/>
      <c r="E4" s="817"/>
      <c r="F4" s="817"/>
    </row>
    <row r="5" spans="1:7">
      <c r="A5" s="817" t="s">
        <v>286</v>
      </c>
      <c r="B5" s="817"/>
      <c r="C5" s="817"/>
      <c r="D5" s="817"/>
      <c r="E5" s="817"/>
      <c r="F5" s="817"/>
    </row>
    <row r="6" spans="1:7">
      <c r="E6" s="276">
        <v>5681700</v>
      </c>
    </row>
    <row r="7" spans="1:7" s="278" customFormat="1" ht="12.75">
      <c r="A7" s="820" t="s">
        <v>193</v>
      </c>
      <c r="B7" s="820" t="s">
        <v>287</v>
      </c>
      <c r="C7" s="820" t="s">
        <v>279</v>
      </c>
      <c r="D7" s="820" t="s">
        <v>288</v>
      </c>
      <c r="E7" s="279" t="s">
        <v>289</v>
      </c>
      <c r="F7" s="820" t="s">
        <v>290</v>
      </c>
    </row>
    <row r="8" spans="1:7" s="278" customFormat="1" ht="12.75">
      <c r="A8" s="821"/>
      <c r="B8" s="821"/>
      <c r="C8" s="821"/>
      <c r="D8" s="821"/>
      <c r="E8" s="280"/>
      <c r="F8" s="821"/>
    </row>
    <row r="9" spans="1:7">
      <c r="A9" s="281" t="s">
        <v>276</v>
      </c>
      <c r="B9" s="282" t="s">
        <v>291</v>
      </c>
      <c r="C9" s="283" t="s">
        <v>292</v>
      </c>
      <c r="D9" s="284">
        <v>3.5</v>
      </c>
      <c r="E9" s="285">
        <f>$E$6*D9</f>
        <v>19885950</v>
      </c>
      <c r="F9" s="284">
        <f>100%*E9</f>
        <v>19885950</v>
      </c>
      <c r="G9" s="286">
        <v>1</v>
      </c>
    </row>
    <row r="10" spans="1:7">
      <c r="A10" s="287">
        <v>1</v>
      </c>
      <c r="B10" s="288"/>
      <c r="C10" s="289" t="s">
        <v>293</v>
      </c>
      <c r="D10" s="290">
        <v>2</v>
      </c>
      <c r="E10" s="285">
        <f t="shared" ref="E10:E17" si="0">$E$6*D10</f>
        <v>11363400</v>
      </c>
      <c r="F10" s="290">
        <f>70%*E10</f>
        <v>7954379.9999999991</v>
      </c>
      <c r="G10" s="286">
        <v>0.7</v>
      </c>
    </row>
    <row r="11" spans="1:7">
      <c r="A11" s="287">
        <v>2</v>
      </c>
      <c r="B11" s="288"/>
      <c r="C11" s="289" t="s">
        <v>294</v>
      </c>
      <c r="D11" s="290">
        <v>0.35</v>
      </c>
      <c r="E11" s="285">
        <f t="shared" si="0"/>
        <v>1988594.9999999998</v>
      </c>
      <c r="F11" s="290"/>
    </row>
    <row r="12" spans="1:7">
      <c r="A12" s="287">
        <v>3</v>
      </c>
      <c r="B12" s="288"/>
      <c r="C12" s="289" t="s">
        <v>295</v>
      </c>
      <c r="D12" s="291">
        <v>0.35</v>
      </c>
      <c r="E12" s="285">
        <f t="shared" si="0"/>
        <v>1988594.9999999998</v>
      </c>
      <c r="F12" s="291"/>
    </row>
    <row r="13" spans="1:7">
      <c r="A13" s="287">
        <v>4</v>
      </c>
      <c r="B13" s="288"/>
      <c r="C13" s="289" t="s">
        <v>296</v>
      </c>
      <c r="D13" s="291">
        <v>0.35</v>
      </c>
      <c r="E13" s="285">
        <f t="shared" si="0"/>
        <v>1988594.9999999998</v>
      </c>
      <c r="F13" s="291"/>
    </row>
    <row r="14" spans="1:7">
      <c r="A14" s="287">
        <v>5</v>
      </c>
      <c r="B14" s="288"/>
      <c r="C14" s="289" t="s">
        <v>297</v>
      </c>
      <c r="D14" s="291">
        <v>0.25</v>
      </c>
      <c r="E14" s="285">
        <f t="shared" si="0"/>
        <v>1420425</v>
      </c>
      <c r="F14" s="291"/>
    </row>
    <row r="15" spans="1:7">
      <c r="A15" s="287">
        <v>6</v>
      </c>
      <c r="B15" s="288"/>
      <c r="C15" s="289" t="s">
        <v>298</v>
      </c>
      <c r="D15" s="291">
        <v>0.25</v>
      </c>
      <c r="E15" s="285">
        <f t="shared" si="0"/>
        <v>1420425</v>
      </c>
      <c r="F15" s="291"/>
    </row>
    <row r="16" spans="1:7">
      <c r="A16" s="287">
        <v>7</v>
      </c>
      <c r="B16" s="288"/>
      <c r="C16" s="289" t="s">
        <v>299</v>
      </c>
      <c r="D16" s="291">
        <v>0.25</v>
      </c>
      <c r="E16" s="285">
        <f t="shared" si="0"/>
        <v>1420425</v>
      </c>
      <c r="F16" s="291"/>
    </row>
    <row r="17" spans="1:6">
      <c r="A17" s="287">
        <v>8</v>
      </c>
      <c r="B17" s="288"/>
      <c r="C17" s="289" t="s">
        <v>300</v>
      </c>
      <c r="D17" s="291">
        <v>0.25</v>
      </c>
      <c r="E17" s="285">
        <f t="shared" si="0"/>
        <v>1420425</v>
      </c>
      <c r="F17" s="291"/>
    </row>
    <row r="18" spans="1:6">
      <c r="A18" s="287"/>
      <c r="B18" s="288"/>
      <c r="C18" s="289"/>
      <c r="D18" s="291"/>
      <c r="E18" s="201"/>
      <c r="F18" s="291"/>
    </row>
    <row r="19" spans="1:6">
      <c r="A19" s="292" t="s">
        <v>277</v>
      </c>
      <c r="B19" s="293" t="s">
        <v>301</v>
      </c>
      <c r="C19" s="289"/>
      <c r="D19" s="290"/>
      <c r="E19" s="201"/>
      <c r="F19" s="290"/>
    </row>
    <row r="20" spans="1:6">
      <c r="A20" s="287">
        <v>1</v>
      </c>
      <c r="B20" s="288"/>
      <c r="C20" s="289" t="s">
        <v>302</v>
      </c>
      <c r="D20" s="290"/>
      <c r="E20" s="201">
        <v>200000</v>
      </c>
      <c r="F20" s="290"/>
    </row>
    <row r="21" spans="1:6">
      <c r="A21" s="287">
        <v>2</v>
      </c>
      <c r="B21" s="288"/>
      <c r="C21" s="289" t="s">
        <v>303</v>
      </c>
      <c r="D21" s="291"/>
      <c r="E21" s="201">
        <v>200000</v>
      </c>
      <c r="F21" s="291"/>
    </row>
    <row r="22" spans="1:6">
      <c r="A22" s="292" t="s">
        <v>278</v>
      </c>
      <c r="B22" s="293" t="s">
        <v>304</v>
      </c>
      <c r="C22" s="289"/>
      <c r="D22" s="291"/>
      <c r="E22" s="294"/>
      <c r="F22" s="291"/>
    </row>
    <row r="23" spans="1:6">
      <c r="A23" s="287">
        <v>1</v>
      </c>
      <c r="B23" s="288" t="s">
        <v>305</v>
      </c>
      <c r="C23" s="289" t="s">
        <v>306</v>
      </c>
      <c r="D23" s="291" t="s">
        <v>307</v>
      </c>
      <c r="E23" s="295" t="s">
        <v>308</v>
      </c>
      <c r="F23" s="291"/>
    </row>
    <row r="24" spans="1:6">
      <c r="A24" s="287"/>
      <c r="B24" s="288"/>
      <c r="C24" s="289"/>
      <c r="D24" s="291"/>
      <c r="E24" s="295" t="s">
        <v>309</v>
      </c>
      <c r="F24" s="291"/>
    </row>
    <row r="25" spans="1:6">
      <c r="A25" s="287">
        <v>2</v>
      </c>
      <c r="B25" s="296" t="s">
        <v>222</v>
      </c>
      <c r="C25" s="297" t="s">
        <v>310</v>
      </c>
      <c r="D25" s="298"/>
      <c r="E25" s="295" t="s">
        <v>308</v>
      </c>
      <c r="F25" s="298"/>
    </row>
    <row r="26" spans="1:6">
      <c r="A26" s="287"/>
      <c r="B26" s="296"/>
      <c r="C26" s="297" t="s">
        <v>306</v>
      </c>
      <c r="D26" s="298"/>
      <c r="E26" s="295" t="s">
        <v>311</v>
      </c>
      <c r="F26" s="298"/>
    </row>
    <row r="27" spans="1:6">
      <c r="A27" s="287">
        <v>3</v>
      </c>
      <c r="B27" s="288" t="s">
        <v>312</v>
      </c>
      <c r="C27" s="297" t="s">
        <v>313</v>
      </c>
      <c r="D27" s="299"/>
      <c r="E27" s="295" t="s">
        <v>314</v>
      </c>
      <c r="F27" s="299"/>
    </row>
    <row r="28" spans="1:6">
      <c r="A28" s="287">
        <v>4</v>
      </c>
      <c r="B28" s="300" t="s">
        <v>315</v>
      </c>
      <c r="C28" s="297" t="s">
        <v>310</v>
      </c>
      <c r="D28" s="299"/>
      <c r="E28" s="301" t="s">
        <v>316</v>
      </c>
      <c r="F28" s="299"/>
    </row>
    <row r="29" spans="1:6">
      <c r="A29" s="287"/>
      <c r="B29" s="302"/>
      <c r="C29" s="303" t="s">
        <v>317</v>
      </c>
      <c r="D29" s="299"/>
      <c r="E29" s="301" t="s">
        <v>318</v>
      </c>
      <c r="F29" s="299"/>
    </row>
    <row r="30" spans="1:6">
      <c r="A30" s="287"/>
      <c r="B30" s="304"/>
      <c r="C30" s="305" t="s">
        <v>319</v>
      </c>
      <c r="D30" s="299"/>
      <c r="E30" s="301" t="s">
        <v>320</v>
      </c>
      <c r="F30" s="299"/>
    </row>
    <row r="31" spans="1:6" s="278" customFormat="1" ht="12.75">
      <c r="A31" s="306"/>
      <c r="B31" s="307"/>
      <c r="C31" s="308"/>
      <c r="D31" s="309"/>
      <c r="E31" s="310"/>
      <c r="F31" s="309"/>
    </row>
  </sheetData>
  <mergeCells count="9">
    <mergeCell ref="A1:E1"/>
    <mergeCell ref="A2:E2"/>
    <mergeCell ref="A4:F4"/>
    <mergeCell ref="A5:F5"/>
    <mergeCell ref="A7:A8"/>
    <mergeCell ref="B7:B8"/>
    <mergeCell ref="C7:C8"/>
    <mergeCell ref="D7:D8"/>
    <mergeCell ref="F7:F8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WVX166"/>
  <sheetViews>
    <sheetView topLeftCell="B1" zoomScale="70" zoomScaleNormal="70" workbookViewId="0">
      <selection activeCell="J21" sqref="J21"/>
    </sheetView>
  </sheetViews>
  <sheetFormatPr defaultColWidth="9" defaultRowHeight="12.75"/>
  <cols>
    <col min="1" max="1" width="6.5703125" style="48" hidden="1" customWidth="1"/>
    <col min="2" max="2" width="5.85546875" style="48" customWidth="1"/>
    <col min="3" max="3" width="26.42578125" style="48" customWidth="1"/>
    <col min="4" max="4" width="13.7109375" style="49" customWidth="1"/>
    <col min="5" max="5" width="18.5703125" style="49" customWidth="1"/>
    <col min="6" max="6" width="14.28515625" style="48" hidden="1" customWidth="1"/>
    <col min="7" max="7" width="9" style="49" customWidth="1"/>
    <col min="8" max="8" width="12.85546875" style="48" hidden="1" customWidth="1"/>
    <col min="9" max="9" width="15.7109375" style="48" hidden="1" customWidth="1"/>
    <col min="10" max="10" width="14.42578125" style="50" customWidth="1"/>
    <col min="11" max="11" width="20.5703125" style="50" customWidth="1"/>
    <col min="12" max="12" width="10.42578125" style="51" hidden="1" customWidth="1"/>
    <col min="13" max="13" width="8.85546875" style="51" hidden="1" customWidth="1"/>
    <col min="14" max="14" width="14.7109375" style="50" customWidth="1"/>
    <col min="15" max="15" width="17.140625" style="50" hidden="1" customWidth="1"/>
    <col min="16" max="16" width="17.140625" style="50" customWidth="1"/>
    <col min="17" max="17" width="14.5703125" style="48" customWidth="1"/>
    <col min="18" max="18" width="23.28515625" style="48" customWidth="1"/>
    <col min="19" max="257" width="9.140625" style="48"/>
    <col min="258" max="258" width="9" style="48" hidden="1" customWidth="1"/>
    <col min="259" max="259" width="5.85546875" style="48" customWidth="1"/>
    <col min="260" max="260" width="26.42578125" style="48" customWidth="1"/>
    <col min="261" max="261" width="13.42578125" style="48" customWidth="1"/>
    <col min="262" max="262" width="19.28515625" style="48" customWidth="1"/>
    <col min="263" max="263" width="9" style="48" hidden="1" customWidth="1"/>
    <col min="264" max="264" width="9" style="48" customWidth="1"/>
    <col min="265" max="266" width="9" style="48" hidden="1" customWidth="1"/>
    <col min="267" max="267" width="14.7109375" style="48" customWidth="1"/>
    <col min="268" max="268" width="20.7109375" style="48" customWidth="1"/>
    <col min="269" max="270" width="9" style="48" hidden="1" customWidth="1"/>
    <col min="271" max="271" width="14.7109375" style="48" customWidth="1"/>
    <col min="272" max="272" width="9" style="48" hidden="1" customWidth="1"/>
    <col min="273" max="273" width="14.5703125" style="48" customWidth="1"/>
    <col min="274" max="274" width="23.28515625" style="48" customWidth="1"/>
    <col min="275" max="513" width="9.140625" style="48"/>
    <col min="514" max="514" width="9" style="48" hidden="1" customWidth="1"/>
    <col min="515" max="515" width="5.85546875" style="48" customWidth="1"/>
    <col min="516" max="516" width="26.42578125" style="48" customWidth="1"/>
    <col min="517" max="517" width="13.42578125" style="48" customWidth="1"/>
    <col min="518" max="518" width="19.28515625" style="48" customWidth="1"/>
    <col min="519" max="519" width="9" style="48" hidden="1" customWidth="1"/>
    <col min="520" max="520" width="9" style="48" customWidth="1"/>
    <col min="521" max="522" width="9" style="48" hidden="1" customWidth="1"/>
    <col min="523" max="523" width="14.7109375" style="48" customWidth="1"/>
    <col min="524" max="524" width="20.7109375" style="48" customWidth="1"/>
    <col min="525" max="526" width="9" style="48" hidden="1" customWidth="1"/>
    <col min="527" max="527" width="14.7109375" style="48" customWidth="1"/>
    <col min="528" max="528" width="9" style="48" hidden="1" customWidth="1"/>
    <col min="529" max="529" width="14.5703125" style="48" customWidth="1"/>
    <col min="530" max="530" width="23.28515625" style="48" customWidth="1"/>
    <col min="531" max="769" width="9.140625" style="48"/>
    <col min="770" max="770" width="9" style="48" hidden="1" customWidth="1"/>
    <col min="771" max="771" width="5.85546875" style="48" customWidth="1"/>
    <col min="772" max="772" width="26.42578125" style="48" customWidth="1"/>
    <col min="773" max="773" width="13.42578125" style="48" customWidth="1"/>
    <col min="774" max="774" width="19.28515625" style="48" customWidth="1"/>
    <col min="775" max="775" width="9" style="48" hidden="1" customWidth="1"/>
    <col min="776" max="776" width="9" style="48" customWidth="1"/>
    <col min="777" max="778" width="9" style="48" hidden="1" customWidth="1"/>
    <col min="779" max="779" width="14.7109375" style="48" customWidth="1"/>
    <col min="780" max="780" width="20.7109375" style="48" customWidth="1"/>
    <col min="781" max="782" width="9" style="48" hidden="1" customWidth="1"/>
    <col min="783" max="783" width="14.7109375" style="48" customWidth="1"/>
    <col min="784" max="784" width="9" style="48" hidden="1" customWidth="1"/>
    <col min="785" max="785" width="14.5703125" style="48" customWidth="1"/>
    <col min="786" max="786" width="23.28515625" style="48" customWidth="1"/>
    <col min="787" max="1025" width="9.140625" style="48"/>
    <col min="1026" max="1026" width="9" style="48" hidden="1" customWidth="1"/>
    <col min="1027" max="1027" width="5.85546875" style="48" customWidth="1"/>
    <col min="1028" max="1028" width="26.42578125" style="48" customWidth="1"/>
    <col min="1029" max="1029" width="13.42578125" style="48" customWidth="1"/>
    <col min="1030" max="1030" width="19.28515625" style="48" customWidth="1"/>
    <col min="1031" max="1031" width="9" style="48" hidden="1" customWidth="1"/>
    <col min="1032" max="1032" width="9" style="48" customWidth="1"/>
    <col min="1033" max="1034" width="9" style="48" hidden="1" customWidth="1"/>
    <col min="1035" max="1035" width="14.7109375" style="48" customWidth="1"/>
    <col min="1036" max="1036" width="20.7109375" style="48" customWidth="1"/>
    <col min="1037" max="1038" width="9" style="48" hidden="1" customWidth="1"/>
    <col min="1039" max="1039" width="14.7109375" style="48" customWidth="1"/>
    <col min="1040" max="1040" width="9" style="48" hidden="1" customWidth="1"/>
    <col min="1041" max="1041" width="14.5703125" style="48" customWidth="1"/>
    <col min="1042" max="1042" width="23.28515625" style="48" customWidth="1"/>
    <col min="1043" max="1281" width="9.140625" style="48"/>
    <col min="1282" max="1282" width="9" style="48" hidden="1" customWidth="1"/>
    <col min="1283" max="1283" width="5.85546875" style="48" customWidth="1"/>
    <col min="1284" max="1284" width="26.42578125" style="48" customWidth="1"/>
    <col min="1285" max="1285" width="13.42578125" style="48" customWidth="1"/>
    <col min="1286" max="1286" width="19.28515625" style="48" customWidth="1"/>
    <col min="1287" max="1287" width="9" style="48" hidden="1" customWidth="1"/>
    <col min="1288" max="1288" width="9" style="48" customWidth="1"/>
    <col min="1289" max="1290" width="9" style="48" hidden="1" customWidth="1"/>
    <col min="1291" max="1291" width="14.7109375" style="48" customWidth="1"/>
    <col min="1292" max="1292" width="20.7109375" style="48" customWidth="1"/>
    <col min="1293" max="1294" width="9" style="48" hidden="1" customWidth="1"/>
    <col min="1295" max="1295" width="14.7109375" style="48" customWidth="1"/>
    <col min="1296" max="1296" width="9" style="48" hidden="1" customWidth="1"/>
    <col min="1297" max="1297" width="14.5703125" style="48" customWidth="1"/>
    <col min="1298" max="1298" width="23.28515625" style="48" customWidth="1"/>
    <col min="1299" max="1537" width="9.140625" style="48"/>
    <col min="1538" max="1538" width="9" style="48" hidden="1" customWidth="1"/>
    <col min="1539" max="1539" width="5.85546875" style="48" customWidth="1"/>
    <col min="1540" max="1540" width="26.42578125" style="48" customWidth="1"/>
    <col min="1541" max="1541" width="13.42578125" style="48" customWidth="1"/>
    <col min="1542" max="1542" width="19.28515625" style="48" customWidth="1"/>
    <col min="1543" max="1543" width="9" style="48" hidden="1" customWidth="1"/>
    <col min="1544" max="1544" width="9" style="48" customWidth="1"/>
    <col min="1545" max="1546" width="9" style="48" hidden="1" customWidth="1"/>
    <col min="1547" max="1547" width="14.7109375" style="48" customWidth="1"/>
    <col min="1548" max="1548" width="20.7109375" style="48" customWidth="1"/>
    <col min="1549" max="1550" width="9" style="48" hidden="1" customWidth="1"/>
    <col min="1551" max="1551" width="14.7109375" style="48" customWidth="1"/>
    <col min="1552" max="1552" width="9" style="48" hidden="1" customWidth="1"/>
    <col min="1553" max="1553" width="14.5703125" style="48" customWidth="1"/>
    <col min="1554" max="1554" width="23.28515625" style="48" customWidth="1"/>
    <col min="1555" max="1793" width="9.140625" style="48"/>
    <col min="1794" max="1794" width="9" style="48" hidden="1" customWidth="1"/>
    <col min="1795" max="1795" width="5.85546875" style="48" customWidth="1"/>
    <col min="1796" max="1796" width="26.42578125" style="48" customWidth="1"/>
    <col min="1797" max="1797" width="13.42578125" style="48" customWidth="1"/>
    <col min="1798" max="1798" width="19.28515625" style="48" customWidth="1"/>
    <col min="1799" max="1799" width="9" style="48" hidden="1" customWidth="1"/>
    <col min="1800" max="1800" width="9" style="48" customWidth="1"/>
    <col min="1801" max="1802" width="9" style="48" hidden="1" customWidth="1"/>
    <col min="1803" max="1803" width="14.7109375" style="48" customWidth="1"/>
    <col min="1804" max="1804" width="20.7109375" style="48" customWidth="1"/>
    <col min="1805" max="1806" width="9" style="48" hidden="1" customWidth="1"/>
    <col min="1807" max="1807" width="14.7109375" style="48" customWidth="1"/>
    <col min="1808" max="1808" width="9" style="48" hidden="1" customWidth="1"/>
    <col min="1809" max="1809" width="14.5703125" style="48" customWidth="1"/>
    <col min="1810" max="1810" width="23.28515625" style="48" customWidth="1"/>
    <col min="1811" max="2049" width="9.140625" style="48"/>
    <col min="2050" max="2050" width="9" style="48" hidden="1" customWidth="1"/>
    <col min="2051" max="2051" width="5.85546875" style="48" customWidth="1"/>
    <col min="2052" max="2052" width="26.42578125" style="48" customWidth="1"/>
    <col min="2053" max="2053" width="13.42578125" style="48" customWidth="1"/>
    <col min="2054" max="2054" width="19.28515625" style="48" customWidth="1"/>
    <col min="2055" max="2055" width="9" style="48" hidden="1" customWidth="1"/>
    <col min="2056" max="2056" width="9" style="48" customWidth="1"/>
    <col min="2057" max="2058" width="9" style="48" hidden="1" customWidth="1"/>
    <col min="2059" max="2059" width="14.7109375" style="48" customWidth="1"/>
    <col min="2060" max="2060" width="20.7109375" style="48" customWidth="1"/>
    <col min="2061" max="2062" width="9" style="48" hidden="1" customWidth="1"/>
    <col min="2063" max="2063" width="14.7109375" style="48" customWidth="1"/>
    <col min="2064" max="2064" width="9" style="48" hidden="1" customWidth="1"/>
    <col min="2065" max="2065" width="14.5703125" style="48" customWidth="1"/>
    <col min="2066" max="2066" width="23.28515625" style="48" customWidth="1"/>
    <col min="2067" max="2305" width="9.140625" style="48"/>
    <col min="2306" max="2306" width="9" style="48" hidden="1" customWidth="1"/>
    <col min="2307" max="2307" width="5.85546875" style="48" customWidth="1"/>
    <col min="2308" max="2308" width="26.42578125" style="48" customWidth="1"/>
    <col min="2309" max="2309" width="13.42578125" style="48" customWidth="1"/>
    <col min="2310" max="2310" width="19.28515625" style="48" customWidth="1"/>
    <col min="2311" max="2311" width="9" style="48" hidden="1" customWidth="1"/>
    <col min="2312" max="2312" width="9" style="48" customWidth="1"/>
    <col min="2313" max="2314" width="9" style="48" hidden="1" customWidth="1"/>
    <col min="2315" max="2315" width="14.7109375" style="48" customWidth="1"/>
    <col min="2316" max="2316" width="20.7109375" style="48" customWidth="1"/>
    <col min="2317" max="2318" width="9" style="48" hidden="1" customWidth="1"/>
    <col min="2319" max="2319" width="14.7109375" style="48" customWidth="1"/>
    <col min="2320" max="2320" width="9" style="48" hidden="1" customWidth="1"/>
    <col min="2321" max="2321" width="14.5703125" style="48" customWidth="1"/>
    <col min="2322" max="2322" width="23.28515625" style="48" customWidth="1"/>
    <col min="2323" max="2561" width="9.140625" style="48"/>
    <col min="2562" max="2562" width="9" style="48" hidden="1" customWidth="1"/>
    <col min="2563" max="2563" width="5.85546875" style="48" customWidth="1"/>
    <col min="2564" max="2564" width="26.42578125" style="48" customWidth="1"/>
    <col min="2565" max="2565" width="13.42578125" style="48" customWidth="1"/>
    <col min="2566" max="2566" width="19.28515625" style="48" customWidth="1"/>
    <col min="2567" max="2567" width="9" style="48" hidden="1" customWidth="1"/>
    <col min="2568" max="2568" width="9" style="48" customWidth="1"/>
    <col min="2569" max="2570" width="9" style="48" hidden="1" customWidth="1"/>
    <col min="2571" max="2571" width="14.7109375" style="48" customWidth="1"/>
    <col min="2572" max="2572" width="20.7109375" style="48" customWidth="1"/>
    <col min="2573" max="2574" width="9" style="48" hidden="1" customWidth="1"/>
    <col min="2575" max="2575" width="14.7109375" style="48" customWidth="1"/>
    <col min="2576" max="2576" width="9" style="48" hidden="1" customWidth="1"/>
    <col min="2577" max="2577" width="14.5703125" style="48" customWidth="1"/>
    <col min="2578" max="2578" width="23.28515625" style="48" customWidth="1"/>
    <col min="2579" max="2817" width="9.140625" style="48"/>
    <col min="2818" max="2818" width="9" style="48" hidden="1" customWidth="1"/>
    <col min="2819" max="2819" width="5.85546875" style="48" customWidth="1"/>
    <col min="2820" max="2820" width="26.42578125" style="48" customWidth="1"/>
    <col min="2821" max="2821" width="13.42578125" style="48" customWidth="1"/>
    <col min="2822" max="2822" width="19.28515625" style="48" customWidth="1"/>
    <col min="2823" max="2823" width="9" style="48" hidden="1" customWidth="1"/>
    <col min="2824" max="2824" width="9" style="48" customWidth="1"/>
    <col min="2825" max="2826" width="9" style="48" hidden="1" customWidth="1"/>
    <col min="2827" max="2827" width="14.7109375" style="48" customWidth="1"/>
    <col min="2828" max="2828" width="20.7109375" style="48" customWidth="1"/>
    <col min="2829" max="2830" width="9" style="48" hidden="1" customWidth="1"/>
    <col min="2831" max="2831" width="14.7109375" style="48" customWidth="1"/>
    <col min="2832" max="2832" width="9" style="48" hidden="1" customWidth="1"/>
    <col min="2833" max="2833" width="14.5703125" style="48" customWidth="1"/>
    <col min="2834" max="2834" width="23.28515625" style="48" customWidth="1"/>
    <col min="2835" max="3073" width="9.140625" style="48"/>
    <col min="3074" max="3074" width="9" style="48" hidden="1" customWidth="1"/>
    <col min="3075" max="3075" width="5.85546875" style="48" customWidth="1"/>
    <col min="3076" max="3076" width="26.42578125" style="48" customWidth="1"/>
    <col min="3077" max="3077" width="13.42578125" style="48" customWidth="1"/>
    <col min="3078" max="3078" width="19.28515625" style="48" customWidth="1"/>
    <col min="3079" max="3079" width="9" style="48" hidden="1" customWidth="1"/>
    <col min="3080" max="3080" width="9" style="48" customWidth="1"/>
    <col min="3081" max="3082" width="9" style="48" hidden="1" customWidth="1"/>
    <col min="3083" max="3083" width="14.7109375" style="48" customWidth="1"/>
    <col min="3084" max="3084" width="20.7109375" style="48" customWidth="1"/>
    <col min="3085" max="3086" width="9" style="48" hidden="1" customWidth="1"/>
    <col min="3087" max="3087" width="14.7109375" style="48" customWidth="1"/>
    <col min="3088" max="3088" width="9" style="48" hidden="1" customWidth="1"/>
    <col min="3089" max="3089" width="14.5703125" style="48" customWidth="1"/>
    <col min="3090" max="3090" width="23.28515625" style="48" customWidth="1"/>
    <col min="3091" max="3329" width="9.140625" style="48"/>
    <col min="3330" max="3330" width="9" style="48" hidden="1" customWidth="1"/>
    <col min="3331" max="3331" width="5.85546875" style="48" customWidth="1"/>
    <col min="3332" max="3332" width="26.42578125" style="48" customWidth="1"/>
    <col min="3333" max="3333" width="13.42578125" style="48" customWidth="1"/>
    <col min="3334" max="3334" width="19.28515625" style="48" customWidth="1"/>
    <col min="3335" max="3335" width="9" style="48" hidden="1" customWidth="1"/>
    <col min="3336" max="3336" width="9" style="48" customWidth="1"/>
    <col min="3337" max="3338" width="9" style="48" hidden="1" customWidth="1"/>
    <col min="3339" max="3339" width="14.7109375" style="48" customWidth="1"/>
    <col min="3340" max="3340" width="20.7109375" style="48" customWidth="1"/>
    <col min="3341" max="3342" width="9" style="48" hidden="1" customWidth="1"/>
    <col min="3343" max="3343" width="14.7109375" style="48" customWidth="1"/>
    <col min="3344" max="3344" width="9" style="48" hidden="1" customWidth="1"/>
    <col min="3345" max="3345" width="14.5703125" style="48" customWidth="1"/>
    <col min="3346" max="3346" width="23.28515625" style="48" customWidth="1"/>
    <col min="3347" max="3585" width="9.140625" style="48"/>
    <col min="3586" max="3586" width="9" style="48" hidden="1" customWidth="1"/>
    <col min="3587" max="3587" width="5.85546875" style="48" customWidth="1"/>
    <col min="3588" max="3588" width="26.42578125" style="48" customWidth="1"/>
    <col min="3589" max="3589" width="13.42578125" style="48" customWidth="1"/>
    <col min="3590" max="3590" width="19.28515625" style="48" customWidth="1"/>
    <col min="3591" max="3591" width="9" style="48" hidden="1" customWidth="1"/>
    <col min="3592" max="3592" width="9" style="48" customWidth="1"/>
    <col min="3593" max="3594" width="9" style="48" hidden="1" customWidth="1"/>
    <col min="3595" max="3595" width="14.7109375" style="48" customWidth="1"/>
    <col min="3596" max="3596" width="20.7109375" style="48" customWidth="1"/>
    <col min="3597" max="3598" width="9" style="48" hidden="1" customWidth="1"/>
    <col min="3599" max="3599" width="14.7109375" style="48" customWidth="1"/>
    <col min="3600" max="3600" width="9" style="48" hidden="1" customWidth="1"/>
    <col min="3601" max="3601" width="14.5703125" style="48" customWidth="1"/>
    <col min="3602" max="3602" width="23.28515625" style="48" customWidth="1"/>
    <col min="3603" max="3841" width="9.140625" style="48"/>
    <col min="3842" max="3842" width="9" style="48" hidden="1" customWidth="1"/>
    <col min="3843" max="3843" width="5.85546875" style="48" customWidth="1"/>
    <col min="3844" max="3844" width="26.42578125" style="48" customWidth="1"/>
    <col min="3845" max="3845" width="13.42578125" style="48" customWidth="1"/>
    <col min="3846" max="3846" width="19.28515625" style="48" customWidth="1"/>
    <col min="3847" max="3847" width="9" style="48" hidden="1" customWidth="1"/>
    <col min="3848" max="3848" width="9" style="48" customWidth="1"/>
    <col min="3849" max="3850" width="9" style="48" hidden="1" customWidth="1"/>
    <col min="3851" max="3851" width="14.7109375" style="48" customWidth="1"/>
    <col min="3852" max="3852" width="20.7109375" style="48" customWidth="1"/>
    <col min="3853" max="3854" width="9" style="48" hidden="1" customWidth="1"/>
    <col min="3855" max="3855" width="14.7109375" style="48" customWidth="1"/>
    <col min="3856" max="3856" width="9" style="48" hidden="1" customWidth="1"/>
    <col min="3857" max="3857" width="14.5703125" style="48" customWidth="1"/>
    <col min="3858" max="3858" width="23.28515625" style="48" customWidth="1"/>
    <col min="3859" max="4097" width="9.140625" style="48"/>
    <col min="4098" max="4098" width="9" style="48" hidden="1" customWidth="1"/>
    <col min="4099" max="4099" width="5.85546875" style="48" customWidth="1"/>
    <col min="4100" max="4100" width="26.42578125" style="48" customWidth="1"/>
    <col min="4101" max="4101" width="13.42578125" style="48" customWidth="1"/>
    <col min="4102" max="4102" width="19.28515625" style="48" customWidth="1"/>
    <col min="4103" max="4103" width="9" style="48" hidden="1" customWidth="1"/>
    <col min="4104" max="4104" width="9" style="48" customWidth="1"/>
    <col min="4105" max="4106" width="9" style="48" hidden="1" customWidth="1"/>
    <col min="4107" max="4107" width="14.7109375" style="48" customWidth="1"/>
    <col min="4108" max="4108" width="20.7109375" style="48" customWidth="1"/>
    <col min="4109" max="4110" width="9" style="48" hidden="1" customWidth="1"/>
    <col min="4111" max="4111" width="14.7109375" style="48" customWidth="1"/>
    <col min="4112" max="4112" width="9" style="48" hidden="1" customWidth="1"/>
    <col min="4113" max="4113" width="14.5703125" style="48" customWidth="1"/>
    <col min="4114" max="4114" width="23.28515625" style="48" customWidth="1"/>
    <col min="4115" max="4353" width="9.140625" style="48"/>
    <col min="4354" max="4354" width="9" style="48" hidden="1" customWidth="1"/>
    <col min="4355" max="4355" width="5.85546875" style="48" customWidth="1"/>
    <col min="4356" max="4356" width="26.42578125" style="48" customWidth="1"/>
    <col min="4357" max="4357" width="13.42578125" style="48" customWidth="1"/>
    <col min="4358" max="4358" width="19.28515625" style="48" customWidth="1"/>
    <col min="4359" max="4359" width="9" style="48" hidden="1" customWidth="1"/>
    <col min="4360" max="4360" width="9" style="48" customWidth="1"/>
    <col min="4361" max="4362" width="9" style="48" hidden="1" customWidth="1"/>
    <col min="4363" max="4363" width="14.7109375" style="48" customWidth="1"/>
    <col min="4364" max="4364" width="20.7109375" style="48" customWidth="1"/>
    <col min="4365" max="4366" width="9" style="48" hidden="1" customWidth="1"/>
    <col min="4367" max="4367" width="14.7109375" style="48" customWidth="1"/>
    <col min="4368" max="4368" width="9" style="48" hidden="1" customWidth="1"/>
    <col min="4369" max="4369" width="14.5703125" style="48" customWidth="1"/>
    <col min="4370" max="4370" width="23.28515625" style="48" customWidth="1"/>
    <col min="4371" max="4609" width="9.140625" style="48"/>
    <col min="4610" max="4610" width="9" style="48" hidden="1" customWidth="1"/>
    <col min="4611" max="4611" width="5.85546875" style="48" customWidth="1"/>
    <col min="4612" max="4612" width="26.42578125" style="48" customWidth="1"/>
    <col min="4613" max="4613" width="13.42578125" style="48" customWidth="1"/>
    <col min="4614" max="4614" width="19.28515625" style="48" customWidth="1"/>
    <col min="4615" max="4615" width="9" style="48" hidden="1" customWidth="1"/>
    <col min="4616" max="4616" width="9" style="48" customWidth="1"/>
    <col min="4617" max="4618" width="9" style="48" hidden="1" customWidth="1"/>
    <col min="4619" max="4619" width="14.7109375" style="48" customWidth="1"/>
    <col min="4620" max="4620" width="20.7109375" style="48" customWidth="1"/>
    <col min="4621" max="4622" width="9" style="48" hidden="1" customWidth="1"/>
    <col min="4623" max="4623" width="14.7109375" style="48" customWidth="1"/>
    <col min="4624" max="4624" width="9" style="48" hidden="1" customWidth="1"/>
    <col min="4625" max="4625" width="14.5703125" style="48" customWidth="1"/>
    <col min="4626" max="4626" width="23.28515625" style="48" customWidth="1"/>
    <col min="4627" max="4865" width="9.140625" style="48"/>
    <col min="4866" max="4866" width="9" style="48" hidden="1" customWidth="1"/>
    <col min="4867" max="4867" width="5.85546875" style="48" customWidth="1"/>
    <col min="4868" max="4868" width="26.42578125" style="48" customWidth="1"/>
    <col min="4869" max="4869" width="13.42578125" style="48" customWidth="1"/>
    <col min="4870" max="4870" width="19.28515625" style="48" customWidth="1"/>
    <col min="4871" max="4871" width="9" style="48" hidden="1" customWidth="1"/>
    <col min="4872" max="4872" width="9" style="48" customWidth="1"/>
    <col min="4873" max="4874" width="9" style="48" hidden="1" customWidth="1"/>
    <col min="4875" max="4875" width="14.7109375" style="48" customWidth="1"/>
    <col min="4876" max="4876" width="20.7109375" style="48" customWidth="1"/>
    <col min="4877" max="4878" width="9" style="48" hidden="1" customWidth="1"/>
    <col min="4879" max="4879" width="14.7109375" style="48" customWidth="1"/>
    <col min="4880" max="4880" width="9" style="48" hidden="1" customWidth="1"/>
    <col min="4881" max="4881" width="14.5703125" style="48" customWidth="1"/>
    <col min="4882" max="4882" width="23.28515625" style="48" customWidth="1"/>
    <col min="4883" max="5121" width="9.140625" style="48"/>
    <col min="5122" max="5122" width="9" style="48" hidden="1" customWidth="1"/>
    <col min="5123" max="5123" width="5.85546875" style="48" customWidth="1"/>
    <col min="5124" max="5124" width="26.42578125" style="48" customWidth="1"/>
    <col min="5125" max="5125" width="13.42578125" style="48" customWidth="1"/>
    <col min="5126" max="5126" width="19.28515625" style="48" customWidth="1"/>
    <col min="5127" max="5127" width="9" style="48" hidden="1" customWidth="1"/>
    <col min="5128" max="5128" width="9" style="48" customWidth="1"/>
    <col min="5129" max="5130" width="9" style="48" hidden="1" customWidth="1"/>
    <col min="5131" max="5131" width="14.7109375" style="48" customWidth="1"/>
    <col min="5132" max="5132" width="20.7109375" style="48" customWidth="1"/>
    <col min="5133" max="5134" width="9" style="48" hidden="1" customWidth="1"/>
    <col min="5135" max="5135" width="14.7109375" style="48" customWidth="1"/>
    <col min="5136" max="5136" width="9" style="48" hidden="1" customWidth="1"/>
    <col min="5137" max="5137" width="14.5703125" style="48" customWidth="1"/>
    <col min="5138" max="5138" width="23.28515625" style="48" customWidth="1"/>
    <col min="5139" max="5377" width="9.140625" style="48"/>
    <col min="5378" max="5378" width="9" style="48" hidden="1" customWidth="1"/>
    <col min="5379" max="5379" width="5.85546875" style="48" customWidth="1"/>
    <col min="5380" max="5380" width="26.42578125" style="48" customWidth="1"/>
    <col min="5381" max="5381" width="13.42578125" style="48" customWidth="1"/>
    <col min="5382" max="5382" width="19.28515625" style="48" customWidth="1"/>
    <col min="5383" max="5383" width="9" style="48" hidden="1" customWidth="1"/>
    <col min="5384" max="5384" width="9" style="48" customWidth="1"/>
    <col min="5385" max="5386" width="9" style="48" hidden="1" customWidth="1"/>
    <col min="5387" max="5387" width="14.7109375" style="48" customWidth="1"/>
    <col min="5388" max="5388" width="20.7109375" style="48" customWidth="1"/>
    <col min="5389" max="5390" width="9" style="48" hidden="1" customWidth="1"/>
    <col min="5391" max="5391" width="14.7109375" style="48" customWidth="1"/>
    <col min="5392" max="5392" width="9" style="48" hidden="1" customWidth="1"/>
    <col min="5393" max="5393" width="14.5703125" style="48" customWidth="1"/>
    <col min="5394" max="5394" width="23.28515625" style="48" customWidth="1"/>
    <col min="5395" max="5633" width="9.140625" style="48"/>
    <col min="5634" max="5634" width="9" style="48" hidden="1" customWidth="1"/>
    <col min="5635" max="5635" width="5.85546875" style="48" customWidth="1"/>
    <col min="5636" max="5636" width="26.42578125" style="48" customWidth="1"/>
    <col min="5637" max="5637" width="13.42578125" style="48" customWidth="1"/>
    <col min="5638" max="5638" width="19.28515625" style="48" customWidth="1"/>
    <col min="5639" max="5639" width="9" style="48" hidden="1" customWidth="1"/>
    <col min="5640" max="5640" width="9" style="48" customWidth="1"/>
    <col min="5641" max="5642" width="9" style="48" hidden="1" customWidth="1"/>
    <col min="5643" max="5643" width="14.7109375" style="48" customWidth="1"/>
    <col min="5644" max="5644" width="20.7109375" style="48" customWidth="1"/>
    <col min="5645" max="5646" width="9" style="48" hidden="1" customWidth="1"/>
    <col min="5647" max="5647" width="14.7109375" style="48" customWidth="1"/>
    <col min="5648" max="5648" width="9" style="48" hidden="1" customWidth="1"/>
    <col min="5649" max="5649" width="14.5703125" style="48" customWidth="1"/>
    <col min="5650" max="5650" width="23.28515625" style="48" customWidth="1"/>
    <col min="5651" max="5889" width="9.140625" style="48"/>
    <col min="5890" max="5890" width="9" style="48" hidden="1" customWidth="1"/>
    <col min="5891" max="5891" width="5.85546875" style="48" customWidth="1"/>
    <col min="5892" max="5892" width="26.42578125" style="48" customWidth="1"/>
    <col min="5893" max="5893" width="13.42578125" style="48" customWidth="1"/>
    <col min="5894" max="5894" width="19.28515625" style="48" customWidth="1"/>
    <col min="5895" max="5895" width="9" style="48" hidden="1" customWidth="1"/>
    <col min="5896" max="5896" width="9" style="48" customWidth="1"/>
    <col min="5897" max="5898" width="9" style="48" hidden="1" customWidth="1"/>
    <col min="5899" max="5899" width="14.7109375" style="48" customWidth="1"/>
    <col min="5900" max="5900" width="20.7109375" style="48" customWidth="1"/>
    <col min="5901" max="5902" width="9" style="48" hidden="1" customWidth="1"/>
    <col min="5903" max="5903" width="14.7109375" style="48" customWidth="1"/>
    <col min="5904" max="5904" width="9" style="48" hidden="1" customWidth="1"/>
    <col min="5905" max="5905" width="14.5703125" style="48" customWidth="1"/>
    <col min="5906" max="5906" width="23.28515625" style="48" customWidth="1"/>
    <col min="5907" max="6145" width="9.140625" style="48"/>
    <col min="6146" max="6146" width="9" style="48" hidden="1" customWidth="1"/>
    <col min="6147" max="6147" width="5.85546875" style="48" customWidth="1"/>
    <col min="6148" max="6148" width="26.42578125" style="48" customWidth="1"/>
    <col min="6149" max="6149" width="13.42578125" style="48" customWidth="1"/>
    <col min="6150" max="6150" width="19.28515625" style="48" customWidth="1"/>
    <col min="6151" max="6151" width="9" style="48" hidden="1" customWidth="1"/>
    <col min="6152" max="6152" width="9" style="48" customWidth="1"/>
    <col min="6153" max="6154" width="9" style="48" hidden="1" customWidth="1"/>
    <col min="6155" max="6155" width="14.7109375" style="48" customWidth="1"/>
    <col min="6156" max="6156" width="20.7109375" style="48" customWidth="1"/>
    <col min="6157" max="6158" width="9" style="48" hidden="1" customWidth="1"/>
    <col min="6159" max="6159" width="14.7109375" style="48" customWidth="1"/>
    <col min="6160" max="6160" width="9" style="48" hidden="1" customWidth="1"/>
    <col min="6161" max="6161" width="14.5703125" style="48" customWidth="1"/>
    <col min="6162" max="6162" width="23.28515625" style="48" customWidth="1"/>
    <col min="6163" max="6401" width="9.140625" style="48"/>
    <col min="6402" max="6402" width="9" style="48" hidden="1" customWidth="1"/>
    <col min="6403" max="6403" width="5.85546875" style="48" customWidth="1"/>
    <col min="6404" max="6404" width="26.42578125" style="48" customWidth="1"/>
    <col min="6405" max="6405" width="13.42578125" style="48" customWidth="1"/>
    <col min="6406" max="6406" width="19.28515625" style="48" customWidth="1"/>
    <col min="6407" max="6407" width="9" style="48" hidden="1" customWidth="1"/>
    <col min="6408" max="6408" width="9" style="48" customWidth="1"/>
    <col min="6409" max="6410" width="9" style="48" hidden="1" customWidth="1"/>
    <col min="6411" max="6411" width="14.7109375" style="48" customWidth="1"/>
    <col min="6412" max="6412" width="20.7109375" style="48" customWidth="1"/>
    <col min="6413" max="6414" width="9" style="48" hidden="1" customWidth="1"/>
    <col min="6415" max="6415" width="14.7109375" style="48" customWidth="1"/>
    <col min="6416" max="6416" width="9" style="48" hidden="1" customWidth="1"/>
    <col min="6417" max="6417" width="14.5703125" style="48" customWidth="1"/>
    <col min="6418" max="6418" width="23.28515625" style="48" customWidth="1"/>
    <col min="6419" max="6657" width="9.140625" style="48"/>
    <col min="6658" max="6658" width="9" style="48" hidden="1" customWidth="1"/>
    <col min="6659" max="6659" width="5.85546875" style="48" customWidth="1"/>
    <col min="6660" max="6660" width="26.42578125" style="48" customWidth="1"/>
    <col min="6661" max="6661" width="13.42578125" style="48" customWidth="1"/>
    <col min="6662" max="6662" width="19.28515625" style="48" customWidth="1"/>
    <col min="6663" max="6663" width="9" style="48" hidden="1" customWidth="1"/>
    <col min="6664" max="6664" width="9" style="48" customWidth="1"/>
    <col min="6665" max="6666" width="9" style="48" hidden="1" customWidth="1"/>
    <col min="6667" max="6667" width="14.7109375" style="48" customWidth="1"/>
    <col min="6668" max="6668" width="20.7109375" style="48" customWidth="1"/>
    <col min="6669" max="6670" width="9" style="48" hidden="1" customWidth="1"/>
    <col min="6671" max="6671" width="14.7109375" style="48" customWidth="1"/>
    <col min="6672" max="6672" width="9" style="48" hidden="1" customWidth="1"/>
    <col min="6673" max="6673" width="14.5703125" style="48" customWidth="1"/>
    <col min="6674" max="6674" width="23.28515625" style="48" customWidth="1"/>
    <col min="6675" max="6913" width="9.140625" style="48"/>
    <col min="6914" max="6914" width="9" style="48" hidden="1" customWidth="1"/>
    <col min="6915" max="6915" width="5.85546875" style="48" customWidth="1"/>
    <col min="6916" max="6916" width="26.42578125" style="48" customWidth="1"/>
    <col min="6917" max="6917" width="13.42578125" style="48" customWidth="1"/>
    <col min="6918" max="6918" width="19.28515625" style="48" customWidth="1"/>
    <col min="6919" max="6919" width="9" style="48" hidden="1" customWidth="1"/>
    <col min="6920" max="6920" width="9" style="48" customWidth="1"/>
    <col min="6921" max="6922" width="9" style="48" hidden="1" customWidth="1"/>
    <col min="6923" max="6923" width="14.7109375" style="48" customWidth="1"/>
    <col min="6924" max="6924" width="20.7109375" style="48" customWidth="1"/>
    <col min="6925" max="6926" width="9" style="48" hidden="1" customWidth="1"/>
    <col min="6927" max="6927" width="14.7109375" style="48" customWidth="1"/>
    <col min="6928" max="6928" width="9" style="48" hidden="1" customWidth="1"/>
    <col min="6929" max="6929" width="14.5703125" style="48" customWidth="1"/>
    <col min="6930" max="6930" width="23.28515625" style="48" customWidth="1"/>
    <col min="6931" max="7169" width="9.140625" style="48"/>
    <col min="7170" max="7170" width="9" style="48" hidden="1" customWidth="1"/>
    <col min="7171" max="7171" width="5.85546875" style="48" customWidth="1"/>
    <col min="7172" max="7172" width="26.42578125" style="48" customWidth="1"/>
    <col min="7173" max="7173" width="13.42578125" style="48" customWidth="1"/>
    <col min="7174" max="7174" width="19.28515625" style="48" customWidth="1"/>
    <col min="7175" max="7175" width="9" style="48" hidden="1" customWidth="1"/>
    <col min="7176" max="7176" width="9" style="48" customWidth="1"/>
    <col min="7177" max="7178" width="9" style="48" hidden="1" customWidth="1"/>
    <col min="7179" max="7179" width="14.7109375" style="48" customWidth="1"/>
    <col min="7180" max="7180" width="20.7109375" style="48" customWidth="1"/>
    <col min="7181" max="7182" width="9" style="48" hidden="1" customWidth="1"/>
    <col min="7183" max="7183" width="14.7109375" style="48" customWidth="1"/>
    <col min="7184" max="7184" width="9" style="48" hidden="1" customWidth="1"/>
    <col min="7185" max="7185" width="14.5703125" style="48" customWidth="1"/>
    <col min="7186" max="7186" width="23.28515625" style="48" customWidth="1"/>
    <col min="7187" max="7425" width="9.140625" style="48"/>
    <col min="7426" max="7426" width="9" style="48" hidden="1" customWidth="1"/>
    <col min="7427" max="7427" width="5.85546875" style="48" customWidth="1"/>
    <col min="7428" max="7428" width="26.42578125" style="48" customWidth="1"/>
    <col min="7429" max="7429" width="13.42578125" style="48" customWidth="1"/>
    <col min="7430" max="7430" width="19.28515625" style="48" customWidth="1"/>
    <col min="7431" max="7431" width="9" style="48" hidden="1" customWidth="1"/>
    <col min="7432" max="7432" width="9" style="48" customWidth="1"/>
    <col min="7433" max="7434" width="9" style="48" hidden="1" customWidth="1"/>
    <col min="7435" max="7435" width="14.7109375" style="48" customWidth="1"/>
    <col min="7436" max="7436" width="20.7109375" style="48" customWidth="1"/>
    <col min="7437" max="7438" width="9" style="48" hidden="1" customWidth="1"/>
    <col min="7439" max="7439" width="14.7109375" style="48" customWidth="1"/>
    <col min="7440" max="7440" width="9" style="48" hidden="1" customWidth="1"/>
    <col min="7441" max="7441" width="14.5703125" style="48" customWidth="1"/>
    <col min="7442" max="7442" width="23.28515625" style="48" customWidth="1"/>
    <col min="7443" max="7681" width="9.140625" style="48"/>
    <col min="7682" max="7682" width="9" style="48" hidden="1" customWidth="1"/>
    <col min="7683" max="7683" width="5.85546875" style="48" customWidth="1"/>
    <col min="7684" max="7684" width="26.42578125" style="48" customWidth="1"/>
    <col min="7685" max="7685" width="13.42578125" style="48" customWidth="1"/>
    <col min="7686" max="7686" width="19.28515625" style="48" customWidth="1"/>
    <col min="7687" max="7687" width="9" style="48" hidden="1" customWidth="1"/>
    <col min="7688" max="7688" width="9" style="48" customWidth="1"/>
    <col min="7689" max="7690" width="9" style="48" hidden="1" customWidth="1"/>
    <col min="7691" max="7691" width="14.7109375" style="48" customWidth="1"/>
    <col min="7692" max="7692" width="20.7109375" style="48" customWidth="1"/>
    <col min="7693" max="7694" width="9" style="48" hidden="1" customWidth="1"/>
    <col min="7695" max="7695" width="14.7109375" style="48" customWidth="1"/>
    <col min="7696" max="7696" width="9" style="48" hidden="1" customWidth="1"/>
    <col min="7697" max="7697" width="14.5703125" style="48" customWidth="1"/>
    <col min="7698" max="7698" width="23.28515625" style="48" customWidth="1"/>
    <col min="7699" max="7937" width="9.140625" style="48"/>
    <col min="7938" max="7938" width="9" style="48" hidden="1" customWidth="1"/>
    <col min="7939" max="7939" width="5.85546875" style="48" customWidth="1"/>
    <col min="7940" max="7940" width="26.42578125" style="48" customWidth="1"/>
    <col min="7941" max="7941" width="13.42578125" style="48" customWidth="1"/>
    <col min="7942" max="7942" width="19.28515625" style="48" customWidth="1"/>
    <col min="7943" max="7943" width="9" style="48" hidden="1" customWidth="1"/>
    <col min="7944" max="7944" width="9" style="48" customWidth="1"/>
    <col min="7945" max="7946" width="9" style="48" hidden="1" customWidth="1"/>
    <col min="7947" max="7947" width="14.7109375" style="48" customWidth="1"/>
    <col min="7948" max="7948" width="20.7109375" style="48" customWidth="1"/>
    <col min="7949" max="7950" width="9" style="48" hidden="1" customWidth="1"/>
    <col min="7951" max="7951" width="14.7109375" style="48" customWidth="1"/>
    <col min="7952" max="7952" width="9" style="48" hidden="1" customWidth="1"/>
    <col min="7953" max="7953" width="14.5703125" style="48" customWidth="1"/>
    <col min="7954" max="7954" width="23.28515625" style="48" customWidth="1"/>
    <col min="7955" max="8193" width="9.140625" style="48"/>
    <col min="8194" max="8194" width="9" style="48" hidden="1" customWidth="1"/>
    <col min="8195" max="8195" width="5.85546875" style="48" customWidth="1"/>
    <col min="8196" max="8196" width="26.42578125" style="48" customWidth="1"/>
    <col min="8197" max="8197" width="13.42578125" style="48" customWidth="1"/>
    <col min="8198" max="8198" width="19.28515625" style="48" customWidth="1"/>
    <col min="8199" max="8199" width="9" style="48" hidden="1" customWidth="1"/>
    <col min="8200" max="8200" width="9" style="48" customWidth="1"/>
    <col min="8201" max="8202" width="9" style="48" hidden="1" customWidth="1"/>
    <col min="8203" max="8203" width="14.7109375" style="48" customWidth="1"/>
    <col min="8204" max="8204" width="20.7109375" style="48" customWidth="1"/>
    <col min="8205" max="8206" width="9" style="48" hidden="1" customWidth="1"/>
    <col min="8207" max="8207" width="14.7109375" style="48" customWidth="1"/>
    <col min="8208" max="8208" width="9" style="48" hidden="1" customWidth="1"/>
    <col min="8209" max="8209" width="14.5703125" style="48" customWidth="1"/>
    <col min="8210" max="8210" width="23.28515625" style="48" customWidth="1"/>
    <col min="8211" max="8449" width="9.140625" style="48"/>
    <col min="8450" max="8450" width="9" style="48" hidden="1" customWidth="1"/>
    <col min="8451" max="8451" width="5.85546875" style="48" customWidth="1"/>
    <col min="8452" max="8452" width="26.42578125" style="48" customWidth="1"/>
    <col min="8453" max="8453" width="13.42578125" style="48" customWidth="1"/>
    <col min="8454" max="8454" width="19.28515625" style="48" customWidth="1"/>
    <col min="8455" max="8455" width="9" style="48" hidden="1" customWidth="1"/>
    <col min="8456" max="8456" width="9" style="48" customWidth="1"/>
    <col min="8457" max="8458" width="9" style="48" hidden="1" customWidth="1"/>
    <col min="8459" max="8459" width="14.7109375" style="48" customWidth="1"/>
    <col min="8460" max="8460" width="20.7109375" style="48" customWidth="1"/>
    <col min="8461" max="8462" width="9" style="48" hidden="1" customWidth="1"/>
    <col min="8463" max="8463" width="14.7109375" style="48" customWidth="1"/>
    <col min="8464" max="8464" width="9" style="48" hidden="1" customWidth="1"/>
    <col min="8465" max="8465" width="14.5703125" style="48" customWidth="1"/>
    <col min="8466" max="8466" width="23.28515625" style="48" customWidth="1"/>
    <col min="8467" max="8705" width="9.140625" style="48"/>
    <col min="8706" max="8706" width="9" style="48" hidden="1" customWidth="1"/>
    <col min="8707" max="8707" width="5.85546875" style="48" customWidth="1"/>
    <col min="8708" max="8708" width="26.42578125" style="48" customWidth="1"/>
    <col min="8709" max="8709" width="13.42578125" style="48" customWidth="1"/>
    <col min="8710" max="8710" width="19.28515625" style="48" customWidth="1"/>
    <col min="8711" max="8711" width="9" style="48" hidden="1" customWidth="1"/>
    <col min="8712" max="8712" width="9" style="48" customWidth="1"/>
    <col min="8713" max="8714" width="9" style="48" hidden="1" customWidth="1"/>
    <col min="8715" max="8715" width="14.7109375" style="48" customWidth="1"/>
    <col min="8716" max="8716" width="20.7109375" style="48" customWidth="1"/>
    <col min="8717" max="8718" width="9" style="48" hidden="1" customWidth="1"/>
    <col min="8719" max="8719" width="14.7109375" style="48" customWidth="1"/>
    <col min="8720" max="8720" width="9" style="48" hidden="1" customWidth="1"/>
    <col min="8721" max="8721" width="14.5703125" style="48" customWidth="1"/>
    <col min="8722" max="8722" width="23.28515625" style="48" customWidth="1"/>
    <col min="8723" max="8961" width="9.140625" style="48"/>
    <col min="8962" max="8962" width="9" style="48" hidden="1" customWidth="1"/>
    <col min="8963" max="8963" width="5.85546875" style="48" customWidth="1"/>
    <col min="8964" max="8964" width="26.42578125" style="48" customWidth="1"/>
    <col min="8965" max="8965" width="13.42578125" style="48" customWidth="1"/>
    <col min="8966" max="8966" width="19.28515625" style="48" customWidth="1"/>
    <col min="8967" max="8967" width="9" style="48" hidden="1" customWidth="1"/>
    <col min="8968" max="8968" width="9" style="48" customWidth="1"/>
    <col min="8969" max="8970" width="9" style="48" hidden="1" customWidth="1"/>
    <col min="8971" max="8971" width="14.7109375" style="48" customWidth="1"/>
    <col min="8972" max="8972" width="20.7109375" style="48" customWidth="1"/>
    <col min="8973" max="8974" width="9" style="48" hidden="1" customWidth="1"/>
    <col min="8975" max="8975" width="14.7109375" style="48" customWidth="1"/>
    <col min="8976" max="8976" width="9" style="48" hidden="1" customWidth="1"/>
    <col min="8977" max="8977" width="14.5703125" style="48" customWidth="1"/>
    <col min="8978" max="8978" width="23.28515625" style="48" customWidth="1"/>
    <col min="8979" max="9217" width="9.140625" style="48"/>
    <col min="9218" max="9218" width="9" style="48" hidden="1" customWidth="1"/>
    <col min="9219" max="9219" width="5.85546875" style="48" customWidth="1"/>
    <col min="9220" max="9220" width="26.42578125" style="48" customWidth="1"/>
    <col min="9221" max="9221" width="13.42578125" style="48" customWidth="1"/>
    <col min="9222" max="9222" width="19.28515625" style="48" customWidth="1"/>
    <col min="9223" max="9223" width="9" style="48" hidden="1" customWidth="1"/>
    <col min="9224" max="9224" width="9" style="48" customWidth="1"/>
    <col min="9225" max="9226" width="9" style="48" hidden="1" customWidth="1"/>
    <col min="9227" max="9227" width="14.7109375" style="48" customWidth="1"/>
    <col min="9228" max="9228" width="20.7109375" style="48" customWidth="1"/>
    <col min="9229" max="9230" width="9" style="48" hidden="1" customWidth="1"/>
    <col min="9231" max="9231" width="14.7109375" style="48" customWidth="1"/>
    <col min="9232" max="9232" width="9" style="48" hidden="1" customWidth="1"/>
    <col min="9233" max="9233" width="14.5703125" style="48" customWidth="1"/>
    <col min="9234" max="9234" width="23.28515625" style="48" customWidth="1"/>
    <col min="9235" max="9473" width="9.140625" style="48"/>
    <col min="9474" max="9474" width="9" style="48" hidden="1" customWidth="1"/>
    <col min="9475" max="9475" width="5.85546875" style="48" customWidth="1"/>
    <col min="9476" max="9476" width="26.42578125" style="48" customWidth="1"/>
    <col min="9477" max="9477" width="13.42578125" style="48" customWidth="1"/>
    <col min="9478" max="9478" width="19.28515625" style="48" customWidth="1"/>
    <col min="9479" max="9479" width="9" style="48" hidden="1" customWidth="1"/>
    <col min="9480" max="9480" width="9" style="48" customWidth="1"/>
    <col min="9481" max="9482" width="9" style="48" hidden="1" customWidth="1"/>
    <col min="9483" max="9483" width="14.7109375" style="48" customWidth="1"/>
    <col min="9484" max="9484" width="20.7109375" style="48" customWidth="1"/>
    <col min="9485" max="9486" width="9" style="48" hidden="1" customWidth="1"/>
    <col min="9487" max="9487" width="14.7109375" style="48" customWidth="1"/>
    <col min="9488" max="9488" width="9" style="48" hidden="1" customWidth="1"/>
    <col min="9489" max="9489" width="14.5703125" style="48" customWidth="1"/>
    <col min="9490" max="9490" width="23.28515625" style="48" customWidth="1"/>
    <col min="9491" max="9729" width="9.140625" style="48"/>
    <col min="9730" max="9730" width="9" style="48" hidden="1" customWidth="1"/>
    <col min="9731" max="9731" width="5.85546875" style="48" customWidth="1"/>
    <col min="9732" max="9732" width="26.42578125" style="48" customWidth="1"/>
    <col min="9733" max="9733" width="13.42578125" style="48" customWidth="1"/>
    <col min="9734" max="9734" width="19.28515625" style="48" customWidth="1"/>
    <col min="9735" max="9735" width="9" style="48" hidden="1" customWidth="1"/>
    <col min="9736" max="9736" width="9" style="48" customWidth="1"/>
    <col min="9737" max="9738" width="9" style="48" hidden="1" customWidth="1"/>
    <col min="9739" max="9739" width="14.7109375" style="48" customWidth="1"/>
    <col min="9740" max="9740" width="20.7109375" style="48" customWidth="1"/>
    <col min="9741" max="9742" width="9" style="48" hidden="1" customWidth="1"/>
    <col min="9743" max="9743" width="14.7109375" style="48" customWidth="1"/>
    <col min="9744" max="9744" width="9" style="48" hidden="1" customWidth="1"/>
    <col min="9745" max="9745" width="14.5703125" style="48" customWidth="1"/>
    <col min="9746" max="9746" width="23.28515625" style="48" customWidth="1"/>
    <col min="9747" max="9985" width="9.140625" style="48"/>
    <col min="9986" max="9986" width="9" style="48" hidden="1" customWidth="1"/>
    <col min="9987" max="9987" width="5.85546875" style="48" customWidth="1"/>
    <col min="9988" max="9988" width="26.42578125" style="48" customWidth="1"/>
    <col min="9989" max="9989" width="13.42578125" style="48" customWidth="1"/>
    <col min="9990" max="9990" width="19.28515625" style="48" customWidth="1"/>
    <col min="9991" max="9991" width="9" style="48" hidden="1" customWidth="1"/>
    <col min="9992" max="9992" width="9" style="48" customWidth="1"/>
    <col min="9993" max="9994" width="9" style="48" hidden="1" customWidth="1"/>
    <col min="9995" max="9995" width="14.7109375" style="48" customWidth="1"/>
    <col min="9996" max="9996" width="20.7109375" style="48" customWidth="1"/>
    <col min="9997" max="9998" width="9" style="48" hidden="1" customWidth="1"/>
    <col min="9999" max="9999" width="14.7109375" style="48" customWidth="1"/>
    <col min="10000" max="10000" width="9" style="48" hidden="1" customWidth="1"/>
    <col min="10001" max="10001" width="14.5703125" style="48" customWidth="1"/>
    <col min="10002" max="10002" width="23.28515625" style="48" customWidth="1"/>
    <col min="10003" max="10241" width="9.140625" style="48"/>
    <col min="10242" max="10242" width="9" style="48" hidden="1" customWidth="1"/>
    <col min="10243" max="10243" width="5.85546875" style="48" customWidth="1"/>
    <col min="10244" max="10244" width="26.42578125" style="48" customWidth="1"/>
    <col min="10245" max="10245" width="13.42578125" style="48" customWidth="1"/>
    <col min="10246" max="10246" width="19.28515625" style="48" customWidth="1"/>
    <col min="10247" max="10247" width="9" style="48" hidden="1" customWidth="1"/>
    <col min="10248" max="10248" width="9" style="48" customWidth="1"/>
    <col min="10249" max="10250" width="9" style="48" hidden="1" customWidth="1"/>
    <col min="10251" max="10251" width="14.7109375" style="48" customWidth="1"/>
    <col min="10252" max="10252" width="20.7109375" style="48" customWidth="1"/>
    <col min="10253" max="10254" width="9" style="48" hidden="1" customWidth="1"/>
    <col min="10255" max="10255" width="14.7109375" style="48" customWidth="1"/>
    <col min="10256" max="10256" width="9" style="48" hidden="1" customWidth="1"/>
    <col min="10257" max="10257" width="14.5703125" style="48" customWidth="1"/>
    <col min="10258" max="10258" width="23.28515625" style="48" customWidth="1"/>
    <col min="10259" max="10497" width="9.140625" style="48"/>
    <col min="10498" max="10498" width="9" style="48" hidden="1" customWidth="1"/>
    <col min="10499" max="10499" width="5.85546875" style="48" customWidth="1"/>
    <col min="10500" max="10500" width="26.42578125" style="48" customWidth="1"/>
    <col min="10501" max="10501" width="13.42578125" style="48" customWidth="1"/>
    <col min="10502" max="10502" width="19.28515625" style="48" customWidth="1"/>
    <col min="10503" max="10503" width="9" style="48" hidden="1" customWidth="1"/>
    <col min="10504" max="10504" width="9" style="48" customWidth="1"/>
    <col min="10505" max="10506" width="9" style="48" hidden="1" customWidth="1"/>
    <col min="10507" max="10507" width="14.7109375" style="48" customWidth="1"/>
    <col min="10508" max="10508" width="20.7109375" style="48" customWidth="1"/>
    <col min="10509" max="10510" width="9" style="48" hidden="1" customWidth="1"/>
    <col min="10511" max="10511" width="14.7109375" style="48" customWidth="1"/>
    <col min="10512" max="10512" width="9" style="48" hidden="1" customWidth="1"/>
    <col min="10513" max="10513" width="14.5703125" style="48" customWidth="1"/>
    <col min="10514" max="10514" width="23.28515625" style="48" customWidth="1"/>
    <col min="10515" max="10753" width="9.140625" style="48"/>
    <col min="10754" max="10754" width="9" style="48" hidden="1" customWidth="1"/>
    <col min="10755" max="10755" width="5.85546875" style="48" customWidth="1"/>
    <col min="10756" max="10756" width="26.42578125" style="48" customWidth="1"/>
    <col min="10757" max="10757" width="13.42578125" style="48" customWidth="1"/>
    <col min="10758" max="10758" width="19.28515625" style="48" customWidth="1"/>
    <col min="10759" max="10759" width="9" style="48" hidden="1" customWidth="1"/>
    <col min="10760" max="10760" width="9" style="48" customWidth="1"/>
    <col min="10761" max="10762" width="9" style="48" hidden="1" customWidth="1"/>
    <col min="10763" max="10763" width="14.7109375" style="48" customWidth="1"/>
    <col min="10764" max="10764" width="20.7109375" style="48" customWidth="1"/>
    <col min="10765" max="10766" width="9" style="48" hidden="1" customWidth="1"/>
    <col min="10767" max="10767" width="14.7109375" style="48" customWidth="1"/>
    <col min="10768" max="10768" width="9" style="48" hidden="1" customWidth="1"/>
    <col min="10769" max="10769" width="14.5703125" style="48" customWidth="1"/>
    <col min="10770" max="10770" width="23.28515625" style="48" customWidth="1"/>
    <col min="10771" max="11009" width="9.140625" style="48"/>
    <col min="11010" max="11010" width="9" style="48" hidden="1" customWidth="1"/>
    <col min="11011" max="11011" width="5.85546875" style="48" customWidth="1"/>
    <col min="11012" max="11012" width="26.42578125" style="48" customWidth="1"/>
    <col min="11013" max="11013" width="13.42578125" style="48" customWidth="1"/>
    <col min="11014" max="11014" width="19.28515625" style="48" customWidth="1"/>
    <col min="11015" max="11015" width="9" style="48" hidden="1" customWidth="1"/>
    <col min="11016" max="11016" width="9" style="48" customWidth="1"/>
    <col min="11017" max="11018" width="9" style="48" hidden="1" customWidth="1"/>
    <col min="11019" max="11019" width="14.7109375" style="48" customWidth="1"/>
    <col min="11020" max="11020" width="20.7109375" style="48" customWidth="1"/>
    <col min="11021" max="11022" width="9" style="48" hidden="1" customWidth="1"/>
    <col min="11023" max="11023" width="14.7109375" style="48" customWidth="1"/>
    <col min="11024" max="11024" width="9" style="48" hidden="1" customWidth="1"/>
    <col min="11025" max="11025" width="14.5703125" style="48" customWidth="1"/>
    <col min="11026" max="11026" width="23.28515625" style="48" customWidth="1"/>
    <col min="11027" max="11265" width="9.140625" style="48"/>
    <col min="11266" max="11266" width="9" style="48" hidden="1" customWidth="1"/>
    <col min="11267" max="11267" width="5.85546875" style="48" customWidth="1"/>
    <col min="11268" max="11268" width="26.42578125" style="48" customWidth="1"/>
    <col min="11269" max="11269" width="13.42578125" style="48" customWidth="1"/>
    <col min="11270" max="11270" width="19.28515625" style="48" customWidth="1"/>
    <col min="11271" max="11271" width="9" style="48" hidden="1" customWidth="1"/>
    <col min="11272" max="11272" width="9" style="48" customWidth="1"/>
    <col min="11273" max="11274" width="9" style="48" hidden="1" customWidth="1"/>
    <col min="11275" max="11275" width="14.7109375" style="48" customWidth="1"/>
    <col min="11276" max="11276" width="20.7109375" style="48" customWidth="1"/>
    <col min="11277" max="11278" width="9" style="48" hidden="1" customWidth="1"/>
    <col min="11279" max="11279" width="14.7109375" style="48" customWidth="1"/>
    <col min="11280" max="11280" width="9" style="48" hidden="1" customWidth="1"/>
    <col min="11281" max="11281" width="14.5703125" style="48" customWidth="1"/>
    <col min="11282" max="11282" width="23.28515625" style="48" customWidth="1"/>
    <col min="11283" max="11521" width="9.140625" style="48"/>
    <col min="11522" max="11522" width="9" style="48" hidden="1" customWidth="1"/>
    <col min="11523" max="11523" width="5.85546875" style="48" customWidth="1"/>
    <col min="11524" max="11524" width="26.42578125" style="48" customWidth="1"/>
    <col min="11525" max="11525" width="13.42578125" style="48" customWidth="1"/>
    <col min="11526" max="11526" width="19.28515625" style="48" customWidth="1"/>
    <col min="11527" max="11527" width="9" style="48" hidden="1" customWidth="1"/>
    <col min="11528" max="11528" width="9" style="48" customWidth="1"/>
    <col min="11529" max="11530" width="9" style="48" hidden="1" customWidth="1"/>
    <col min="11531" max="11531" width="14.7109375" style="48" customWidth="1"/>
    <col min="11532" max="11532" width="20.7109375" style="48" customWidth="1"/>
    <col min="11533" max="11534" width="9" style="48" hidden="1" customWidth="1"/>
    <col min="11535" max="11535" width="14.7109375" style="48" customWidth="1"/>
    <col min="11536" max="11536" width="9" style="48" hidden="1" customWidth="1"/>
    <col min="11537" max="11537" width="14.5703125" style="48" customWidth="1"/>
    <col min="11538" max="11538" width="23.28515625" style="48" customWidth="1"/>
    <col min="11539" max="11777" width="9.140625" style="48"/>
    <col min="11778" max="11778" width="9" style="48" hidden="1" customWidth="1"/>
    <col min="11779" max="11779" width="5.85546875" style="48" customWidth="1"/>
    <col min="11780" max="11780" width="26.42578125" style="48" customWidth="1"/>
    <col min="11781" max="11781" width="13.42578125" style="48" customWidth="1"/>
    <col min="11782" max="11782" width="19.28515625" style="48" customWidth="1"/>
    <col min="11783" max="11783" width="9" style="48" hidden="1" customWidth="1"/>
    <col min="11784" max="11784" width="9" style="48" customWidth="1"/>
    <col min="11785" max="11786" width="9" style="48" hidden="1" customWidth="1"/>
    <col min="11787" max="11787" width="14.7109375" style="48" customWidth="1"/>
    <col min="11788" max="11788" width="20.7109375" style="48" customWidth="1"/>
    <col min="11789" max="11790" width="9" style="48" hidden="1" customWidth="1"/>
    <col min="11791" max="11791" width="14.7109375" style="48" customWidth="1"/>
    <col min="11792" max="11792" width="9" style="48" hidden="1" customWidth="1"/>
    <col min="11793" max="11793" width="14.5703125" style="48" customWidth="1"/>
    <col min="11794" max="11794" width="23.28515625" style="48" customWidth="1"/>
    <col min="11795" max="12033" width="9.140625" style="48"/>
    <col min="12034" max="12034" width="9" style="48" hidden="1" customWidth="1"/>
    <col min="12035" max="12035" width="5.85546875" style="48" customWidth="1"/>
    <col min="12036" max="12036" width="26.42578125" style="48" customWidth="1"/>
    <col min="12037" max="12037" width="13.42578125" style="48" customWidth="1"/>
    <col min="12038" max="12038" width="19.28515625" style="48" customWidth="1"/>
    <col min="12039" max="12039" width="9" style="48" hidden="1" customWidth="1"/>
    <col min="12040" max="12040" width="9" style="48" customWidth="1"/>
    <col min="12041" max="12042" width="9" style="48" hidden="1" customWidth="1"/>
    <col min="12043" max="12043" width="14.7109375" style="48" customWidth="1"/>
    <col min="12044" max="12044" width="20.7109375" style="48" customWidth="1"/>
    <col min="12045" max="12046" width="9" style="48" hidden="1" customWidth="1"/>
    <col min="12047" max="12047" width="14.7109375" style="48" customWidth="1"/>
    <col min="12048" max="12048" width="9" style="48" hidden="1" customWidth="1"/>
    <col min="12049" max="12049" width="14.5703125" style="48" customWidth="1"/>
    <col min="12050" max="12050" width="23.28515625" style="48" customWidth="1"/>
    <col min="12051" max="12289" width="9.140625" style="48"/>
    <col min="12290" max="12290" width="9" style="48" hidden="1" customWidth="1"/>
    <col min="12291" max="12291" width="5.85546875" style="48" customWidth="1"/>
    <col min="12292" max="12292" width="26.42578125" style="48" customWidth="1"/>
    <col min="12293" max="12293" width="13.42578125" style="48" customWidth="1"/>
    <col min="12294" max="12294" width="19.28515625" style="48" customWidth="1"/>
    <col min="12295" max="12295" width="9" style="48" hidden="1" customWidth="1"/>
    <col min="12296" max="12296" width="9" style="48" customWidth="1"/>
    <col min="12297" max="12298" width="9" style="48" hidden="1" customWidth="1"/>
    <col min="12299" max="12299" width="14.7109375" style="48" customWidth="1"/>
    <col min="12300" max="12300" width="20.7109375" style="48" customWidth="1"/>
    <col min="12301" max="12302" width="9" style="48" hidden="1" customWidth="1"/>
    <col min="12303" max="12303" width="14.7109375" style="48" customWidth="1"/>
    <col min="12304" max="12304" width="9" style="48" hidden="1" customWidth="1"/>
    <col min="12305" max="12305" width="14.5703125" style="48" customWidth="1"/>
    <col min="12306" max="12306" width="23.28515625" style="48" customWidth="1"/>
    <col min="12307" max="12545" width="9.140625" style="48"/>
    <col min="12546" max="12546" width="9" style="48" hidden="1" customWidth="1"/>
    <col min="12547" max="12547" width="5.85546875" style="48" customWidth="1"/>
    <col min="12548" max="12548" width="26.42578125" style="48" customWidth="1"/>
    <col min="12549" max="12549" width="13.42578125" style="48" customWidth="1"/>
    <col min="12550" max="12550" width="19.28515625" style="48" customWidth="1"/>
    <col min="12551" max="12551" width="9" style="48" hidden="1" customWidth="1"/>
    <col min="12552" max="12552" width="9" style="48" customWidth="1"/>
    <col min="12553" max="12554" width="9" style="48" hidden="1" customWidth="1"/>
    <col min="12555" max="12555" width="14.7109375" style="48" customWidth="1"/>
    <col min="12556" max="12556" width="20.7109375" style="48" customWidth="1"/>
    <col min="12557" max="12558" width="9" style="48" hidden="1" customWidth="1"/>
    <col min="12559" max="12559" width="14.7109375" style="48" customWidth="1"/>
    <col min="12560" max="12560" width="9" style="48" hidden="1" customWidth="1"/>
    <col min="12561" max="12561" width="14.5703125" style="48" customWidth="1"/>
    <col min="12562" max="12562" width="23.28515625" style="48" customWidth="1"/>
    <col min="12563" max="12801" width="9.140625" style="48"/>
    <col min="12802" max="12802" width="9" style="48" hidden="1" customWidth="1"/>
    <col min="12803" max="12803" width="5.85546875" style="48" customWidth="1"/>
    <col min="12804" max="12804" width="26.42578125" style="48" customWidth="1"/>
    <col min="12805" max="12805" width="13.42578125" style="48" customWidth="1"/>
    <col min="12806" max="12806" width="19.28515625" style="48" customWidth="1"/>
    <col min="12807" max="12807" width="9" style="48" hidden="1" customWidth="1"/>
    <col min="12808" max="12808" width="9" style="48" customWidth="1"/>
    <col min="12809" max="12810" width="9" style="48" hidden="1" customWidth="1"/>
    <col min="12811" max="12811" width="14.7109375" style="48" customWidth="1"/>
    <col min="12812" max="12812" width="20.7109375" style="48" customWidth="1"/>
    <col min="12813" max="12814" width="9" style="48" hidden="1" customWidth="1"/>
    <col min="12815" max="12815" width="14.7109375" style="48" customWidth="1"/>
    <col min="12816" max="12816" width="9" style="48" hidden="1" customWidth="1"/>
    <col min="12817" max="12817" width="14.5703125" style="48" customWidth="1"/>
    <col min="12818" max="12818" width="23.28515625" style="48" customWidth="1"/>
    <col min="12819" max="13057" width="9.140625" style="48"/>
    <col min="13058" max="13058" width="9" style="48" hidden="1" customWidth="1"/>
    <col min="13059" max="13059" width="5.85546875" style="48" customWidth="1"/>
    <col min="13060" max="13060" width="26.42578125" style="48" customWidth="1"/>
    <col min="13061" max="13061" width="13.42578125" style="48" customWidth="1"/>
    <col min="13062" max="13062" width="19.28515625" style="48" customWidth="1"/>
    <col min="13063" max="13063" width="9" style="48" hidden="1" customWidth="1"/>
    <col min="13064" max="13064" width="9" style="48" customWidth="1"/>
    <col min="13065" max="13066" width="9" style="48" hidden="1" customWidth="1"/>
    <col min="13067" max="13067" width="14.7109375" style="48" customWidth="1"/>
    <col min="13068" max="13068" width="20.7109375" style="48" customWidth="1"/>
    <col min="13069" max="13070" width="9" style="48" hidden="1" customWidth="1"/>
    <col min="13071" max="13071" width="14.7109375" style="48" customWidth="1"/>
    <col min="13072" max="13072" width="9" style="48" hidden="1" customWidth="1"/>
    <col min="13073" max="13073" width="14.5703125" style="48" customWidth="1"/>
    <col min="13074" max="13074" width="23.28515625" style="48" customWidth="1"/>
    <col min="13075" max="13313" width="9.140625" style="48"/>
    <col min="13314" max="13314" width="9" style="48" hidden="1" customWidth="1"/>
    <col min="13315" max="13315" width="5.85546875" style="48" customWidth="1"/>
    <col min="13316" max="13316" width="26.42578125" style="48" customWidth="1"/>
    <col min="13317" max="13317" width="13.42578125" style="48" customWidth="1"/>
    <col min="13318" max="13318" width="19.28515625" style="48" customWidth="1"/>
    <col min="13319" max="13319" width="9" style="48" hidden="1" customWidth="1"/>
    <col min="13320" max="13320" width="9" style="48" customWidth="1"/>
    <col min="13321" max="13322" width="9" style="48" hidden="1" customWidth="1"/>
    <col min="13323" max="13323" width="14.7109375" style="48" customWidth="1"/>
    <col min="13324" max="13324" width="20.7109375" style="48" customWidth="1"/>
    <col min="13325" max="13326" width="9" style="48" hidden="1" customWidth="1"/>
    <col min="13327" max="13327" width="14.7109375" style="48" customWidth="1"/>
    <col min="13328" max="13328" width="9" style="48" hidden="1" customWidth="1"/>
    <col min="13329" max="13329" width="14.5703125" style="48" customWidth="1"/>
    <col min="13330" max="13330" width="23.28515625" style="48" customWidth="1"/>
    <col min="13331" max="13569" width="9.140625" style="48"/>
    <col min="13570" max="13570" width="9" style="48" hidden="1" customWidth="1"/>
    <col min="13571" max="13571" width="5.85546875" style="48" customWidth="1"/>
    <col min="13572" max="13572" width="26.42578125" style="48" customWidth="1"/>
    <col min="13573" max="13573" width="13.42578125" style="48" customWidth="1"/>
    <col min="13574" max="13574" width="19.28515625" style="48" customWidth="1"/>
    <col min="13575" max="13575" width="9" style="48" hidden="1" customWidth="1"/>
    <col min="13576" max="13576" width="9" style="48" customWidth="1"/>
    <col min="13577" max="13578" width="9" style="48" hidden="1" customWidth="1"/>
    <col min="13579" max="13579" width="14.7109375" style="48" customWidth="1"/>
    <col min="13580" max="13580" width="20.7109375" style="48" customWidth="1"/>
    <col min="13581" max="13582" width="9" style="48" hidden="1" customWidth="1"/>
    <col min="13583" max="13583" width="14.7109375" style="48" customWidth="1"/>
    <col min="13584" max="13584" width="9" style="48" hidden="1" customWidth="1"/>
    <col min="13585" max="13585" width="14.5703125" style="48" customWidth="1"/>
    <col min="13586" max="13586" width="23.28515625" style="48" customWidth="1"/>
    <col min="13587" max="13825" width="9.140625" style="48"/>
    <col min="13826" max="13826" width="9" style="48" hidden="1" customWidth="1"/>
    <col min="13827" max="13827" width="5.85546875" style="48" customWidth="1"/>
    <col min="13828" max="13828" width="26.42578125" style="48" customWidth="1"/>
    <col min="13829" max="13829" width="13.42578125" style="48" customWidth="1"/>
    <col min="13830" max="13830" width="19.28515625" style="48" customWidth="1"/>
    <col min="13831" max="13831" width="9" style="48" hidden="1" customWidth="1"/>
    <col min="13832" max="13832" width="9" style="48" customWidth="1"/>
    <col min="13833" max="13834" width="9" style="48" hidden="1" customWidth="1"/>
    <col min="13835" max="13835" width="14.7109375" style="48" customWidth="1"/>
    <col min="13836" max="13836" width="20.7109375" style="48" customWidth="1"/>
    <col min="13837" max="13838" width="9" style="48" hidden="1" customWidth="1"/>
    <col min="13839" max="13839" width="14.7109375" style="48" customWidth="1"/>
    <col min="13840" max="13840" width="9" style="48" hidden="1" customWidth="1"/>
    <col min="13841" max="13841" width="14.5703125" style="48" customWidth="1"/>
    <col min="13842" max="13842" width="23.28515625" style="48" customWidth="1"/>
    <col min="13843" max="14081" width="9.140625" style="48"/>
    <col min="14082" max="14082" width="9" style="48" hidden="1" customWidth="1"/>
    <col min="14083" max="14083" width="5.85546875" style="48" customWidth="1"/>
    <col min="14084" max="14084" width="26.42578125" style="48" customWidth="1"/>
    <col min="14085" max="14085" width="13.42578125" style="48" customWidth="1"/>
    <col min="14086" max="14086" width="19.28515625" style="48" customWidth="1"/>
    <col min="14087" max="14087" width="9" style="48" hidden="1" customWidth="1"/>
    <col min="14088" max="14088" width="9" style="48" customWidth="1"/>
    <col min="14089" max="14090" width="9" style="48" hidden="1" customWidth="1"/>
    <col min="14091" max="14091" width="14.7109375" style="48" customWidth="1"/>
    <col min="14092" max="14092" width="20.7109375" style="48" customWidth="1"/>
    <col min="14093" max="14094" width="9" style="48" hidden="1" customWidth="1"/>
    <col min="14095" max="14095" width="14.7109375" style="48" customWidth="1"/>
    <col min="14096" max="14096" width="9" style="48" hidden="1" customWidth="1"/>
    <col min="14097" max="14097" width="14.5703125" style="48" customWidth="1"/>
    <col min="14098" max="14098" width="23.28515625" style="48" customWidth="1"/>
    <col min="14099" max="14337" width="9.140625" style="48"/>
    <col min="14338" max="14338" width="9" style="48" hidden="1" customWidth="1"/>
    <col min="14339" max="14339" width="5.85546875" style="48" customWidth="1"/>
    <col min="14340" max="14340" width="26.42578125" style="48" customWidth="1"/>
    <col min="14341" max="14341" width="13.42578125" style="48" customWidth="1"/>
    <col min="14342" max="14342" width="19.28515625" style="48" customWidth="1"/>
    <col min="14343" max="14343" width="9" style="48" hidden="1" customWidth="1"/>
    <col min="14344" max="14344" width="9" style="48" customWidth="1"/>
    <col min="14345" max="14346" width="9" style="48" hidden="1" customWidth="1"/>
    <col min="14347" max="14347" width="14.7109375" style="48" customWidth="1"/>
    <col min="14348" max="14348" width="20.7109375" style="48" customWidth="1"/>
    <col min="14349" max="14350" width="9" style="48" hidden="1" customWidth="1"/>
    <col min="14351" max="14351" width="14.7109375" style="48" customWidth="1"/>
    <col min="14352" max="14352" width="9" style="48" hidden="1" customWidth="1"/>
    <col min="14353" max="14353" width="14.5703125" style="48" customWidth="1"/>
    <col min="14354" max="14354" width="23.28515625" style="48" customWidth="1"/>
    <col min="14355" max="14593" width="9.140625" style="48"/>
    <col min="14594" max="14594" width="9" style="48" hidden="1" customWidth="1"/>
    <col min="14595" max="14595" width="5.85546875" style="48" customWidth="1"/>
    <col min="14596" max="14596" width="26.42578125" style="48" customWidth="1"/>
    <col min="14597" max="14597" width="13.42578125" style="48" customWidth="1"/>
    <col min="14598" max="14598" width="19.28515625" style="48" customWidth="1"/>
    <col min="14599" max="14599" width="9" style="48" hidden="1" customWidth="1"/>
    <col min="14600" max="14600" width="9" style="48" customWidth="1"/>
    <col min="14601" max="14602" width="9" style="48" hidden="1" customWidth="1"/>
    <col min="14603" max="14603" width="14.7109375" style="48" customWidth="1"/>
    <col min="14604" max="14604" width="20.7109375" style="48" customWidth="1"/>
    <col min="14605" max="14606" width="9" style="48" hidden="1" customWidth="1"/>
    <col min="14607" max="14607" width="14.7109375" style="48" customWidth="1"/>
    <col min="14608" max="14608" width="9" style="48" hidden="1" customWidth="1"/>
    <col min="14609" max="14609" width="14.5703125" style="48" customWidth="1"/>
    <col min="14610" max="14610" width="23.28515625" style="48" customWidth="1"/>
    <col min="14611" max="14849" width="9.140625" style="48"/>
    <col min="14850" max="14850" width="9" style="48" hidden="1" customWidth="1"/>
    <col min="14851" max="14851" width="5.85546875" style="48" customWidth="1"/>
    <col min="14852" max="14852" width="26.42578125" style="48" customWidth="1"/>
    <col min="14853" max="14853" width="13.42578125" style="48" customWidth="1"/>
    <col min="14854" max="14854" width="19.28515625" style="48" customWidth="1"/>
    <col min="14855" max="14855" width="9" style="48" hidden="1" customWidth="1"/>
    <col min="14856" max="14856" width="9" style="48" customWidth="1"/>
    <col min="14857" max="14858" width="9" style="48" hidden="1" customWidth="1"/>
    <col min="14859" max="14859" width="14.7109375" style="48" customWidth="1"/>
    <col min="14860" max="14860" width="20.7109375" style="48" customWidth="1"/>
    <col min="14861" max="14862" width="9" style="48" hidden="1" customWidth="1"/>
    <col min="14863" max="14863" width="14.7109375" style="48" customWidth="1"/>
    <col min="14864" max="14864" width="9" style="48" hidden="1" customWidth="1"/>
    <col min="14865" max="14865" width="14.5703125" style="48" customWidth="1"/>
    <col min="14866" max="14866" width="23.28515625" style="48" customWidth="1"/>
    <col min="14867" max="15105" width="9.140625" style="48"/>
    <col min="15106" max="15106" width="9" style="48" hidden="1" customWidth="1"/>
    <col min="15107" max="15107" width="5.85546875" style="48" customWidth="1"/>
    <col min="15108" max="15108" width="26.42578125" style="48" customWidth="1"/>
    <col min="15109" max="15109" width="13.42578125" style="48" customWidth="1"/>
    <col min="15110" max="15110" width="19.28515625" style="48" customWidth="1"/>
    <col min="15111" max="15111" width="9" style="48" hidden="1" customWidth="1"/>
    <col min="15112" max="15112" width="9" style="48" customWidth="1"/>
    <col min="15113" max="15114" width="9" style="48" hidden="1" customWidth="1"/>
    <col min="15115" max="15115" width="14.7109375" style="48" customWidth="1"/>
    <col min="15116" max="15116" width="20.7109375" style="48" customWidth="1"/>
    <col min="15117" max="15118" width="9" style="48" hidden="1" customWidth="1"/>
    <col min="15119" max="15119" width="14.7109375" style="48" customWidth="1"/>
    <col min="15120" max="15120" width="9" style="48" hidden="1" customWidth="1"/>
    <col min="15121" max="15121" width="14.5703125" style="48" customWidth="1"/>
    <col min="15122" max="15122" width="23.28515625" style="48" customWidth="1"/>
    <col min="15123" max="15361" width="9.140625" style="48"/>
    <col min="15362" max="15362" width="9" style="48" hidden="1" customWidth="1"/>
    <col min="15363" max="15363" width="5.85546875" style="48" customWidth="1"/>
    <col min="15364" max="15364" width="26.42578125" style="48" customWidth="1"/>
    <col min="15365" max="15365" width="13.42578125" style="48" customWidth="1"/>
    <col min="15366" max="15366" width="19.28515625" style="48" customWidth="1"/>
    <col min="15367" max="15367" width="9" style="48" hidden="1" customWidth="1"/>
    <col min="15368" max="15368" width="9" style="48" customWidth="1"/>
    <col min="15369" max="15370" width="9" style="48" hidden="1" customWidth="1"/>
    <col min="15371" max="15371" width="14.7109375" style="48" customWidth="1"/>
    <col min="15372" max="15372" width="20.7109375" style="48" customWidth="1"/>
    <col min="15373" max="15374" width="9" style="48" hidden="1" customWidth="1"/>
    <col min="15375" max="15375" width="14.7109375" style="48" customWidth="1"/>
    <col min="15376" max="15376" width="9" style="48" hidden="1" customWidth="1"/>
    <col min="15377" max="15377" width="14.5703125" style="48" customWidth="1"/>
    <col min="15378" max="15378" width="23.28515625" style="48" customWidth="1"/>
    <col min="15379" max="15617" width="9.140625" style="48"/>
    <col min="15618" max="15618" width="9" style="48" hidden="1" customWidth="1"/>
    <col min="15619" max="15619" width="5.85546875" style="48" customWidth="1"/>
    <col min="15620" max="15620" width="26.42578125" style="48" customWidth="1"/>
    <col min="15621" max="15621" width="13.42578125" style="48" customWidth="1"/>
    <col min="15622" max="15622" width="19.28515625" style="48" customWidth="1"/>
    <col min="15623" max="15623" width="9" style="48" hidden="1" customWidth="1"/>
    <col min="15624" max="15624" width="9" style="48" customWidth="1"/>
    <col min="15625" max="15626" width="9" style="48" hidden="1" customWidth="1"/>
    <col min="15627" max="15627" width="14.7109375" style="48" customWidth="1"/>
    <col min="15628" max="15628" width="20.7109375" style="48" customWidth="1"/>
    <col min="15629" max="15630" width="9" style="48" hidden="1" customWidth="1"/>
    <col min="15631" max="15631" width="14.7109375" style="48" customWidth="1"/>
    <col min="15632" max="15632" width="9" style="48" hidden="1" customWidth="1"/>
    <col min="15633" max="15633" width="14.5703125" style="48" customWidth="1"/>
    <col min="15634" max="15634" width="23.28515625" style="48" customWidth="1"/>
    <col min="15635" max="15873" width="9.140625" style="48"/>
    <col min="15874" max="15874" width="9" style="48" hidden="1" customWidth="1"/>
    <col min="15875" max="15875" width="5.85546875" style="48" customWidth="1"/>
    <col min="15876" max="15876" width="26.42578125" style="48" customWidth="1"/>
    <col min="15877" max="15877" width="13.42578125" style="48" customWidth="1"/>
    <col min="15878" max="15878" width="19.28515625" style="48" customWidth="1"/>
    <col min="15879" max="15879" width="9" style="48" hidden="1" customWidth="1"/>
    <col min="15880" max="15880" width="9" style="48" customWidth="1"/>
    <col min="15881" max="15882" width="9" style="48" hidden="1" customWidth="1"/>
    <col min="15883" max="15883" width="14.7109375" style="48" customWidth="1"/>
    <col min="15884" max="15884" width="20.7109375" style="48" customWidth="1"/>
    <col min="15885" max="15886" width="9" style="48" hidden="1" customWidth="1"/>
    <col min="15887" max="15887" width="14.7109375" style="48" customWidth="1"/>
    <col min="15888" max="15888" width="9" style="48" hidden="1" customWidth="1"/>
    <col min="15889" max="15889" width="14.5703125" style="48" customWidth="1"/>
    <col min="15890" max="15890" width="23.28515625" style="48" customWidth="1"/>
    <col min="15891" max="16129" width="9.140625" style="48"/>
    <col min="16130" max="16130" width="9" style="48" hidden="1" customWidth="1"/>
    <col min="16131" max="16131" width="5.85546875" style="48" customWidth="1"/>
    <col min="16132" max="16132" width="26.42578125" style="48" customWidth="1"/>
    <col min="16133" max="16133" width="13.42578125" style="48" customWidth="1"/>
    <col min="16134" max="16134" width="19.28515625" style="48" customWidth="1"/>
    <col min="16135" max="16135" width="9" style="48" hidden="1" customWidth="1"/>
    <col min="16136" max="16136" width="9" style="48" customWidth="1"/>
    <col min="16137" max="16138" width="9" style="48" hidden="1" customWidth="1"/>
    <col min="16139" max="16139" width="14.7109375" style="48" customWidth="1"/>
    <col min="16140" max="16140" width="20.7109375" style="48" customWidth="1"/>
    <col min="16141" max="16142" width="9" style="48" hidden="1" customWidth="1"/>
    <col min="16143" max="16143" width="14.7109375" style="48" customWidth="1"/>
    <col min="16144" max="16144" width="9" style="48" hidden="1" customWidth="1"/>
    <col min="16145" max="16145" width="14.5703125" style="48" customWidth="1"/>
    <col min="16146" max="16146" width="23.28515625" style="48" customWidth="1"/>
    <col min="16147" max="16384" width="9.140625" style="48"/>
  </cols>
  <sheetData>
    <row r="1" spans="1:20" ht="18.75">
      <c r="A1" s="825" t="s">
        <v>1</v>
      </c>
      <c r="B1" s="825"/>
      <c r="C1" s="825"/>
      <c r="D1" s="825"/>
      <c r="E1" s="825"/>
      <c r="F1" s="52"/>
      <c r="G1" s="7"/>
      <c r="H1" s="53"/>
      <c r="I1" s="53"/>
    </row>
    <row r="2" spans="1:20" ht="5.25" customHeight="1">
      <c r="B2" s="3"/>
      <c r="C2" s="3"/>
      <c r="D2" s="54"/>
      <c r="E2" s="54"/>
      <c r="F2" s="3"/>
      <c r="G2" s="54"/>
      <c r="H2" s="3"/>
      <c r="I2" s="3"/>
    </row>
    <row r="3" spans="1:20" s="46" customFormat="1" ht="20.25" customHeight="1">
      <c r="B3" s="826" t="s">
        <v>233</v>
      </c>
      <c r="C3" s="826"/>
      <c r="D3" s="826"/>
      <c r="E3" s="826"/>
      <c r="F3" s="826"/>
      <c r="G3" s="826"/>
      <c r="H3" s="826"/>
      <c r="I3" s="826"/>
      <c r="J3" s="826"/>
      <c r="K3" s="826"/>
      <c r="L3" s="55"/>
      <c r="M3" s="55"/>
      <c r="N3" s="55"/>
      <c r="O3" s="55"/>
      <c r="P3" s="55"/>
    </row>
    <row r="4" spans="1:20" s="46" customFormat="1" ht="3.75" customHeight="1">
      <c r="B4" s="55"/>
      <c r="C4" s="55"/>
      <c r="D4" s="55"/>
      <c r="E4" s="55"/>
      <c r="F4" s="55"/>
      <c r="G4" s="55"/>
      <c r="H4" s="55"/>
      <c r="I4" s="55"/>
      <c r="J4" s="68"/>
      <c r="K4" s="68"/>
      <c r="L4" s="69"/>
      <c r="M4" s="69"/>
      <c r="N4" s="68"/>
      <c r="O4" s="68"/>
      <c r="P4" s="68"/>
    </row>
    <row r="5" spans="1:20" s="46" customFormat="1" ht="18" customHeight="1">
      <c r="B5" s="826" t="s">
        <v>234</v>
      </c>
      <c r="C5" s="826"/>
      <c r="D5" s="826"/>
      <c r="E5" s="826"/>
      <c r="F5" s="826"/>
      <c r="G5" s="826"/>
      <c r="H5" s="826"/>
      <c r="I5" s="826"/>
      <c r="J5" s="826"/>
      <c r="K5" s="826"/>
      <c r="L5" s="55"/>
      <c r="M5" s="55"/>
      <c r="N5" s="55"/>
      <c r="O5" s="55"/>
      <c r="P5" s="55"/>
    </row>
    <row r="6" spans="1:20" ht="12.75" customHeight="1">
      <c r="B6" s="3"/>
      <c r="C6" s="9"/>
      <c r="D6" s="56"/>
      <c r="E6" s="56"/>
      <c r="F6" s="57"/>
      <c r="G6" s="58"/>
      <c r="H6" s="57"/>
      <c r="I6" s="57"/>
    </row>
    <row r="7" spans="1:20" s="3" customFormat="1" ht="16.5">
      <c r="B7" s="830" t="s">
        <v>223</v>
      </c>
      <c r="C7" s="834" t="s">
        <v>7</v>
      </c>
      <c r="D7" s="830" t="s">
        <v>235</v>
      </c>
      <c r="E7" s="830" t="s">
        <v>236</v>
      </c>
      <c r="F7" s="830" t="s">
        <v>237</v>
      </c>
      <c r="G7" s="827" t="s">
        <v>238</v>
      </c>
      <c r="H7" s="827"/>
      <c r="I7" s="830" t="s">
        <v>239</v>
      </c>
      <c r="J7" s="830" t="s">
        <v>240</v>
      </c>
      <c r="K7" s="831" t="s">
        <v>218</v>
      </c>
      <c r="L7" s="830" t="s">
        <v>241</v>
      </c>
      <c r="M7" s="830" t="s">
        <v>242</v>
      </c>
      <c r="N7" s="831">
        <v>2025</v>
      </c>
      <c r="O7" s="70"/>
      <c r="P7" s="833">
        <v>2026</v>
      </c>
    </row>
    <row r="8" spans="1:20" s="3" customFormat="1" ht="33">
      <c r="B8" s="830"/>
      <c r="C8" s="834"/>
      <c r="D8" s="834"/>
      <c r="E8" s="834"/>
      <c r="F8" s="830"/>
      <c r="G8" s="13" t="s">
        <v>217</v>
      </c>
      <c r="H8" s="13" t="s">
        <v>211</v>
      </c>
      <c r="I8" s="830"/>
      <c r="J8" s="830"/>
      <c r="K8" s="832"/>
      <c r="L8" s="830"/>
      <c r="M8" s="830"/>
      <c r="N8" s="832"/>
      <c r="O8" s="70"/>
      <c r="P8" s="833"/>
    </row>
    <row r="9" spans="1:20" s="3" customFormat="1" ht="21" customHeight="1">
      <c r="B9" s="41">
        <v>1</v>
      </c>
      <c r="C9" s="59" t="s">
        <v>45</v>
      </c>
      <c r="D9" s="60" t="str">
        <f>VLOOKUP(C9,[3]DSGV!$D$10:$S$97,16,0)</f>
        <v>B2</v>
      </c>
      <c r="E9" s="60" t="e">
        <f ca="1">DATEDIF(D9,TODAY(),"Y")&amp;" Năm "&amp;DATEDIF(D9,TODAY(),"YM")&amp;" Tháng"</f>
        <v>#VALUE!</v>
      </c>
      <c r="F9" s="61">
        <v>700000</v>
      </c>
      <c r="G9" s="18">
        <v>4</v>
      </c>
      <c r="H9" s="62">
        <f t="shared" ref="H9:H66" si="0">G9*$Q$9</f>
        <v>400000</v>
      </c>
      <c r="I9" s="62">
        <f t="shared" ref="I9:I66" si="1">F9+H9</f>
        <v>1100000</v>
      </c>
      <c r="J9" s="62"/>
      <c r="K9" s="62"/>
      <c r="L9" s="63"/>
      <c r="M9" s="63"/>
      <c r="N9" s="62" t="e">
        <f>VLOOKUP(C9,'[4]GV ('!$B$7:$H$68,4,0)</f>
        <v>#N/A</v>
      </c>
      <c r="O9" s="71" t="e">
        <f ca="1">IF(DATEDIF(D9,TODAY(),"y")&lt;1,1000000,IF(DATEDIF(D9,TODAY(),"y")&lt;=3,3000000,6000000))</f>
        <v>#VALUE!</v>
      </c>
      <c r="P9" s="62">
        <v>1000000</v>
      </c>
      <c r="Q9" s="72">
        <v>100000</v>
      </c>
      <c r="S9" s="3">
        <v>3</v>
      </c>
      <c r="T9" s="3">
        <f>R9+S9</f>
        <v>3</v>
      </c>
    </row>
    <row r="10" spans="1:20" s="3" customFormat="1" ht="21" customHeight="1">
      <c r="B10" s="41">
        <v>2</v>
      </c>
      <c r="C10" s="59" t="s">
        <v>47</v>
      </c>
      <c r="D10" s="60" t="str">
        <f>VLOOKUP(C10,[3]DSGV!$D$10:$S$97,16,0)</f>
        <v>D</v>
      </c>
      <c r="E10" s="60" t="e">
        <f t="shared" ref="E10:E70" ca="1" si="2">DATEDIF(D10,TODAY(),"Y")&amp;" Năm "&amp;DATEDIF(D10,TODAY(),"YM")&amp;" Tháng"</f>
        <v>#VALUE!</v>
      </c>
      <c r="F10" s="62">
        <v>700000</v>
      </c>
      <c r="G10" s="63"/>
      <c r="H10" s="62">
        <f t="shared" si="0"/>
        <v>0</v>
      </c>
      <c r="I10" s="62">
        <f t="shared" si="1"/>
        <v>700000</v>
      </c>
      <c r="J10" s="62"/>
      <c r="K10" s="62"/>
      <c r="L10" s="63"/>
      <c r="M10" s="63"/>
      <c r="N10" s="62">
        <f>VLOOKUP(C10,'[4]GV ('!$B$7:$H$68,4,0)</f>
        <v>1000000</v>
      </c>
      <c r="O10" s="71" t="e">
        <f t="shared" ref="O10:O70" ca="1" si="3">IF(DATEDIF(D10,TODAY(),"y")&lt;1,1000000,IF(DATEDIF(D10,TODAY(),"y")&lt;=3,3000000,6000000))</f>
        <v>#VALUE!</v>
      </c>
      <c r="P10" s="62">
        <v>1000000</v>
      </c>
      <c r="Q10" s="72"/>
      <c r="R10" s="3">
        <v>2</v>
      </c>
      <c r="S10" s="3">
        <v>17</v>
      </c>
      <c r="T10" s="3">
        <f t="shared" ref="T10:T66" si="4">R10+S10</f>
        <v>19</v>
      </c>
    </row>
    <row r="11" spans="1:20" s="3" customFormat="1" ht="21" customHeight="1">
      <c r="B11" s="41">
        <v>3</v>
      </c>
      <c r="C11" s="59" t="s">
        <v>49</v>
      </c>
      <c r="D11" s="60" t="str">
        <f>VLOOKUP(C11,[3]DSGV!$D$10:$S$97,16,0)</f>
        <v>C</v>
      </c>
      <c r="E11" s="60" t="e">
        <f t="shared" ca="1" si="2"/>
        <v>#VALUE!</v>
      </c>
      <c r="F11" s="61">
        <v>700000</v>
      </c>
      <c r="G11" s="18">
        <v>36</v>
      </c>
      <c r="H11" s="62">
        <f t="shared" si="0"/>
        <v>3600000</v>
      </c>
      <c r="I11" s="62">
        <f t="shared" si="1"/>
        <v>4300000</v>
      </c>
      <c r="J11" s="62"/>
      <c r="K11" s="62"/>
      <c r="L11" s="63">
        <f>VLOOKUP(C11,'[4]GV ('!$B$7:$H$68,6,0)</f>
        <v>0</v>
      </c>
      <c r="M11" s="63" t="s">
        <v>189</v>
      </c>
      <c r="N11" s="62">
        <f>VLOOKUP(C11,'[4]GV ('!$B$7:$H$68,4,0)</f>
        <v>7000000</v>
      </c>
      <c r="O11" s="71" t="e">
        <f t="shared" ca="1" si="3"/>
        <v>#VALUE!</v>
      </c>
      <c r="P11" s="62">
        <v>7000000</v>
      </c>
    </row>
    <row r="12" spans="1:20" s="3" customFormat="1" ht="21" customHeight="1">
      <c r="B12" s="41">
        <v>4</v>
      </c>
      <c r="C12" s="59" t="s">
        <v>51</v>
      </c>
      <c r="D12" s="60" t="str">
        <f>VLOOKUP(C12,[3]DSGV!$D$10:$S$97,16,0)</f>
        <v>B2</v>
      </c>
      <c r="E12" s="60" t="e">
        <f t="shared" ca="1" si="2"/>
        <v>#VALUE!</v>
      </c>
      <c r="F12" s="62">
        <v>700000</v>
      </c>
      <c r="G12" s="63">
        <v>15</v>
      </c>
      <c r="H12" s="62">
        <f t="shared" si="0"/>
        <v>1500000</v>
      </c>
      <c r="I12" s="62">
        <f t="shared" si="1"/>
        <v>2200000</v>
      </c>
      <c r="J12" s="62"/>
      <c r="K12" s="62"/>
      <c r="L12" s="63"/>
      <c r="M12" s="63"/>
      <c r="N12" s="62">
        <f>VLOOKUP(C12,'[4]GV ('!$B$7:$H$68,4,0)</f>
        <v>500000</v>
      </c>
      <c r="O12" s="71" t="e">
        <f t="shared" ca="1" si="3"/>
        <v>#VALUE!</v>
      </c>
      <c r="P12" s="62">
        <v>1500000</v>
      </c>
      <c r="R12" s="3">
        <v>22</v>
      </c>
      <c r="S12" s="3">
        <v>40</v>
      </c>
      <c r="T12" s="3">
        <f t="shared" si="4"/>
        <v>62</v>
      </c>
    </row>
    <row r="13" spans="1:20" s="3" customFormat="1" ht="21" customHeight="1">
      <c r="B13" s="41">
        <v>5</v>
      </c>
      <c r="C13" s="59" t="s">
        <v>52</v>
      </c>
      <c r="D13" s="60" t="str">
        <f>VLOOKUP(C13,[3]DSGV!$D$10:$S$97,16,0)</f>
        <v>B2</v>
      </c>
      <c r="E13" s="60" t="e">
        <f t="shared" ca="1" si="2"/>
        <v>#VALUE!</v>
      </c>
      <c r="F13" s="62">
        <v>700000</v>
      </c>
      <c r="G13" s="63"/>
      <c r="H13" s="62">
        <f t="shared" si="0"/>
        <v>0</v>
      </c>
      <c r="I13" s="62">
        <f t="shared" si="1"/>
        <v>700000</v>
      </c>
      <c r="J13" s="62"/>
      <c r="K13" s="62"/>
      <c r="L13" s="63"/>
      <c r="M13" s="63"/>
      <c r="N13" s="62" t="e">
        <f>VLOOKUP(C13,'[4]GV ('!$B$7:$H$68,4,0)</f>
        <v>#N/A</v>
      </c>
      <c r="O13" s="71" t="e">
        <f t="shared" ca="1" si="3"/>
        <v>#VALUE!</v>
      </c>
      <c r="P13" s="62">
        <v>1000000</v>
      </c>
      <c r="S13" s="3">
        <v>8</v>
      </c>
      <c r="T13" s="3">
        <f t="shared" si="4"/>
        <v>8</v>
      </c>
    </row>
    <row r="14" spans="1:20" s="3" customFormat="1" ht="21" customHeight="1">
      <c r="B14" s="41">
        <v>6</v>
      </c>
      <c r="C14" s="59" t="s">
        <v>53</v>
      </c>
      <c r="D14" s="60" t="str">
        <f>VLOOKUP(C14,[3]DSGV!$D$10:$S$97,16,0)</f>
        <v>D</v>
      </c>
      <c r="E14" s="60" t="e">
        <f t="shared" ca="1" si="2"/>
        <v>#VALUE!</v>
      </c>
      <c r="F14" s="62">
        <v>700000</v>
      </c>
      <c r="G14" s="63">
        <v>36</v>
      </c>
      <c r="H14" s="62">
        <f t="shared" si="0"/>
        <v>3600000</v>
      </c>
      <c r="I14" s="62">
        <f t="shared" si="1"/>
        <v>4300000</v>
      </c>
      <c r="J14" s="62"/>
      <c r="K14" s="62"/>
      <c r="L14" s="63"/>
      <c r="M14" s="63"/>
      <c r="N14" s="62">
        <f>VLOOKUP(C14,'[4]GV ('!$B$7:$H$68,4,0)</f>
        <v>1000000</v>
      </c>
      <c r="O14" s="71" t="e">
        <f t="shared" ca="1" si="3"/>
        <v>#VALUE!</v>
      </c>
      <c r="P14" s="62">
        <v>3000000</v>
      </c>
      <c r="R14" s="3">
        <v>2</v>
      </c>
      <c r="S14" s="3">
        <v>13</v>
      </c>
      <c r="T14" s="3">
        <f t="shared" si="4"/>
        <v>15</v>
      </c>
    </row>
    <row r="15" spans="1:20" s="3" customFormat="1" ht="21" customHeight="1">
      <c r="B15" s="41">
        <v>7</v>
      </c>
      <c r="C15" s="59" t="s">
        <v>54</v>
      </c>
      <c r="D15" s="60" t="str">
        <f>VLOOKUP(C15,[3]DSGV!$D$10:$S$97,16,0)</f>
        <v>C</v>
      </c>
      <c r="E15" s="60" t="e">
        <f t="shared" ca="1" si="2"/>
        <v>#VALUE!</v>
      </c>
      <c r="F15" s="62">
        <v>700000</v>
      </c>
      <c r="G15" s="63">
        <v>4</v>
      </c>
      <c r="H15" s="62">
        <f t="shared" si="0"/>
        <v>400000</v>
      </c>
      <c r="I15" s="62">
        <f t="shared" si="1"/>
        <v>1100000</v>
      </c>
      <c r="J15" s="62"/>
      <c r="K15" s="62"/>
      <c r="L15" s="63"/>
      <c r="M15" s="63"/>
      <c r="N15" s="62" t="e">
        <f>VLOOKUP(C15,'[4]GV ('!$B$7:$H$68,4,0)</f>
        <v>#N/A</v>
      </c>
      <c r="O15" s="71" t="e">
        <f t="shared" ca="1" si="3"/>
        <v>#VALUE!</v>
      </c>
      <c r="P15" s="62">
        <v>1000000</v>
      </c>
      <c r="R15" s="3">
        <v>7</v>
      </c>
      <c r="S15" s="3">
        <v>39</v>
      </c>
      <c r="T15" s="3">
        <f t="shared" si="4"/>
        <v>46</v>
      </c>
    </row>
    <row r="16" spans="1:20" s="3" customFormat="1" ht="21" customHeight="1">
      <c r="B16" s="41">
        <v>8</v>
      </c>
      <c r="C16" s="59" t="s">
        <v>55</v>
      </c>
      <c r="D16" s="60" t="str">
        <f>VLOOKUP(C16,[3]DSGV!$D$10:$S$97,16,0)</f>
        <v>B2</v>
      </c>
      <c r="E16" s="60" t="e">
        <f t="shared" ca="1" si="2"/>
        <v>#VALUE!</v>
      </c>
      <c r="F16" s="62">
        <v>700000</v>
      </c>
      <c r="G16" s="63">
        <v>4</v>
      </c>
      <c r="H16" s="62">
        <f t="shared" si="0"/>
        <v>400000</v>
      </c>
      <c r="I16" s="62">
        <f t="shared" si="1"/>
        <v>1100000</v>
      </c>
      <c r="J16" s="62"/>
      <c r="K16" s="62"/>
      <c r="L16" s="63" t="s">
        <v>189</v>
      </c>
      <c r="M16" s="63" t="s">
        <v>189</v>
      </c>
      <c r="N16" s="62">
        <f>VLOOKUP(C16,'[4]GV ('!$B$7:$H$68,4,0)</f>
        <v>6000000</v>
      </c>
      <c r="O16" s="71" t="e">
        <f t="shared" ca="1" si="3"/>
        <v>#VALUE!</v>
      </c>
      <c r="P16" s="62">
        <v>6000000</v>
      </c>
    </row>
    <row r="17" spans="2:20" s="3" customFormat="1" ht="21" customHeight="1">
      <c r="B17" s="41">
        <v>9</v>
      </c>
      <c r="C17" s="64" t="s">
        <v>57</v>
      </c>
      <c r="D17" s="60" t="str">
        <f>VLOOKUP(C17,[3]DSGV!$D$10:$S$97,16,0)</f>
        <v>E</v>
      </c>
      <c r="E17" s="60" t="e">
        <f t="shared" ca="1" si="2"/>
        <v>#VALUE!</v>
      </c>
      <c r="F17" s="62">
        <v>700000</v>
      </c>
      <c r="G17" s="63">
        <v>74</v>
      </c>
      <c r="H17" s="62">
        <f t="shared" si="0"/>
        <v>7400000</v>
      </c>
      <c r="I17" s="62">
        <f t="shared" si="1"/>
        <v>8100000</v>
      </c>
      <c r="J17" s="62"/>
      <c r="K17" s="62"/>
      <c r="L17" s="63"/>
      <c r="M17" s="63"/>
      <c r="N17" s="62">
        <f>VLOOKUP(C17,'[4]GV ('!$B$7:$H$68,4,0)</f>
        <v>1000000</v>
      </c>
      <c r="O17" s="71" t="e">
        <f t="shared" ca="1" si="3"/>
        <v>#VALUE!</v>
      </c>
      <c r="P17" s="62">
        <v>2500000</v>
      </c>
      <c r="R17" s="3">
        <v>1</v>
      </c>
      <c r="S17" s="3">
        <v>4</v>
      </c>
      <c r="T17" s="3">
        <f t="shared" si="4"/>
        <v>5</v>
      </c>
    </row>
    <row r="18" spans="2:20" s="3" customFormat="1" ht="21" customHeight="1">
      <c r="B18" s="41">
        <v>10</v>
      </c>
      <c r="C18" s="59" t="s">
        <v>58</v>
      </c>
      <c r="D18" s="60" t="str">
        <f>VLOOKUP(C18,[3]DSGV!$D$10:$S$97,16,0)</f>
        <v>C</v>
      </c>
      <c r="E18" s="60" t="e">
        <f t="shared" ca="1" si="2"/>
        <v>#VALUE!</v>
      </c>
      <c r="F18" s="62">
        <v>700000</v>
      </c>
      <c r="G18" s="63">
        <v>66</v>
      </c>
      <c r="H18" s="62">
        <f t="shared" si="0"/>
        <v>6600000</v>
      </c>
      <c r="I18" s="62">
        <f t="shared" si="1"/>
        <v>7300000</v>
      </c>
      <c r="J18" s="62"/>
      <c r="K18" s="62"/>
      <c r="L18" s="63"/>
      <c r="M18" s="63"/>
      <c r="N18" s="62">
        <f>VLOOKUP(C18,'[4]GV ('!$B$7:$H$68,4,0)</f>
        <v>500000</v>
      </c>
      <c r="O18" s="71" t="e">
        <f t="shared" ca="1" si="3"/>
        <v>#VALUE!</v>
      </c>
      <c r="P18" s="62">
        <v>5000000</v>
      </c>
      <c r="R18" s="3">
        <v>14</v>
      </c>
      <c r="S18" s="3">
        <v>28</v>
      </c>
      <c r="T18" s="3">
        <f t="shared" si="4"/>
        <v>42</v>
      </c>
    </row>
    <row r="19" spans="2:20" s="3" customFormat="1" ht="21" customHeight="1">
      <c r="B19" s="41">
        <v>11</v>
      </c>
      <c r="C19" s="59" t="s">
        <v>60</v>
      </c>
      <c r="D19" s="60" t="str">
        <f>VLOOKUP(C19,[3]DSGV!$D$10:$S$97,16,0)</f>
        <v>E</v>
      </c>
      <c r="E19" s="60" t="e">
        <f t="shared" ca="1" si="2"/>
        <v>#VALUE!</v>
      </c>
      <c r="F19" s="62">
        <v>700000</v>
      </c>
      <c r="G19" s="63">
        <v>9</v>
      </c>
      <c r="H19" s="62">
        <f t="shared" si="0"/>
        <v>900000</v>
      </c>
      <c r="I19" s="62">
        <f t="shared" si="1"/>
        <v>1600000</v>
      </c>
      <c r="J19" s="62"/>
      <c r="K19" s="62"/>
      <c r="L19" s="63"/>
      <c r="M19" s="63"/>
      <c r="N19" s="62">
        <f>VLOOKUP(C19,'[4]GV ('!$B$7:$H$68,4,0)</f>
        <v>1000000</v>
      </c>
      <c r="O19" s="71" t="e">
        <f t="shared" ca="1" si="3"/>
        <v>#VALUE!</v>
      </c>
      <c r="P19" s="62">
        <v>2500000</v>
      </c>
      <c r="S19" s="3">
        <v>4</v>
      </c>
      <c r="T19" s="3">
        <f t="shared" si="4"/>
        <v>4</v>
      </c>
    </row>
    <row r="20" spans="2:20" s="3" customFormat="1" ht="21" customHeight="1">
      <c r="B20" s="41">
        <v>12</v>
      </c>
      <c r="C20" s="59" t="s">
        <v>61</v>
      </c>
      <c r="D20" s="60" t="str">
        <f>VLOOKUP(C20,[3]DSGV!$D$10:$S$97,16,0)</f>
        <v>B2</v>
      </c>
      <c r="E20" s="60" t="e">
        <f t="shared" ca="1" si="2"/>
        <v>#VALUE!</v>
      </c>
      <c r="F20" s="62">
        <v>700000</v>
      </c>
      <c r="G20" s="63">
        <v>33</v>
      </c>
      <c r="H20" s="62">
        <f t="shared" si="0"/>
        <v>3300000</v>
      </c>
      <c r="I20" s="62">
        <f t="shared" si="1"/>
        <v>4000000</v>
      </c>
      <c r="J20" s="62"/>
      <c r="K20" s="62"/>
      <c r="L20" s="63"/>
      <c r="M20" s="63"/>
      <c r="N20" s="62">
        <f>VLOOKUP(C20,'[4]GV ('!$B$7:$H$68,4,0)</f>
        <v>1000000</v>
      </c>
      <c r="O20" s="71" t="e">
        <f t="shared" ca="1" si="3"/>
        <v>#VALUE!</v>
      </c>
      <c r="P20" s="62">
        <v>3000000</v>
      </c>
      <c r="R20" s="3">
        <v>1</v>
      </c>
      <c r="S20" s="3">
        <v>2</v>
      </c>
      <c r="T20" s="3">
        <f t="shared" si="4"/>
        <v>3</v>
      </c>
    </row>
    <row r="21" spans="2:20" s="3" customFormat="1" ht="21" customHeight="1">
      <c r="B21" s="41">
        <v>13</v>
      </c>
      <c r="C21" s="59" t="s">
        <v>63</v>
      </c>
      <c r="D21" s="60" t="str">
        <f>VLOOKUP(C21,[3]DSGV!$D$10:$S$97,16,0)</f>
        <v>D</v>
      </c>
      <c r="E21" s="60" t="e">
        <f t="shared" ca="1" si="2"/>
        <v>#VALUE!</v>
      </c>
      <c r="F21" s="61">
        <v>700000</v>
      </c>
      <c r="G21" s="18">
        <v>5</v>
      </c>
      <c r="H21" s="62">
        <f t="shared" si="0"/>
        <v>500000</v>
      </c>
      <c r="I21" s="62">
        <f t="shared" si="1"/>
        <v>1200000</v>
      </c>
      <c r="J21" s="62"/>
      <c r="K21" s="62"/>
      <c r="L21" s="63"/>
      <c r="M21" s="63"/>
      <c r="N21" s="62" t="e">
        <f>VLOOKUP(C21,'[4]GV ('!$B$7:$H$68,4,0)</f>
        <v>#N/A</v>
      </c>
      <c r="O21" s="71" t="e">
        <f t="shared" ca="1" si="3"/>
        <v>#VALUE!</v>
      </c>
      <c r="P21" s="62">
        <v>1000000</v>
      </c>
      <c r="R21" s="3">
        <v>3</v>
      </c>
      <c r="S21" s="3">
        <v>13</v>
      </c>
      <c r="T21" s="3">
        <f t="shared" si="4"/>
        <v>16</v>
      </c>
    </row>
    <row r="22" spans="2:20" s="3" customFormat="1" ht="21" customHeight="1">
      <c r="B22" s="41">
        <v>14</v>
      </c>
      <c r="C22" s="59" t="s">
        <v>65</v>
      </c>
      <c r="D22" s="60" t="str">
        <f>VLOOKUP(C22,[3]DSGV!$D$10:$S$97,16,0)</f>
        <v>D</v>
      </c>
      <c r="E22" s="60" t="e">
        <f t="shared" ca="1" si="2"/>
        <v>#VALUE!</v>
      </c>
      <c r="F22" s="61">
        <v>700000</v>
      </c>
      <c r="G22" s="18">
        <v>4</v>
      </c>
      <c r="H22" s="62">
        <f t="shared" si="0"/>
        <v>400000</v>
      </c>
      <c r="I22" s="62">
        <f t="shared" si="1"/>
        <v>1100000</v>
      </c>
      <c r="J22" s="62"/>
      <c r="K22" s="62"/>
      <c r="L22" s="63"/>
      <c r="M22" s="63"/>
      <c r="N22" s="62" t="e">
        <f>VLOOKUP(C22,'[4]GV ('!$B$7:$H$68,4,0)</f>
        <v>#N/A</v>
      </c>
      <c r="O22" s="71" t="e">
        <f t="shared" ca="1" si="3"/>
        <v>#VALUE!</v>
      </c>
      <c r="P22" s="62">
        <v>1000000</v>
      </c>
      <c r="R22" s="3">
        <v>12</v>
      </c>
      <c r="S22" s="3">
        <v>42</v>
      </c>
      <c r="T22" s="3">
        <f t="shared" si="4"/>
        <v>54</v>
      </c>
    </row>
    <row r="23" spans="2:20" s="3" customFormat="1" ht="21" customHeight="1">
      <c r="B23" s="41">
        <v>15</v>
      </c>
      <c r="C23" s="59" t="s">
        <v>66</v>
      </c>
      <c r="D23" s="60" t="str">
        <f>VLOOKUP(C23,[3]DSGV!$D$10:$S$97,16,0)</f>
        <v>B2</v>
      </c>
      <c r="E23" s="60" t="e">
        <f t="shared" ca="1" si="2"/>
        <v>#VALUE!</v>
      </c>
      <c r="F23" s="62">
        <v>700000</v>
      </c>
      <c r="G23" s="63">
        <v>13</v>
      </c>
      <c r="H23" s="62">
        <f t="shared" si="0"/>
        <v>1300000</v>
      </c>
      <c r="I23" s="62">
        <f t="shared" si="1"/>
        <v>2000000</v>
      </c>
      <c r="J23" s="62"/>
      <c r="K23" s="62"/>
      <c r="L23" s="63">
        <f>VLOOKUP(C23,'[4]GV ('!$B$7:$H$68,6,0)</f>
        <v>0</v>
      </c>
      <c r="M23" s="63"/>
      <c r="N23" s="62">
        <f>VLOOKUP(C23,'[4]GV ('!$B$7:$H$68,4,0)</f>
        <v>5000000</v>
      </c>
      <c r="O23" s="71" t="e">
        <f t="shared" ca="1" si="3"/>
        <v>#VALUE!</v>
      </c>
      <c r="P23" s="62">
        <v>4000000</v>
      </c>
      <c r="S23" s="3">
        <v>16</v>
      </c>
      <c r="T23" s="3">
        <f t="shared" si="4"/>
        <v>16</v>
      </c>
    </row>
    <row r="24" spans="2:20" s="3" customFormat="1" ht="21" customHeight="1">
      <c r="B24" s="41">
        <v>16</v>
      </c>
      <c r="C24" s="59" t="s">
        <v>67</v>
      </c>
      <c r="D24" s="60" t="str">
        <f>VLOOKUP(C24,[3]DSGV!$D$10:$S$97,16,0)</f>
        <v>B2</v>
      </c>
      <c r="E24" s="60" t="e">
        <f t="shared" ca="1" si="2"/>
        <v>#VALUE!</v>
      </c>
      <c r="F24" s="62">
        <v>700000</v>
      </c>
      <c r="G24" s="63">
        <v>46</v>
      </c>
      <c r="H24" s="62">
        <f t="shared" si="0"/>
        <v>4600000</v>
      </c>
      <c r="I24" s="62">
        <f t="shared" si="1"/>
        <v>5300000</v>
      </c>
      <c r="J24" s="62"/>
      <c r="K24" s="62"/>
      <c r="L24" s="63"/>
      <c r="M24" s="63"/>
      <c r="N24" s="62">
        <f>VLOOKUP(C24,'[4]GV ('!$B$7:$H$68,4,0)</f>
        <v>1000000</v>
      </c>
      <c r="O24" s="71" t="e">
        <f t="shared" ca="1" si="3"/>
        <v>#VALUE!</v>
      </c>
      <c r="P24" s="62">
        <v>5000000</v>
      </c>
      <c r="R24" s="3">
        <v>12</v>
      </c>
      <c r="S24" s="3">
        <v>45</v>
      </c>
      <c r="T24" s="3">
        <f t="shared" si="4"/>
        <v>57</v>
      </c>
    </row>
    <row r="25" spans="2:20" s="3" customFormat="1" ht="21" customHeight="1">
      <c r="B25" s="41">
        <v>17</v>
      </c>
      <c r="C25" s="59" t="s">
        <v>68</v>
      </c>
      <c r="D25" s="60" t="str">
        <f>VLOOKUP(C25,[3]DSGV!$D$10:$S$97,16,0)</f>
        <v>C</v>
      </c>
      <c r="E25" s="60" t="e">
        <f t="shared" ca="1" si="2"/>
        <v>#VALUE!</v>
      </c>
      <c r="F25" s="62">
        <v>700000</v>
      </c>
      <c r="G25" s="63"/>
      <c r="H25" s="62">
        <f t="shared" si="0"/>
        <v>0</v>
      </c>
      <c r="I25" s="62">
        <f t="shared" si="1"/>
        <v>700000</v>
      </c>
      <c r="J25" s="62"/>
      <c r="K25" s="62"/>
      <c r="L25" s="63"/>
      <c r="M25" s="63"/>
      <c r="N25" s="62">
        <f>VLOOKUP(C25,'[4]GV ('!$B$7:$H$68,4,0)</f>
        <v>1000000</v>
      </c>
      <c r="O25" s="71" t="e">
        <f t="shared" ca="1" si="3"/>
        <v>#VALUE!</v>
      </c>
      <c r="P25" s="62">
        <v>1000000</v>
      </c>
      <c r="R25" s="3">
        <v>5</v>
      </c>
      <c r="S25" s="3">
        <v>6</v>
      </c>
      <c r="T25" s="3">
        <f t="shared" si="4"/>
        <v>11</v>
      </c>
    </row>
    <row r="26" spans="2:20" s="3" customFormat="1" ht="21" customHeight="1">
      <c r="B26" s="41">
        <v>18</v>
      </c>
      <c r="C26" s="59" t="s">
        <v>70</v>
      </c>
      <c r="D26" s="60" t="str">
        <f>VLOOKUP(C26,[3]DSGV!$D$10:$S$97,16,0)</f>
        <v>D,CE</v>
      </c>
      <c r="E26" s="60" t="e">
        <f t="shared" ca="1" si="2"/>
        <v>#VALUE!</v>
      </c>
      <c r="F26" s="62">
        <v>700000</v>
      </c>
      <c r="G26" s="63">
        <v>17</v>
      </c>
      <c r="H26" s="62">
        <f t="shared" si="0"/>
        <v>1700000</v>
      </c>
      <c r="I26" s="62">
        <f t="shared" si="1"/>
        <v>2400000</v>
      </c>
      <c r="J26" s="62"/>
      <c r="K26" s="62"/>
      <c r="L26" s="63" t="str">
        <f>VLOOKUP(C26,'[4]GV ('!$B$7:$H$68,6,0)</f>
        <v>x</v>
      </c>
      <c r="M26" s="63">
        <f>VLOOKUP(C26,'[4]GV ('!$B$7:$H$68,7,0)</f>
        <v>0</v>
      </c>
      <c r="N26" s="62">
        <f>VLOOKUP(C26,'[4]GV ('!$B$7:$H$68,4,0)</f>
        <v>5000000</v>
      </c>
      <c r="O26" s="71" t="e">
        <f t="shared" ca="1" si="3"/>
        <v>#VALUE!</v>
      </c>
      <c r="P26" s="62">
        <v>5000000</v>
      </c>
      <c r="R26" s="3">
        <v>13</v>
      </c>
      <c r="S26" s="3">
        <v>35</v>
      </c>
      <c r="T26" s="3">
        <f t="shared" si="4"/>
        <v>48</v>
      </c>
    </row>
    <row r="27" spans="2:20" s="3" customFormat="1" ht="21" customHeight="1">
      <c r="B27" s="41">
        <v>19</v>
      </c>
      <c r="C27" s="59" t="s">
        <v>72</v>
      </c>
      <c r="D27" s="60" t="str">
        <f>VLOOKUP(C27,[3]DSGV!$D$10:$S$97,16,0)</f>
        <v>D</v>
      </c>
      <c r="E27" s="60" t="e">
        <f t="shared" ca="1" si="2"/>
        <v>#VALUE!</v>
      </c>
      <c r="F27" s="62">
        <v>700000</v>
      </c>
      <c r="G27" s="65">
        <v>10</v>
      </c>
      <c r="H27" s="62">
        <f t="shared" si="0"/>
        <v>1000000</v>
      </c>
      <c r="I27" s="62">
        <f t="shared" si="1"/>
        <v>1700000</v>
      </c>
      <c r="J27" s="62"/>
      <c r="K27" s="62"/>
      <c r="L27" s="63">
        <f>VLOOKUP(C27,'[4]GV ('!$B$7:$H$68,6,0)</f>
        <v>0</v>
      </c>
      <c r="M27" s="63" t="s">
        <v>189</v>
      </c>
      <c r="N27" s="62">
        <f>VLOOKUP(C27,'[4]GV ('!$B$7:$H$68,4,0)</f>
        <v>6000000</v>
      </c>
      <c r="O27" s="71" t="e">
        <f t="shared" ca="1" si="3"/>
        <v>#VALUE!</v>
      </c>
      <c r="P27" s="62">
        <v>6000000</v>
      </c>
    </row>
    <row r="28" spans="2:20" s="3" customFormat="1" ht="21" customHeight="1">
      <c r="B28" s="41">
        <v>20</v>
      </c>
      <c r="C28" s="59" t="s">
        <v>73</v>
      </c>
      <c r="D28" s="60" t="str">
        <f>VLOOKUP(C28,[3]DSGV!$D$10:$S$97,16,0)</f>
        <v>B2</v>
      </c>
      <c r="E28" s="60" t="e">
        <f t="shared" ca="1" si="2"/>
        <v>#VALUE!</v>
      </c>
      <c r="F28" s="61">
        <v>700000</v>
      </c>
      <c r="G28" s="18"/>
      <c r="H28" s="62">
        <f t="shared" si="0"/>
        <v>0</v>
      </c>
      <c r="I28" s="62">
        <f t="shared" si="1"/>
        <v>700000</v>
      </c>
      <c r="J28" s="62"/>
      <c r="K28" s="62"/>
      <c r="L28" s="63"/>
      <c r="M28" s="63"/>
      <c r="N28" s="62" t="e">
        <f>VLOOKUP(C28,'[4]GV ('!$B$7:$H$68,4,0)</f>
        <v>#N/A</v>
      </c>
      <c r="O28" s="71" t="e">
        <f t="shared" ca="1" si="3"/>
        <v>#VALUE!</v>
      </c>
      <c r="P28" s="62">
        <v>1000000</v>
      </c>
      <c r="R28" s="3">
        <v>6</v>
      </c>
      <c r="S28" s="3">
        <v>21</v>
      </c>
      <c r="T28" s="3">
        <f t="shared" si="4"/>
        <v>27</v>
      </c>
    </row>
    <row r="29" spans="2:20" s="3" customFormat="1" ht="21" customHeight="1">
      <c r="B29" s="41">
        <v>21</v>
      </c>
      <c r="C29" s="59" t="s">
        <v>74</v>
      </c>
      <c r="D29" s="60" t="str">
        <f>VLOOKUP(C29,[3]DSGV!$D$10:$S$97,16,0)</f>
        <v>D,CE</v>
      </c>
      <c r="E29" s="60" t="e">
        <f t="shared" ca="1" si="2"/>
        <v>#VALUE!</v>
      </c>
      <c r="F29" s="62">
        <v>700000</v>
      </c>
      <c r="G29" s="63">
        <v>16</v>
      </c>
      <c r="H29" s="62">
        <f t="shared" si="0"/>
        <v>1600000</v>
      </c>
      <c r="I29" s="62">
        <f t="shared" si="1"/>
        <v>2300000</v>
      </c>
      <c r="J29" s="62"/>
      <c r="K29" s="62"/>
      <c r="L29" s="63" t="str">
        <f>VLOOKUP(C29,'[4]GV ('!$B$7:$H$68,6,0)</f>
        <v>x</v>
      </c>
      <c r="M29" s="63">
        <f>VLOOKUP(C29,'[4]GV ('!$B$7:$H$68,7,0)</f>
        <v>0</v>
      </c>
      <c r="N29" s="62">
        <f>VLOOKUP(C29,'[4]GV ('!$B$7:$H$68,4,0)</f>
        <v>2000000</v>
      </c>
      <c r="O29" s="71" t="e">
        <f t="shared" ca="1" si="3"/>
        <v>#VALUE!</v>
      </c>
      <c r="P29" s="62">
        <v>2500000</v>
      </c>
      <c r="R29" s="3">
        <v>3</v>
      </c>
      <c r="S29" s="3">
        <v>15</v>
      </c>
      <c r="T29" s="3">
        <f t="shared" si="4"/>
        <v>18</v>
      </c>
    </row>
    <row r="30" spans="2:20" s="3" customFormat="1" ht="21" customHeight="1">
      <c r="B30" s="41">
        <v>22</v>
      </c>
      <c r="C30" s="59" t="s">
        <v>76</v>
      </c>
      <c r="D30" s="60" t="str">
        <f>VLOOKUP(C30,[3]DSGV!$D$10:$S$97,16,0)</f>
        <v>E</v>
      </c>
      <c r="E30" s="60" t="e">
        <f t="shared" ca="1" si="2"/>
        <v>#VALUE!</v>
      </c>
      <c r="F30" s="61">
        <v>700000</v>
      </c>
      <c r="G30" s="18">
        <v>8</v>
      </c>
      <c r="H30" s="62">
        <f t="shared" si="0"/>
        <v>800000</v>
      </c>
      <c r="I30" s="62">
        <f t="shared" si="1"/>
        <v>1500000</v>
      </c>
      <c r="J30" s="62"/>
      <c r="K30" s="62"/>
      <c r="L30" s="63"/>
      <c r="M30" s="63"/>
      <c r="N30" s="62" t="e">
        <f>VLOOKUP(C30,'[4]GV ('!$B$7:$H$68,4,0)</f>
        <v>#N/A</v>
      </c>
      <c r="O30" s="71" t="e">
        <f t="shared" ca="1" si="3"/>
        <v>#VALUE!</v>
      </c>
      <c r="P30" s="62">
        <v>1000000</v>
      </c>
      <c r="S30" s="3">
        <v>8</v>
      </c>
      <c r="T30" s="3">
        <f t="shared" si="4"/>
        <v>8</v>
      </c>
    </row>
    <row r="31" spans="2:20" s="3" customFormat="1" ht="21" customHeight="1">
      <c r="B31" s="41">
        <v>23</v>
      </c>
      <c r="C31" s="59" t="s">
        <v>78</v>
      </c>
      <c r="D31" s="60" t="str">
        <f>VLOOKUP(C31,[3]DSGV!$D$10:$S$97,16,0)</f>
        <v>B2</v>
      </c>
      <c r="E31" s="60" t="e">
        <f t="shared" ca="1" si="2"/>
        <v>#VALUE!</v>
      </c>
      <c r="F31" s="62">
        <v>700000</v>
      </c>
      <c r="G31" s="63">
        <v>32</v>
      </c>
      <c r="H31" s="62">
        <f t="shared" si="0"/>
        <v>3200000</v>
      </c>
      <c r="I31" s="62">
        <f t="shared" si="1"/>
        <v>3900000</v>
      </c>
      <c r="J31" s="62"/>
      <c r="K31" s="62"/>
      <c r="L31" s="63">
        <f>VLOOKUP(C31,'[4]GV ('!$B$7:$H$68,6,0)</f>
        <v>0</v>
      </c>
      <c r="M31" s="63"/>
      <c r="N31" s="62">
        <f>VLOOKUP(C31,'[4]GV ('!$B$7:$H$68,4,0)</f>
        <v>5000000</v>
      </c>
      <c r="O31" s="71" t="e">
        <f t="shared" ca="1" si="3"/>
        <v>#VALUE!</v>
      </c>
      <c r="P31" s="62">
        <v>5000000</v>
      </c>
      <c r="R31" s="3">
        <v>11</v>
      </c>
      <c r="S31" s="3">
        <v>30</v>
      </c>
      <c r="T31" s="3">
        <f t="shared" si="4"/>
        <v>41</v>
      </c>
    </row>
    <row r="32" spans="2:20" s="3" customFormat="1" ht="21" customHeight="1">
      <c r="B32" s="41">
        <v>24</v>
      </c>
      <c r="C32" s="59" t="s">
        <v>80</v>
      </c>
      <c r="D32" s="60" t="str">
        <f>VLOOKUP(C32,[3]DSGV!$D$10:$S$97,16,0)</f>
        <v>C</v>
      </c>
      <c r="E32" s="60" t="e">
        <f t="shared" ca="1" si="2"/>
        <v>#VALUE!</v>
      </c>
      <c r="F32" s="62">
        <v>700000</v>
      </c>
      <c r="G32" s="63">
        <v>49</v>
      </c>
      <c r="H32" s="62">
        <f t="shared" si="0"/>
        <v>4900000</v>
      </c>
      <c r="I32" s="62">
        <f t="shared" si="1"/>
        <v>5600000</v>
      </c>
      <c r="J32" s="62"/>
      <c r="K32" s="62"/>
      <c r="L32" s="63" t="str">
        <f>VLOOKUP(C32,'[4]GV ('!$B$7:$H$68,6,0)</f>
        <v>x</v>
      </c>
      <c r="M32" s="63">
        <f>VLOOKUP(C32,'[4]GV ('!$B$7:$H$68,7,0)</f>
        <v>0</v>
      </c>
      <c r="N32" s="62">
        <f>VLOOKUP(C32,'[4]GV ('!$B$7:$H$68,4,0)</f>
        <v>5000000</v>
      </c>
      <c r="O32" s="71" t="e">
        <f t="shared" ca="1" si="3"/>
        <v>#VALUE!</v>
      </c>
      <c r="P32" s="62">
        <v>5000000</v>
      </c>
    </row>
    <row r="33" spans="2:20" s="3" customFormat="1" ht="21" customHeight="1">
      <c r="B33" s="41">
        <v>25</v>
      </c>
      <c r="C33" s="59" t="s">
        <v>82</v>
      </c>
      <c r="D33" s="60" t="str">
        <f>VLOOKUP(C33,[3]DSGV!$D$10:$S$97,16,0)</f>
        <v>C</v>
      </c>
      <c r="E33" s="60" t="e">
        <f t="shared" ca="1" si="2"/>
        <v>#VALUE!</v>
      </c>
      <c r="F33" s="62">
        <v>700000</v>
      </c>
      <c r="G33" s="63">
        <v>20</v>
      </c>
      <c r="H33" s="62">
        <f t="shared" si="0"/>
        <v>2000000</v>
      </c>
      <c r="I33" s="62">
        <f t="shared" si="1"/>
        <v>2700000</v>
      </c>
      <c r="J33" s="62"/>
      <c r="K33" s="62"/>
      <c r="L33" s="63" t="s">
        <v>189</v>
      </c>
      <c r="M33" s="63" t="s">
        <v>189</v>
      </c>
      <c r="N33" s="62">
        <f>VLOOKUP(C33,'[4]GV ('!$B$7:$H$68,4,0)</f>
        <v>5000000</v>
      </c>
      <c r="O33" s="71" t="e">
        <f t="shared" ca="1" si="3"/>
        <v>#VALUE!</v>
      </c>
      <c r="P33" s="62">
        <v>5000000</v>
      </c>
    </row>
    <row r="34" spans="2:20" s="3" customFormat="1" ht="21" customHeight="1">
      <c r="B34" s="41">
        <v>26</v>
      </c>
      <c r="C34" s="59" t="s">
        <v>84</v>
      </c>
      <c r="D34" s="60" t="str">
        <f>VLOOKUP(C34,[3]DSGV!$D$10:$S$97,16,0)</f>
        <v>B2</v>
      </c>
      <c r="E34" s="60" t="e">
        <f t="shared" ca="1" si="2"/>
        <v>#VALUE!</v>
      </c>
      <c r="F34" s="62">
        <v>700000</v>
      </c>
      <c r="G34" s="63"/>
      <c r="H34" s="62">
        <f t="shared" si="0"/>
        <v>0</v>
      </c>
      <c r="I34" s="62">
        <f t="shared" si="1"/>
        <v>700000</v>
      </c>
      <c r="J34" s="62"/>
      <c r="K34" s="62"/>
      <c r="L34" s="63"/>
      <c r="M34" s="63"/>
      <c r="N34" s="62">
        <f>VLOOKUP(C34,'[4]GV ('!$B$7:$H$68,4,0)</f>
        <v>1000000</v>
      </c>
      <c r="O34" s="71" t="e">
        <f t="shared" ca="1" si="3"/>
        <v>#VALUE!</v>
      </c>
      <c r="P34" s="62">
        <v>1000000</v>
      </c>
      <c r="T34" s="3">
        <f t="shared" si="4"/>
        <v>0</v>
      </c>
    </row>
    <row r="35" spans="2:20" s="3" customFormat="1" ht="21" customHeight="1">
      <c r="B35" s="41">
        <v>27</v>
      </c>
      <c r="C35" s="59" t="s">
        <v>86</v>
      </c>
      <c r="D35" s="60" t="str">
        <f>VLOOKUP(C35,[3]DSGV!$D$10:$S$97,16,0)</f>
        <v>B2</v>
      </c>
      <c r="E35" s="60" t="e">
        <f t="shared" ca="1" si="2"/>
        <v>#VALUE!</v>
      </c>
      <c r="F35" s="62">
        <v>700000</v>
      </c>
      <c r="G35" s="63">
        <v>57</v>
      </c>
      <c r="H35" s="62">
        <f t="shared" si="0"/>
        <v>5700000</v>
      </c>
      <c r="I35" s="62">
        <f t="shared" si="1"/>
        <v>6400000</v>
      </c>
      <c r="J35" s="62"/>
      <c r="K35" s="62"/>
      <c r="L35" s="63"/>
      <c r="M35" s="63"/>
      <c r="N35" s="62">
        <f>VLOOKUP(C35,'[4]GV ('!$B$7:$H$68,4,0)</f>
        <v>1000000</v>
      </c>
      <c r="O35" s="71" t="e">
        <f t="shared" ca="1" si="3"/>
        <v>#VALUE!</v>
      </c>
      <c r="P35" s="62">
        <v>5000000</v>
      </c>
      <c r="T35" s="3">
        <f t="shared" si="4"/>
        <v>0</v>
      </c>
    </row>
    <row r="36" spans="2:20" s="3" customFormat="1" ht="21" customHeight="1">
      <c r="B36" s="41">
        <v>28</v>
      </c>
      <c r="C36" s="59" t="s">
        <v>87</v>
      </c>
      <c r="D36" s="60" t="str">
        <f>VLOOKUP(C36,[3]DSGV!$D$10:$S$97,16,0)</f>
        <v>C</v>
      </c>
      <c r="E36" s="60" t="e">
        <f t="shared" ca="1" si="2"/>
        <v>#VALUE!</v>
      </c>
      <c r="F36" s="62">
        <v>700000</v>
      </c>
      <c r="G36" s="63"/>
      <c r="H36" s="62">
        <f t="shared" si="0"/>
        <v>0</v>
      </c>
      <c r="I36" s="62">
        <f t="shared" si="1"/>
        <v>700000</v>
      </c>
      <c r="J36" s="62"/>
      <c r="K36" s="62"/>
      <c r="L36" s="63">
        <f>VLOOKUP(C36,'[4]GV ('!$B$7:$H$68,6,0)</f>
        <v>0</v>
      </c>
      <c r="M36" s="63"/>
      <c r="N36" s="62">
        <f>VLOOKUP(C36,'[4]GV ('!$B$7:$H$68,4,0)</f>
        <v>5000000</v>
      </c>
      <c r="O36" s="71" t="e">
        <f t="shared" ca="1" si="3"/>
        <v>#VALUE!</v>
      </c>
      <c r="P36" s="62">
        <v>1000000</v>
      </c>
      <c r="T36" s="3">
        <f t="shared" si="4"/>
        <v>0</v>
      </c>
    </row>
    <row r="37" spans="2:20" s="3" customFormat="1" ht="21" customHeight="1">
      <c r="B37" s="41">
        <v>29</v>
      </c>
      <c r="C37" s="59" t="s">
        <v>88</v>
      </c>
      <c r="D37" s="60" t="str">
        <f>VLOOKUP(C37,[3]DSGV!$D$10:$S$97,16,0)</f>
        <v>B2</v>
      </c>
      <c r="E37" s="60" t="e">
        <f t="shared" ca="1" si="2"/>
        <v>#VALUE!</v>
      </c>
      <c r="F37" s="62">
        <v>700000</v>
      </c>
      <c r="G37" s="63"/>
      <c r="H37" s="62">
        <f t="shared" si="0"/>
        <v>0</v>
      </c>
      <c r="I37" s="62">
        <f t="shared" si="1"/>
        <v>700000</v>
      </c>
      <c r="J37" s="62"/>
      <c r="K37" s="62"/>
      <c r="L37" s="63"/>
      <c r="M37" s="63"/>
      <c r="N37" s="62">
        <f>VLOOKUP(C37,'[4]GV ('!$B$7:$H$68,4,0)</f>
        <v>1000000</v>
      </c>
      <c r="O37" s="71" t="e">
        <f t="shared" ca="1" si="3"/>
        <v>#VALUE!</v>
      </c>
      <c r="P37" s="62">
        <v>1000000</v>
      </c>
      <c r="T37" s="3">
        <f t="shared" si="4"/>
        <v>0</v>
      </c>
    </row>
    <row r="38" spans="2:20" s="3" customFormat="1" ht="21" customHeight="1">
      <c r="B38" s="41">
        <v>30</v>
      </c>
      <c r="C38" s="59" t="s">
        <v>89</v>
      </c>
      <c r="D38" s="60" t="str">
        <f>VLOOKUP(C38,[3]DSGV!$D$10:$S$97,16,0)</f>
        <v>B2</v>
      </c>
      <c r="E38" s="60" t="e">
        <f t="shared" ca="1" si="2"/>
        <v>#VALUE!</v>
      </c>
      <c r="F38" s="62">
        <v>700000</v>
      </c>
      <c r="G38" s="63">
        <v>17</v>
      </c>
      <c r="H38" s="62">
        <f t="shared" si="0"/>
        <v>1700000</v>
      </c>
      <c r="I38" s="62">
        <f t="shared" si="1"/>
        <v>2400000</v>
      </c>
      <c r="J38" s="62"/>
      <c r="K38" s="62"/>
      <c r="L38" s="63" t="str">
        <f>VLOOKUP(C38,'[4]GV ('!$B$7:$H$68,6,0)</f>
        <v>x</v>
      </c>
      <c r="M38" s="63">
        <f>VLOOKUP(C38,'[4]GV ('!$B$7:$H$68,7,0)</f>
        <v>0</v>
      </c>
      <c r="N38" s="62">
        <f>VLOOKUP(C38,'[4]GV ('!$B$7:$H$68,4,0)</f>
        <v>5000000</v>
      </c>
      <c r="O38" s="71" t="e">
        <f t="shared" ca="1" si="3"/>
        <v>#VALUE!</v>
      </c>
      <c r="P38" s="62">
        <v>5000000</v>
      </c>
    </row>
    <row r="39" spans="2:20" s="3" customFormat="1" ht="21" customHeight="1">
      <c r="B39" s="41">
        <v>31</v>
      </c>
      <c r="C39" s="59" t="s">
        <v>90</v>
      </c>
      <c r="D39" s="60" t="str">
        <f>VLOOKUP(C39,[3]DSGV!$D$10:$S$97,16,0)</f>
        <v>B2</v>
      </c>
      <c r="E39" s="60" t="e">
        <f t="shared" ca="1" si="2"/>
        <v>#VALUE!</v>
      </c>
      <c r="F39" s="62">
        <v>700000</v>
      </c>
      <c r="G39" s="63">
        <v>20</v>
      </c>
      <c r="H39" s="62">
        <f t="shared" si="0"/>
        <v>2000000</v>
      </c>
      <c r="I39" s="62">
        <f t="shared" si="1"/>
        <v>2700000</v>
      </c>
      <c r="J39" s="62"/>
      <c r="K39" s="62"/>
      <c r="L39" s="63"/>
      <c r="M39" s="63"/>
      <c r="N39" s="62">
        <f>VLOOKUP(C39,'[4]GV ('!$B$7:$H$68,4,0)</f>
        <v>1000000</v>
      </c>
      <c r="O39" s="71" t="e">
        <f t="shared" ca="1" si="3"/>
        <v>#VALUE!</v>
      </c>
      <c r="P39" s="62">
        <v>2500000</v>
      </c>
      <c r="T39" s="3">
        <f t="shared" si="4"/>
        <v>0</v>
      </c>
    </row>
    <row r="40" spans="2:20" s="3" customFormat="1" ht="21" customHeight="1">
      <c r="B40" s="41">
        <v>32</v>
      </c>
      <c r="C40" s="59" t="s">
        <v>92</v>
      </c>
      <c r="D40" s="60" t="str">
        <f>VLOOKUP(C40,[3]DSGV!$D$10:$S$97,16,0)</f>
        <v>B2</v>
      </c>
      <c r="E40" s="60" t="e">
        <f t="shared" ca="1" si="2"/>
        <v>#VALUE!</v>
      </c>
      <c r="F40" s="62">
        <v>700000</v>
      </c>
      <c r="G40" s="63">
        <v>4</v>
      </c>
      <c r="H40" s="62">
        <f t="shared" si="0"/>
        <v>400000</v>
      </c>
      <c r="I40" s="62">
        <f t="shared" si="1"/>
        <v>1100000</v>
      </c>
      <c r="J40" s="62"/>
      <c r="K40" s="62"/>
      <c r="L40" s="63"/>
      <c r="M40" s="63"/>
      <c r="N40" s="62">
        <f>VLOOKUP(C40,'[4]GV ('!$B$7:$H$68,4,0)</f>
        <v>500000</v>
      </c>
      <c r="O40" s="71" t="e">
        <f t="shared" ca="1" si="3"/>
        <v>#VALUE!</v>
      </c>
      <c r="P40" s="62">
        <v>1000000</v>
      </c>
      <c r="R40" s="3">
        <v>4</v>
      </c>
      <c r="S40" s="3">
        <v>16</v>
      </c>
      <c r="T40" s="3">
        <f t="shared" si="4"/>
        <v>20</v>
      </c>
    </row>
    <row r="41" spans="2:20" s="3" customFormat="1" ht="21" customHeight="1">
      <c r="B41" s="41">
        <v>33</v>
      </c>
      <c r="C41" s="59" t="s">
        <v>93</v>
      </c>
      <c r="D41" s="60" t="e">
        <f>VLOOKUP(C41,[3]DSGV!$D$10:$S$97,16,0)</f>
        <v>#N/A</v>
      </c>
      <c r="E41" s="60" t="e">
        <f t="shared" ca="1" si="2"/>
        <v>#N/A</v>
      </c>
      <c r="F41" s="62">
        <v>700000</v>
      </c>
      <c r="G41" s="63"/>
      <c r="H41" s="62">
        <f t="shared" si="0"/>
        <v>0</v>
      </c>
      <c r="I41" s="62">
        <f t="shared" si="1"/>
        <v>700000</v>
      </c>
      <c r="J41" s="62"/>
      <c r="K41" s="62"/>
      <c r="L41" s="63"/>
      <c r="M41" s="63"/>
      <c r="N41" s="62">
        <f>VLOOKUP(C41,'[4]GV ('!$B$7:$H$68,4,0)</f>
        <v>1000000</v>
      </c>
      <c r="O41" s="71" t="e">
        <f t="shared" ca="1" si="3"/>
        <v>#N/A</v>
      </c>
      <c r="P41" s="62">
        <v>1000000</v>
      </c>
      <c r="T41" s="3">
        <f t="shared" si="4"/>
        <v>0</v>
      </c>
    </row>
    <row r="42" spans="2:20" s="3" customFormat="1" ht="21" customHeight="1">
      <c r="B42" s="41">
        <v>34</v>
      </c>
      <c r="C42" s="59" t="s">
        <v>94</v>
      </c>
      <c r="D42" s="60" t="str">
        <f>VLOOKUP(C42,[3]DSGV!$D$10:$S$97,16,0)</f>
        <v>B2</v>
      </c>
      <c r="E42" s="60" t="e">
        <f t="shared" ca="1" si="2"/>
        <v>#VALUE!</v>
      </c>
      <c r="F42" s="62">
        <v>700000</v>
      </c>
      <c r="G42" s="63"/>
      <c r="H42" s="62">
        <f t="shared" si="0"/>
        <v>0</v>
      </c>
      <c r="I42" s="62">
        <f t="shared" si="1"/>
        <v>700000</v>
      </c>
      <c r="J42" s="62"/>
      <c r="K42" s="62"/>
      <c r="L42" s="63"/>
      <c r="M42" s="63"/>
      <c r="N42" s="62" t="e">
        <f>VLOOKUP(C42,'[4]GV ('!$B$7:$H$68,4,0)</f>
        <v>#N/A</v>
      </c>
      <c r="O42" s="71" t="e">
        <f t="shared" ca="1" si="3"/>
        <v>#VALUE!</v>
      </c>
      <c r="P42" s="62">
        <v>1000000</v>
      </c>
      <c r="T42" s="3">
        <f t="shared" si="4"/>
        <v>0</v>
      </c>
    </row>
    <row r="43" spans="2:20" s="3" customFormat="1" ht="21" customHeight="1">
      <c r="B43" s="41">
        <v>35</v>
      </c>
      <c r="C43" s="59" t="s">
        <v>95</v>
      </c>
      <c r="D43" s="60" t="str">
        <f>VLOOKUP(C43,[3]DSGV!$D$10:$S$97,16,0)</f>
        <v>B2</v>
      </c>
      <c r="E43" s="60" t="e">
        <f t="shared" ca="1" si="2"/>
        <v>#VALUE!</v>
      </c>
      <c r="F43" s="62">
        <v>700000</v>
      </c>
      <c r="G43" s="63">
        <v>3</v>
      </c>
      <c r="H43" s="62">
        <f t="shared" si="0"/>
        <v>300000</v>
      </c>
      <c r="I43" s="62">
        <f t="shared" si="1"/>
        <v>1000000</v>
      </c>
      <c r="J43" s="62"/>
      <c r="K43" s="62"/>
      <c r="L43" s="63"/>
      <c r="M43" s="63"/>
      <c r="N43" s="62">
        <f>VLOOKUP(C43,'[4]GV ('!$B$7:$H$68,4,0)</f>
        <v>2000000</v>
      </c>
      <c r="O43" s="71" t="e">
        <f t="shared" ca="1" si="3"/>
        <v>#VALUE!</v>
      </c>
      <c r="P43" s="62">
        <v>2000000</v>
      </c>
      <c r="T43" s="3">
        <f t="shared" si="4"/>
        <v>0</v>
      </c>
    </row>
    <row r="44" spans="2:20" s="3" customFormat="1" ht="21" customHeight="1">
      <c r="B44" s="41">
        <v>36</v>
      </c>
      <c r="C44" s="59" t="s">
        <v>96</v>
      </c>
      <c r="D44" s="60" t="str">
        <f>VLOOKUP(C44,[3]DSGV!$D$10:$S$97,16,0)</f>
        <v>C</v>
      </c>
      <c r="E44" s="60" t="e">
        <f t="shared" ca="1" si="2"/>
        <v>#VALUE!</v>
      </c>
      <c r="F44" s="62">
        <v>700000</v>
      </c>
      <c r="G44" s="63">
        <v>44</v>
      </c>
      <c r="H44" s="62">
        <f t="shared" si="0"/>
        <v>4400000</v>
      </c>
      <c r="I44" s="62">
        <f t="shared" si="1"/>
        <v>5100000</v>
      </c>
      <c r="J44" s="62"/>
      <c r="K44" s="62"/>
      <c r="L44" s="63">
        <f>VLOOKUP(C44,'[4]GV ('!$B$7:$H$68,6,0)</f>
        <v>0</v>
      </c>
      <c r="M44" s="63"/>
      <c r="N44" s="62">
        <f>VLOOKUP(C44,'[4]GV ('!$B$7:$H$68,4,0)</f>
        <v>5000000</v>
      </c>
      <c r="O44" s="71" t="e">
        <f t="shared" ca="1" si="3"/>
        <v>#VALUE!</v>
      </c>
      <c r="P44" s="62">
        <v>5000000</v>
      </c>
      <c r="R44" s="3">
        <v>4</v>
      </c>
      <c r="S44" s="3">
        <v>11</v>
      </c>
      <c r="T44" s="3">
        <f t="shared" si="4"/>
        <v>15</v>
      </c>
    </row>
    <row r="45" spans="2:20" s="3" customFormat="1" ht="21" customHeight="1">
      <c r="B45" s="41">
        <v>37</v>
      </c>
      <c r="C45" s="59" t="s">
        <v>97</v>
      </c>
      <c r="D45" s="60" t="str">
        <f>VLOOKUP(C45,[3]DSGV!$D$10:$S$97,16,0)</f>
        <v>D</v>
      </c>
      <c r="E45" s="60" t="e">
        <f t="shared" ca="1" si="2"/>
        <v>#VALUE!</v>
      </c>
      <c r="F45" s="62">
        <v>700000</v>
      </c>
      <c r="G45" s="63">
        <v>14</v>
      </c>
      <c r="H45" s="62">
        <f t="shared" si="0"/>
        <v>1400000</v>
      </c>
      <c r="I45" s="62">
        <f t="shared" si="1"/>
        <v>2100000</v>
      </c>
      <c r="J45" s="62"/>
      <c r="K45" s="62"/>
      <c r="L45" s="63">
        <f>VLOOKUP(C45,'[4]GV ('!$B$7:$H$68,6,0)</f>
        <v>0</v>
      </c>
      <c r="M45" s="63"/>
      <c r="N45" s="62">
        <f>VLOOKUP(C45,'[4]GV ('!$B$7:$H$68,4,0)</f>
        <v>5000000</v>
      </c>
      <c r="O45" s="71" t="e">
        <f t="shared" ca="1" si="3"/>
        <v>#VALUE!</v>
      </c>
      <c r="P45" s="62">
        <v>5000000</v>
      </c>
      <c r="R45" s="3">
        <v>3</v>
      </c>
      <c r="S45" s="3">
        <v>1</v>
      </c>
      <c r="T45" s="3">
        <f t="shared" si="4"/>
        <v>4</v>
      </c>
    </row>
    <row r="46" spans="2:20" s="3" customFormat="1" ht="21" customHeight="1">
      <c r="B46" s="41">
        <v>38</v>
      </c>
      <c r="C46" s="59" t="s">
        <v>98</v>
      </c>
      <c r="D46" s="60" t="str">
        <f>VLOOKUP(C46,[3]DSGV!$D$10:$S$97,16,0)</f>
        <v>B2</v>
      </c>
      <c r="E46" s="60" t="e">
        <f t="shared" ca="1" si="2"/>
        <v>#VALUE!</v>
      </c>
      <c r="F46" s="62">
        <v>700000</v>
      </c>
      <c r="G46" s="63">
        <v>35</v>
      </c>
      <c r="H46" s="62">
        <f t="shared" si="0"/>
        <v>3500000</v>
      </c>
      <c r="I46" s="62">
        <f t="shared" si="1"/>
        <v>4200000</v>
      </c>
      <c r="J46" s="62"/>
      <c r="K46" s="62"/>
      <c r="L46" s="63" t="str">
        <f>VLOOKUP(C46,'[4]GV ('!$B$7:$H$68,6,0)</f>
        <v>x</v>
      </c>
      <c r="M46" s="63">
        <f>VLOOKUP(C46,'[4]GV ('!$B$7:$H$68,7,0)</f>
        <v>0</v>
      </c>
      <c r="N46" s="62">
        <f>VLOOKUP(C46,'[4]GV ('!$B$7:$H$68,4,0)</f>
        <v>3000000</v>
      </c>
      <c r="O46" s="71" t="e">
        <f t="shared" ca="1" si="3"/>
        <v>#VALUE!</v>
      </c>
      <c r="P46" s="62">
        <v>3000000</v>
      </c>
      <c r="R46" s="3">
        <v>15</v>
      </c>
      <c r="S46" s="3">
        <v>45</v>
      </c>
      <c r="T46" s="3">
        <f t="shared" si="4"/>
        <v>60</v>
      </c>
    </row>
    <row r="47" spans="2:20" s="3" customFormat="1" ht="21" customHeight="1">
      <c r="B47" s="41">
        <v>39</v>
      </c>
      <c r="C47" s="59" t="s">
        <v>99</v>
      </c>
      <c r="D47" s="60" t="str">
        <f>VLOOKUP(C47,[3]DSGV!$D$10:$S$97,16,0)</f>
        <v>B2</v>
      </c>
      <c r="E47" s="60" t="e">
        <f t="shared" ca="1" si="2"/>
        <v>#VALUE!</v>
      </c>
      <c r="F47" s="62">
        <v>700000</v>
      </c>
      <c r="G47" s="63">
        <v>8</v>
      </c>
      <c r="H47" s="62">
        <f t="shared" si="0"/>
        <v>800000</v>
      </c>
      <c r="I47" s="62">
        <f t="shared" si="1"/>
        <v>1500000</v>
      </c>
      <c r="J47" s="62"/>
      <c r="K47" s="62"/>
      <c r="L47" s="63"/>
      <c r="M47" s="63"/>
      <c r="N47" s="62">
        <f>VLOOKUP(C47,'[4]GV ('!$B$7:$H$68,4,0)</f>
        <v>2000000</v>
      </c>
      <c r="O47" s="71" t="e">
        <f t="shared" ca="1" si="3"/>
        <v>#VALUE!</v>
      </c>
      <c r="P47" s="62">
        <v>2000000</v>
      </c>
      <c r="R47" s="3">
        <v>2</v>
      </c>
      <c r="S47" s="3">
        <v>6</v>
      </c>
      <c r="T47" s="3">
        <f t="shared" si="4"/>
        <v>8</v>
      </c>
    </row>
    <row r="48" spans="2:20" s="3" customFormat="1" ht="21" customHeight="1">
      <c r="B48" s="41">
        <v>40</v>
      </c>
      <c r="C48" s="59" t="s">
        <v>101</v>
      </c>
      <c r="D48" s="60" t="str">
        <f>VLOOKUP(C48,[3]DSGV!$D$10:$S$97,16,0)</f>
        <v>B2</v>
      </c>
      <c r="E48" s="60" t="e">
        <f t="shared" ca="1" si="2"/>
        <v>#VALUE!</v>
      </c>
      <c r="F48" s="62">
        <v>700000</v>
      </c>
      <c r="G48" s="63">
        <v>3</v>
      </c>
      <c r="H48" s="62">
        <f t="shared" si="0"/>
        <v>300000</v>
      </c>
      <c r="I48" s="62">
        <f t="shared" si="1"/>
        <v>1000000</v>
      </c>
      <c r="J48" s="62"/>
      <c r="K48" s="62"/>
      <c r="L48" s="63"/>
      <c r="M48" s="63"/>
      <c r="N48" s="62" t="e">
        <f>VLOOKUP(C48,'[4]GV ('!$B$7:$H$68,4,0)</f>
        <v>#N/A</v>
      </c>
      <c r="O48" s="71" t="e">
        <f t="shared" ca="1" si="3"/>
        <v>#VALUE!</v>
      </c>
      <c r="P48" s="62">
        <v>1000000</v>
      </c>
      <c r="T48" s="3">
        <f t="shared" si="4"/>
        <v>0</v>
      </c>
    </row>
    <row r="49" spans="2:20" s="3" customFormat="1" ht="21" customHeight="1">
      <c r="B49" s="41">
        <v>41</v>
      </c>
      <c r="C49" s="59" t="s">
        <v>103</v>
      </c>
      <c r="D49" s="60" t="str">
        <f>VLOOKUP(C49,[3]DSGV!$D$10:$S$97,16,0)</f>
        <v>C</v>
      </c>
      <c r="E49" s="60" t="e">
        <f t="shared" ca="1" si="2"/>
        <v>#VALUE!</v>
      </c>
      <c r="F49" s="62">
        <v>700000</v>
      </c>
      <c r="G49" s="63">
        <v>16</v>
      </c>
      <c r="H49" s="62">
        <f t="shared" si="0"/>
        <v>1600000</v>
      </c>
      <c r="I49" s="62">
        <f t="shared" si="1"/>
        <v>2300000</v>
      </c>
      <c r="J49" s="62"/>
      <c r="K49" s="62"/>
      <c r="L49" s="63">
        <f>VLOOKUP(C49,'[4]GV ('!$B$7:$H$68,6,0)</f>
        <v>0</v>
      </c>
      <c r="M49" s="63"/>
      <c r="N49" s="62">
        <f>VLOOKUP(C49,'[4]GV ('!$B$7:$H$68,4,0)</f>
        <v>500000</v>
      </c>
      <c r="O49" s="71" t="e">
        <f t="shared" ca="1" si="3"/>
        <v>#VALUE!</v>
      </c>
      <c r="P49" s="62">
        <v>1500000</v>
      </c>
      <c r="T49" s="3">
        <f t="shared" si="4"/>
        <v>0</v>
      </c>
    </row>
    <row r="50" spans="2:20" s="3" customFormat="1" ht="21" customHeight="1">
      <c r="B50" s="41">
        <v>42</v>
      </c>
      <c r="C50" s="59" t="s">
        <v>104</v>
      </c>
      <c r="D50" s="60" t="str">
        <f>VLOOKUP(C50,[3]DSGV!$D$10:$S$97,16,0)</f>
        <v>B2</v>
      </c>
      <c r="E50" s="60" t="e">
        <f t="shared" ca="1" si="2"/>
        <v>#VALUE!</v>
      </c>
      <c r="F50" s="62">
        <v>700000</v>
      </c>
      <c r="G50" s="63">
        <v>18</v>
      </c>
      <c r="H50" s="62">
        <f t="shared" si="0"/>
        <v>1800000</v>
      </c>
      <c r="I50" s="62">
        <f t="shared" si="1"/>
        <v>2500000</v>
      </c>
      <c r="J50" s="62"/>
      <c r="K50" s="62"/>
      <c r="L50" s="63"/>
      <c r="M50" s="63"/>
      <c r="N50" s="62">
        <f>VLOOKUP(C50,'[4]GV ('!$B$7:$H$68,4,0)</f>
        <v>1000000</v>
      </c>
      <c r="O50" s="71" t="e">
        <f t="shared" ca="1" si="3"/>
        <v>#VALUE!</v>
      </c>
      <c r="P50" s="62">
        <v>2000000</v>
      </c>
      <c r="S50" s="3">
        <v>4</v>
      </c>
      <c r="T50" s="3">
        <f t="shared" si="4"/>
        <v>4</v>
      </c>
    </row>
    <row r="51" spans="2:20" s="3" customFormat="1" ht="21" customHeight="1">
      <c r="B51" s="41">
        <v>43</v>
      </c>
      <c r="C51" s="59" t="s">
        <v>105</v>
      </c>
      <c r="D51" s="60" t="str">
        <f>VLOOKUP(C51,[3]DSGV!$D$10:$S$97,16,0)</f>
        <v>C</v>
      </c>
      <c r="E51" s="60" t="e">
        <f t="shared" ca="1" si="2"/>
        <v>#VALUE!</v>
      </c>
      <c r="F51" s="62">
        <v>700000</v>
      </c>
      <c r="G51" s="63">
        <v>54</v>
      </c>
      <c r="H51" s="62">
        <f t="shared" si="0"/>
        <v>5400000</v>
      </c>
      <c r="I51" s="62">
        <f t="shared" si="1"/>
        <v>6100000</v>
      </c>
      <c r="J51" s="62"/>
      <c r="K51" s="62"/>
      <c r="L51" s="63" t="str">
        <f>VLOOKUP(C51,'[4]GV ('!$B$7:$H$68,6,0)</f>
        <v>x</v>
      </c>
      <c r="M51" s="63">
        <f>VLOOKUP(C51,'[4]GV ('!$B$7:$H$68,7,0)</f>
        <v>0</v>
      </c>
      <c r="N51" s="62">
        <f>VLOOKUP(C51,'[4]GV ('!$B$7:$H$68,4,0)</f>
        <v>6000000</v>
      </c>
      <c r="O51" s="71" t="e">
        <f t="shared" ca="1" si="3"/>
        <v>#VALUE!</v>
      </c>
      <c r="P51" s="62">
        <v>6000000</v>
      </c>
    </row>
    <row r="52" spans="2:20" s="3" customFormat="1" ht="21" customHeight="1">
      <c r="B52" s="41">
        <v>44</v>
      </c>
      <c r="C52" s="59" t="s">
        <v>107</v>
      </c>
      <c r="D52" s="60" t="str">
        <f>VLOOKUP(C52,[3]DSGV!$D$10:$S$97,16,0)</f>
        <v>B2</v>
      </c>
      <c r="E52" s="60" t="e">
        <f t="shared" ca="1" si="2"/>
        <v>#VALUE!</v>
      </c>
      <c r="F52" s="62">
        <v>700000</v>
      </c>
      <c r="G52" s="63">
        <v>45</v>
      </c>
      <c r="H52" s="62">
        <f t="shared" si="0"/>
        <v>4500000</v>
      </c>
      <c r="I52" s="62">
        <f t="shared" si="1"/>
        <v>5200000</v>
      </c>
      <c r="J52" s="62"/>
      <c r="K52" s="62"/>
      <c r="L52" s="63"/>
      <c r="M52" s="63"/>
      <c r="N52" s="62">
        <f>VLOOKUP(C52,'[4]GV ('!$B$7:$H$68,4,0)</f>
        <v>1000000</v>
      </c>
      <c r="O52" s="71" t="e">
        <f t="shared" ca="1" si="3"/>
        <v>#VALUE!</v>
      </c>
      <c r="P52" s="62">
        <v>4000000</v>
      </c>
      <c r="T52" s="3">
        <f t="shared" si="4"/>
        <v>0</v>
      </c>
    </row>
    <row r="53" spans="2:20" s="3" customFormat="1" ht="21" customHeight="1">
      <c r="B53" s="41">
        <v>45</v>
      </c>
      <c r="C53" s="59" t="s">
        <v>108</v>
      </c>
      <c r="D53" s="60" t="str">
        <f>VLOOKUP(C53,[3]DSGV!$D$10:$S$97,16,0)</f>
        <v>B2</v>
      </c>
      <c r="E53" s="60" t="e">
        <f t="shared" ca="1" si="2"/>
        <v>#VALUE!</v>
      </c>
      <c r="F53" s="62">
        <v>700000</v>
      </c>
      <c r="G53" s="63">
        <v>62</v>
      </c>
      <c r="H53" s="62">
        <f t="shared" si="0"/>
        <v>6200000</v>
      </c>
      <c r="I53" s="62">
        <f t="shared" si="1"/>
        <v>6900000</v>
      </c>
      <c r="J53" s="62"/>
      <c r="K53" s="62"/>
      <c r="L53" s="63"/>
      <c r="M53" s="63"/>
      <c r="N53" s="62">
        <f>VLOOKUP(C53,'[4]GV ('!$B$7:$H$68,4,0)</f>
        <v>2000000</v>
      </c>
      <c r="O53" s="71" t="e">
        <f t="shared" ca="1" si="3"/>
        <v>#VALUE!</v>
      </c>
      <c r="P53" s="62">
        <v>5000000</v>
      </c>
      <c r="S53" s="3">
        <v>4</v>
      </c>
      <c r="T53" s="3">
        <f t="shared" si="4"/>
        <v>4</v>
      </c>
    </row>
    <row r="54" spans="2:20" s="3" customFormat="1" ht="21" customHeight="1">
      <c r="B54" s="41">
        <v>46</v>
      </c>
      <c r="C54" s="59" t="s">
        <v>109</v>
      </c>
      <c r="D54" s="60" t="str">
        <f>VLOOKUP(C54,[3]DSGV!$D$10:$S$97,16,0)</f>
        <v>D</v>
      </c>
      <c r="E54" s="60" t="e">
        <f t="shared" ca="1" si="2"/>
        <v>#VALUE!</v>
      </c>
      <c r="F54" s="62">
        <v>700000</v>
      </c>
      <c r="G54" s="63">
        <v>1</v>
      </c>
      <c r="H54" s="62">
        <f t="shared" si="0"/>
        <v>100000</v>
      </c>
      <c r="I54" s="62">
        <f t="shared" si="1"/>
        <v>800000</v>
      </c>
      <c r="J54" s="62"/>
      <c r="K54" s="62"/>
      <c r="L54" s="63"/>
      <c r="M54" s="63"/>
      <c r="N54" s="62">
        <f>VLOOKUP(C54,'[4]GV ('!$B$7:$H$68,4,0)</f>
        <v>1000000</v>
      </c>
      <c r="O54" s="71" t="e">
        <f t="shared" ca="1" si="3"/>
        <v>#VALUE!</v>
      </c>
      <c r="P54" s="62">
        <v>2500000</v>
      </c>
      <c r="T54" s="3">
        <f t="shared" si="4"/>
        <v>0</v>
      </c>
    </row>
    <row r="55" spans="2:20" s="3" customFormat="1" ht="21" customHeight="1">
      <c r="B55" s="41">
        <v>47</v>
      </c>
      <c r="C55" s="64" t="s">
        <v>110</v>
      </c>
      <c r="D55" s="60" t="str">
        <f>VLOOKUP(C55,[3]DSGV!$D$10:$S$97,16,0)</f>
        <v>C</v>
      </c>
      <c r="E55" s="60" t="e">
        <f t="shared" ca="1" si="2"/>
        <v>#VALUE!</v>
      </c>
      <c r="F55" s="62">
        <v>700000</v>
      </c>
      <c r="G55" s="63">
        <v>6</v>
      </c>
      <c r="H55" s="62">
        <f t="shared" si="0"/>
        <v>600000</v>
      </c>
      <c r="I55" s="62">
        <f t="shared" si="1"/>
        <v>1300000</v>
      </c>
      <c r="J55" s="62"/>
      <c r="K55" s="62"/>
      <c r="L55" s="63">
        <f>VLOOKUP(C55,'[4]GV ('!$B$7:$H$68,6,0)</f>
        <v>0</v>
      </c>
      <c r="M55" s="63"/>
      <c r="N55" s="62">
        <f>VLOOKUP(C55,'[4]GV ('!$B$7:$H$68,4,0)</f>
        <v>1000000</v>
      </c>
      <c r="O55" s="71" t="e">
        <f t="shared" ca="1" si="3"/>
        <v>#VALUE!</v>
      </c>
      <c r="P55" s="62">
        <v>1500000</v>
      </c>
      <c r="R55" s="3">
        <v>3</v>
      </c>
      <c r="S55" s="3">
        <v>12</v>
      </c>
      <c r="T55" s="3">
        <f t="shared" si="4"/>
        <v>15</v>
      </c>
    </row>
    <row r="56" spans="2:20" s="3" customFormat="1" ht="21" customHeight="1">
      <c r="B56" s="41">
        <v>48</v>
      </c>
      <c r="C56" s="66" t="s">
        <v>111</v>
      </c>
      <c r="D56" s="60" t="str">
        <f>VLOOKUP(C56,[3]DSGV!$D$10:$S$97,16,0)</f>
        <v>CE</v>
      </c>
      <c r="E56" s="60" t="e">
        <f t="shared" ca="1" si="2"/>
        <v>#VALUE!</v>
      </c>
      <c r="F56" s="67">
        <v>700000</v>
      </c>
      <c r="G56" s="65"/>
      <c r="H56" s="67">
        <f t="shared" si="0"/>
        <v>0</v>
      </c>
      <c r="I56" s="67">
        <f t="shared" si="1"/>
        <v>700000</v>
      </c>
      <c r="J56" s="62"/>
      <c r="K56" s="62"/>
      <c r="L56" s="63"/>
      <c r="M56" s="63"/>
      <c r="N56" s="62" t="e">
        <f>VLOOKUP(C56,'[4]GV ('!$B$7:$H$68,4,0)</f>
        <v>#N/A</v>
      </c>
      <c r="O56" s="71" t="e">
        <f t="shared" ca="1" si="3"/>
        <v>#VALUE!</v>
      </c>
      <c r="P56" s="62">
        <v>1500000</v>
      </c>
      <c r="R56" s="3">
        <v>4</v>
      </c>
      <c r="S56" s="3">
        <v>11</v>
      </c>
      <c r="T56" s="3">
        <f t="shared" si="4"/>
        <v>15</v>
      </c>
    </row>
    <row r="57" spans="2:20" s="3" customFormat="1" ht="21" customHeight="1">
      <c r="B57" s="41">
        <v>49</v>
      </c>
      <c r="C57" s="66" t="s">
        <v>112</v>
      </c>
      <c r="D57" s="60" t="str">
        <f>VLOOKUP(C57,[3]DSGV!$D$10:$S$97,16,0)</f>
        <v>D,CE</v>
      </c>
      <c r="E57" s="60" t="e">
        <f t="shared" ca="1" si="2"/>
        <v>#VALUE!</v>
      </c>
      <c r="F57" s="61">
        <v>700000</v>
      </c>
      <c r="G57" s="18">
        <v>27</v>
      </c>
      <c r="H57" s="62">
        <f t="shared" si="0"/>
        <v>2700000</v>
      </c>
      <c r="I57" s="62">
        <f t="shared" si="1"/>
        <v>3400000</v>
      </c>
      <c r="J57" s="62"/>
      <c r="K57" s="62"/>
      <c r="L57" s="63" t="str">
        <f>VLOOKUP(C57,'[4]GV ('!$B$7:$H$68,6,0)</f>
        <v>x</v>
      </c>
      <c r="M57" s="63">
        <f>VLOOKUP(C57,'[4]GV ('!$B$7:$H$68,7,0)</f>
        <v>0</v>
      </c>
      <c r="N57" s="62">
        <f>VLOOKUP(C57,'[4]GV ('!$B$7:$H$68,4,0)</f>
        <v>3000000</v>
      </c>
      <c r="O57" s="71" t="e">
        <f t="shared" ca="1" si="3"/>
        <v>#VALUE!</v>
      </c>
      <c r="P57" s="62">
        <v>3000000</v>
      </c>
      <c r="T57" s="3">
        <f t="shared" si="4"/>
        <v>0</v>
      </c>
    </row>
    <row r="58" spans="2:20" s="3" customFormat="1" ht="21" customHeight="1">
      <c r="B58" s="41">
        <v>50</v>
      </c>
      <c r="C58" s="66" t="s">
        <v>114</v>
      </c>
      <c r="D58" s="60" t="str">
        <f>VLOOKUP(C58,[3]DSGV!$D$10:$S$97,16,0)</f>
        <v>C</v>
      </c>
      <c r="E58" s="60" t="e">
        <f t="shared" ca="1" si="2"/>
        <v>#VALUE!</v>
      </c>
      <c r="F58" s="61">
        <v>700000</v>
      </c>
      <c r="G58" s="18">
        <v>4</v>
      </c>
      <c r="H58" s="62">
        <f t="shared" si="0"/>
        <v>400000</v>
      </c>
      <c r="I58" s="62">
        <f t="shared" si="1"/>
        <v>1100000</v>
      </c>
      <c r="J58" s="62"/>
      <c r="K58" s="62"/>
      <c r="L58" s="63"/>
      <c r="M58" s="63"/>
      <c r="N58" s="62" t="e">
        <f>VLOOKUP(C58,'[4]GV ('!$B$7:$H$68,4,0)</f>
        <v>#N/A</v>
      </c>
      <c r="O58" s="71" t="e">
        <f t="shared" ca="1" si="3"/>
        <v>#VALUE!</v>
      </c>
      <c r="P58" s="62">
        <v>1500000</v>
      </c>
      <c r="R58" s="3">
        <v>9</v>
      </c>
      <c r="S58" s="3">
        <v>18</v>
      </c>
      <c r="T58" s="3">
        <f t="shared" si="4"/>
        <v>27</v>
      </c>
    </row>
    <row r="59" spans="2:20" s="3" customFormat="1" ht="21" customHeight="1">
      <c r="B59" s="41">
        <v>51</v>
      </c>
      <c r="C59" s="66" t="s">
        <v>115</v>
      </c>
      <c r="D59" s="60" t="str">
        <f>VLOOKUP(C59,[3]DSGV!$D$10:$S$97,16,0)</f>
        <v>B2</v>
      </c>
      <c r="E59" s="60" t="e">
        <f t="shared" ca="1" si="2"/>
        <v>#VALUE!</v>
      </c>
      <c r="F59" s="61">
        <v>700000</v>
      </c>
      <c r="G59" s="18">
        <v>4</v>
      </c>
      <c r="H59" s="62">
        <f t="shared" si="0"/>
        <v>400000</v>
      </c>
      <c r="I59" s="62">
        <f t="shared" si="1"/>
        <v>1100000</v>
      </c>
      <c r="J59" s="62"/>
      <c r="K59" s="62"/>
      <c r="L59" s="63">
        <f>VLOOKUP(C59,'[4]GV ('!$B$7:$H$68,6,0)</f>
        <v>0</v>
      </c>
      <c r="M59" s="63"/>
      <c r="N59" s="62">
        <f>VLOOKUP(C59,'[4]GV ('!$B$7:$H$68,4,0)</f>
        <v>3000000</v>
      </c>
      <c r="O59" s="71" t="e">
        <f t="shared" ca="1" si="3"/>
        <v>#VALUE!</v>
      </c>
      <c r="P59" s="62">
        <v>3000000</v>
      </c>
      <c r="R59" s="3">
        <v>1</v>
      </c>
      <c r="S59" s="3">
        <v>17</v>
      </c>
      <c r="T59" s="3">
        <f t="shared" si="4"/>
        <v>18</v>
      </c>
    </row>
    <row r="60" spans="2:20" s="3" customFormat="1" ht="21" customHeight="1">
      <c r="B60" s="41">
        <v>52</v>
      </c>
      <c r="C60" s="66" t="s">
        <v>116</v>
      </c>
      <c r="D60" s="60" t="str">
        <f>VLOOKUP(C60,[3]DSGV!$D$10:$S$97,16,0)</f>
        <v>CE</v>
      </c>
      <c r="E60" s="60" t="e">
        <f t="shared" ca="1" si="2"/>
        <v>#VALUE!</v>
      </c>
      <c r="F60" s="61">
        <v>700000</v>
      </c>
      <c r="G60" s="18">
        <v>21</v>
      </c>
      <c r="H60" s="62">
        <f t="shared" si="0"/>
        <v>2100000</v>
      </c>
      <c r="I60" s="62">
        <f t="shared" si="1"/>
        <v>2800000</v>
      </c>
      <c r="J60" s="62"/>
      <c r="K60" s="62"/>
      <c r="L60" s="63" t="str">
        <f>VLOOKUP(C60,'[4]GV ('!$B$7:$H$68,6,0)</f>
        <v>x</v>
      </c>
      <c r="M60" s="63">
        <f>VLOOKUP(C60,'[4]GV ('!$B$7:$H$68,7,0)</f>
        <v>0</v>
      </c>
      <c r="N60" s="62">
        <f>VLOOKUP(C60,'[4]GV ('!$B$7:$H$68,4,0)</f>
        <v>6000000</v>
      </c>
      <c r="O60" s="71" t="e">
        <f t="shared" ca="1" si="3"/>
        <v>#VALUE!</v>
      </c>
      <c r="P60" s="62">
        <v>6000000</v>
      </c>
    </row>
    <row r="61" spans="2:20" s="3" customFormat="1" ht="21" customHeight="1">
      <c r="B61" s="41">
        <v>53</v>
      </c>
      <c r="C61" s="66" t="s">
        <v>117</v>
      </c>
      <c r="D61" s="60" t="str">
        <f>VLOOKUP(C61,[3]DSGV!$D$10:$S$97,16,0)</f>
        <v>C</v>
      </c>
      <c r="E61" s="60" t="e">
        <f t="shared" ca="1" si="2"/>
        <v>#VALUE!</v>
      </c>
      <c r="F61" s="61">
        <v>700000</v>
      </c>
      <c r="G61" s="18">
        <v>13</v>
      </c>
      <c r="H61" s="62">
        <f t="shared" si="0"/>
        <v>1300000</v>
      </c>
      <c r="I61" s="62">
        <f t="shared" si="1"/>
        <v>2000000</v>
      </c>
      <c r="J61" s="62"/>
      <c r="K61" s="62"/>
      <c r="L61" s="63" t="str">
        <f>VLOOKUP(C61,'[4]GV ('!$B$7:$H$68,6,0)</f>
        <v>x</v>
      </c>
      <c r="M61" s="63">
        <f>VLOOKUP(C61,'[4]GV ('!$B$7:$H$68,7,0)</f>
        <v>0</v>
      </c>
      <c r="N61" s="62">
        <f>VLOOKUP(C61,'[4]GV ('!$B$7:$H$68,4,0)</f>
        <v>6000000</v>
      </c>
      <c r="O61" s="71" t="e">
        <f t="shared" ca="1" si="3"/>
        <v>#VALUE!</v>
      </c>
      <c r="P61" s="62">
        <v>6000000</v>
      </c>
    </row>
    <row r="62" spans="2:20" s="3" customFormat="1" ht="21" customHeight="1">
      <c r="B62" s="41">
        <v>54</v>
      </c>
      <c r="C62" s="66" t="s">
        <v>118</v>
      </c>
      <c r="D62" s="60" t="str">
        <f>VLOOKUP(C62,[3]DSGV!$D$10:$S$97,16,0)</f>
        <v>A2,E</v>
      </c>
      <c r="E62" s="60" t="e">
        <f t="shared" ca="1" si="2"/>
        <v>#VALUE!</v>
      </c>
      <c r="F62" s="61">
        <v>700000</v>
      </c>
      <c r="G62" s="18"/>
      <c r="H62" s="62">
        <f t="shared" si="0"/>
        <v>0</v>
      </c>
      <c r="I62" s="62">
        <f t="shared" si="1"/>
        <v>700000</v>
      </c>
      <c r="J62" s="62"/>
      <c r="K62" s="62"/>
      <c r="L62" s="63"/>
      <c r="M62" s="63"/>
      <c r="N62" s="62">
        <f>VLOOKUP(C62,'[4]GV ('!$B$7:$H$68,4,0)</f>
        <v>1000000</v>
      </c>
      <c r="O62" s="71" t="e">
        <f t="shared" ca="1" si="3"/>
        <v>#VALUE!</v>
      </c>
      <c r="P62" s="62">
        <v>1000000</v>
      </c>
      <c r="R62" s="3">
        <v>17</v>
      </c>
      <c r="S62" s="3">
        <v>64</v>
      </c>
      <c r="T62" s="3">
        <f t="shared" si="4"/>
        <v>81</v>
      </c>
    </row>
    <row r="63" spans="2:20" s="3" customFormat="1" ht="21" customHeight="1">
      <c r="B63" s="41">
        <v>55</v>
      </c>
      <c r="C63" s="66" t="s">
        <v>119</v>
      </c>
      <c r="D63" s="60" t="str">
        <f>VLOOKUP(C63,[3]DSGV!$D$10:$S$97,16,0)</f>
        <v>C</v>
      </c>
      <c r="E63" s="60" t="e">
        <f t="shared" ca="1" si="2"/>
        <v>#VALUE!</v>
      </c>
      <c r="F63" s="61">
        <v>700000</v>
      </c>
      <c r="G63" s="18">
        <v>81</v>
      </c>
      <c r="H63" s="62">
        <f t="shared" si="0"/>
        <v>8100000</v>
      </c>
      <c r="I63" s="62">
        <f t="shared" si="1"/>
        <v>8800000</v>
      </c>
      <c r="J63" s="62"/>
      <c r="K63" s="62"/>
      <c r="L63" s="63" t="s">
        <v>189</v>
      </c>
      <c r="M63" s="63" t="s">
        <v>189</v>
      </c>
      <c r="N63" s="62">
        <f>VLOOKUP(C63,'[4]GV ('!$B$7:$H$68,4,0)</f>
        <v>6000000</v>
      </c>
      <c r="O63" s="71" t="e">
        <f t="shared" ca="1" si="3"/>
        <v>#VALUE!</v>
      </c>
      <c r="P63" s="62">
        <v>6000000</v>
      </c>
    </row>
    <row r="64" spans="2:20" s="3" customFormat="1" ht="21" customHeight="1">
      <c r="B64" s="41">
        <v>56</v>
      </c>
      <c r="C64" s="66" t="s">
        <v>120</v>
      </c>
      <c r="D64" s="60" t="str">
        <f>VLOOKUP(C64,[3]DSGV!$D$10:$S$97,16,0)</f>
        <v>C</v>
      </c>
      <c r="E64" s="60" t="e">
        <f t="shared" ca="1" si="2"/>
        <v>#VALUE!</v>
      </c>
      <c r="F64" s="61">
        <v>700000</v>
      </c>
      <c r="G64" s="18">
        <v>15</v>
      </c>
      <c r="H64" s="62">
        <f t="shared" si="0"/>
        <v>1500000</v>
      </c>
      <c r="I64" s="62">
        <f t="shared" si="1"/>
        <v>2200000</v>
      </c>
      <c r="J64" s="62"/>
      <c r="K64" s="62"/>
      <c r="L64" s="63"/>
      <c r="M64" s="63"/>
      <c r="N64" s="62" t="e">
        <f>VLOOKUP(C64,'[4]GV ('!$B$7:$H$68,4,0)</f>
        <v>#N/A</v>
      </c>
      <c r="O64" s="71" t="e">
        <f t="shared" ca="1" si="3"/>
        <v>#VALUE!</v>
      </c>
      <c r="P64" s="62">
        <v>2000000</v>
      </c>
      <c r="S64" s="3">
        <v>1</v>
      </c>
      <c r="T64" s="3">
        <f t="shared" si="4"/>
        <v>1</v>
      </c>
    </row>
    <row r="65" spans="2:20" s="3" customFormat="1" ht="21" customHeight="1">
      <c r="B65" s="41">
        <v>57</v>
      </c>
      <c r="C65" s="73" t="s">
        <v>41</v>
      </c>
      <c r="D65" s="60" t="e">
        <f>VLOOKUP(C65,[3]DSGV!$D$10:$S$97,16,0)</f>
        <v>#N/A</v>
      </c>
      <c r="E65" s="60" t="s">
        <v>243</v>
      </c>
      <c r="F65" s="67"/>
      <c r="G65" s="65">
        <v>22</v>
      </c>
      <c r="H65" s="67">
        <f t="shared" si="0"/>
        <v>2200000</v>
      </c>
      <c r="I65" s="67">
        <f t="shared" si="1"/>
        <v>2200000</v>
      </c>
      <c r="J65" s="62"/>
      <c r="K65" s="62"/>
      <c r="L65" s="63"/>
      <c r="M65" s="63"/>
      <c r="N65" s="62" t="e">
        <f>VLOOKUP(C65,'[4]GV ('!$B$7:$H$68,4,0)</f>
        <v>#N/A</v>
      </c>
      <c r="O65" s="71" t="e">
        <f t="shared" ca="1" si="3"/>
        <v>#N/A</v>
      </c>
      <c r="P65" s="62">
        <v>2000000</v>
      </c>
      <c r="S65" s="3">
        <v>16</v>
      </c>
      <c r="T65" s="3">
        <f t="shared" si="4"/>
        <v>16</v>
      </c>
    </row>
    <row r="66" spans="2:20" s="3" customFormat="1" ht="21" customHeight="1">
      <c r="B66" s="41">
        <v>58</v>
      </c>
      <c r="C66" s="74" t="s">
        <v>38</v>
      </c>
      <c r="D66" s="60" t="e">
        <f>VLOOKUP(C66,[3]DSGV!$D$10:$S$97,16,0)</f>
        <v>#N/A</v>
      </c>
      <c r="E66" s="60" t="s">
        <v>243</v>
      </c>
      <c r="F66" s="61"/>
      <c r="G66" s="18">
        <v>11</v>
      </c>
      <c r="H66" s="62">
        <f t="shared" si="0"/>
        <v>1100000</v>
      </c>
      <c r="I66" s="62">
        <f t="shared" si="1"/>
        <v>1100000</v>
      </c>
      <c r="J66" s="62"/>
      <c r="K66" s="62"/>
      <c r="L66" s="63"/>
      <c r="M66" s="63"/>
      <c r="N66" s="62" t="e">
        <f>VLOOKUP(C66,'[4]GV ('!$B$7:$H$68,4,0)</f>
        <v>#N/A</v>
      </c>
      <c r="O66" s="71" t="e">
        <f t="shared" ca="1" si="3"/>
        <v>#N/A</v>
      </c>
      <c r="P66" s="62">
        <v>4000000</v>
      </c>
      <c r="S66" s="3">
        <v>2</v>
      </c>
      <c r="T66" s="3">
        <f t="shared" si="4"/>
        <v>2</v>
      </c>
    </row>
    <row r="67" spans="2:20" s="3" customFormat="1" ht="24" customHeight="1">
      <c r="B67" s="41">
        <v>59</v>
      </c>
      <c r="C67" s="75" t="s">
        <v>134</v>
      </c>
      <c r="D67" s="60" t="str">
        <f>VLOOKUP(C67,[3]DSGV!$D$10:$S$97,16,0)</f>
        <v>B2</v>
      </c>
      <c r="E67" s="60" t="e">
        <f t="shared" ca="1" si="2"/>
        <v>#VALUE!</v>
      </c>
      <c r="F67" s="61"/>
      <c r="G67" s="18">
        <v>66</v>
      </c>
      <c r="H67" s="62"/>
      <c r="I67" s="62"/>
      <c r="J67" s="62"/>
      <c r="K67" s="62"/>
      <c r="L67" s="63"/>
      <c r="M67" s="63"/>
      <c r="N67" s="62">
        <f>VLOOKUP(C67,'[4]GV ('!$B$7:$H$68,4,0)</f>
        <v>500000</v>
      </c>
      <c r="O67" s="71" t="e">
        <f t="shared" ca="1" si="3"/>
        <v>#VALUE!</v>
      </c>
      <c r="P67" s="62">
        <v>4000000</v>
      </c>
    </row>
    <row r="68" spans="2:20" s="3" customFormat="1" ht="24" customHeight="1">
      <c r="B68" s="41">
        <v>60</v>
      </c>
      <c r="C68" s="76" t="s">
        <v>124</v>
      </c>
      <c r="D68" s="60" t="str">
        <f>VLOOKUP(C68,[3]DSGV!$D$10:$S$97,16,0)</f>
        <v>C</v>
      </c>
      <c r="E68" s="60" t="e">
        <f t="shared" ca="1" si="2"/>
        <v>#VALUE!</v>
      </c>
      <c r="F68" s="61"/>
      <c r="G68" s="18">
        <v>16</v>
      </c>
      <c r="H68" s="62"/>
      <c r="I68" s="62"/>
      <c r="J68" s="62"/>
      <c r="K68" s="62"/>
      <c r="L68" s="63" t="s">
        <v>189</v>
      </c>
      <c r="M68" s="63" t="s">
        <v>189</v>
      </c>
      <c r="N68" s="62">
        <f>VLOOKUP(C68,'[4]GV ('!$B$7:$H$68,4,0)</f>
        <v>5000000</v>
      </c>
      <c r="O68" s="71" t="e">
        <f t="shared" ca="1" si="3"/>
        <v>#VALUE!</v>
      </c>
      <c r="P68" s="62">
        <v>5000000</v>
      </c>
    </row>
    <row r="69" spans="2:20" s="3" customFormat="1" ht="24" customHeight="1">
      <c r="B69" s="41">
        <v>61</v>
      </c>
      <c r="C69" s="76" t="s">
        <v>135</v>
      </c>
      <c r="D69" s="60" t="str">
        <f>VLOOKUP(C69,[3]DSGV!$D$10:$S$97,16,0)</f>
        <v>C</v>
      </c>
      <c r="E69" s="60" t="e">
        <f t="shared" ca="1" si="2"/>
        <v>#VALUE!</v>
      </c>
      <c r="F69" s="61"/>
      <c r="G69" s="18">
        <v>11</v>
      </c>
      <c r="H69" s="62"/>
      <c r="I69" s="62"/>
      <c r="J69" s="62"/>
      <c r="K69" s="62"/>
      <c r="L69" s="63">
        <f>VLOOKUP(C69,'[4]GV ('!$B$7:$H$68,6,0)</f>
        <v>0</v>
      </c>
      <c r="M69" s="63"/>
      <c r="N69" s="62">
        <f>VLOOKUP(C69,'[4]GV ('!$B$7:$H$68,4,0)</f>
        <v>1000000</v>
      </c>
      <c r="O69" s="71" t="e">
        <f t="shared" ca="1" si="3"/>
        <v>#VALUE!</v>
      </c>
      <c r="P69" s="62">
        <v>2000000</v>
      </c>
    </row>
    <row r="70" spans="2:20" s="3" customFormat="1" ht="24" customHeight="1">
      <c r="B70" s="41">
        <v>62</v>
      </c>
      <c r="C70" s="76" t="s">
        <v>137</v>
      </c>
      <c r="D70" s="60" t="str">
        <f>VLOOKUP(C70,[3]DSGV!$D$10:$S$97,16,0)</f>
        <v>B2</v>
      </c>
      <c r="E70" s="60" t="e">
        <f t="shared" ca="1" si="2"/>
        <v>#VALUE!</v>
      </c>
      <c r="F70" s="61"/>
      <c r="G70" s="18">
        <v>3</v>
      </c>
      <c r="H70" s="62"/>
      <c r="I70" s="62"/>
      <c r="J70" s="62"/>
      <c r="K70" s="62"/>
      <c r="L70" s="63" t="str">
        <f>VLOOKUP(C70,'[4]GV ('!$B$7:$H$68,6,0)</f>
        <v>x</v>
      </c>
      <c r="M70" s="63">
        <f>VLOOKUP(C70,'[4]GV ('!$B$7:$H$68,7,0)</f>
        <v>0</v>
      </c>
      <c r="N70" s="62">
        <f>VLOOKUP(C70,'[4]GV ('!$B$7:$H$68,4,0)</f>
        <v>3000000</v>
      </c>
      <c r="O70" s="71" t="e">
        <f t="shared" ca="1" si="3"/>
        <v>#VALUE!</v>
      </c>
      <c r="P70" s="62">
        <v>1000000</v>
      </c>
      <c r="Q70" s="3" t="s">
        <v>232</v>
      </c>
    </row>
    <row r="71" spans="2:20" s="3" customFormat="1" ht="24" customHeight="1">
      <c r="B71" s="41">
        <v>63</v>
      </c>
      <c r="C71" s="76" t="s">
        <v>142</v>
      </c>
      <c r="D71" s="60" t="str">
        <f>VLOOKUP(C71,[3]DSGV!$D$10:$S$97,16,0)</f>
        <v>B2</v>
      </c>
      <c r="E71" s="60" t="e">
        <f t="shared" ref="E71:E78" ca="1" si="5">DATEDIF(D71,TODAY(),"Y")&amp;" Năm "&amp;DATEDIF(D71,TODAY(),"YM")&amp;" Tháng"</f>
        <v>#VALUE!</v>
      </c>
      <c r="F71" s="61"/>
      <c r="G71" s="18">
        <v>2</v>
      </c>
      <c r="H71" s="62"/>
      <c r="I71" s="62"/>
      <c r="J71" s="62"/>
      <c r="K71" s="62"/>
      <c r="L71" s="63"/>
      <c r="M71" s="63"/>
      <c r="N71" s="62">
        <f>VLOOKUP(C71,'[4]GV ('!$B$7:$H$68,4,0)</f>
        <v>500000</v>
      </c>
      <c r="O71" s="71" t="e">
        <f t="shared" ref="O71:O78" ca="1" si="6">IF(DATEDIF(D71,TODAY(),"y")&lt;1,1000000,IF(DATEDIF(D71,TODAY(),"y")&lt;=3,3000000,6000000))</f>
        <v>#VALUE!</v>
      </c>
      <c r="P71" s="62">
        <v>500000</v>
      </c>
    </row>
    <row r="72" spans="2:20" s="3" customFormat="1" ht="24" customHeight="1">
      <c r="B72" s="41">
        <v>64</v>
      </c>
      <c r="C72" s="76" t="s">
        <v>143</v>
      </c>
      <c r="D72" s="60" t="str">
        <f>VLOOKUP(C72,[3]DSGV!$D$10:$S$97,16,0)</f>
        <v>D</v>
      </c>
      <c r="E72" s="60" t="e">
        <f t="shared" ca="1" si="5"/>
        <v>#VALUE!</v>
      </c>
      <c r="F72" s="61"/>
      <c r="G72" s="18">
        <v>5</v>
      </c>
      <c r="H72" s="62"/>
      <c r="I72" s="62"/>
      <c r="J72" s="62"/>
      <c r="K72" s="62"/>
      <c r="L72" s="63">
        <f>VLOOKUP(C72,'[4]GV ('!$B$7:$H$68,6,0)</f>
        <v>0</v>
      </c>
      <c r="M72" s="63" t="s">
        <v>189</v>
      </c>
      <c r="N72" s="62">
        <f>VLOOKUP(C72,'[4]GV ('!$B$7:$H$68,4,0)</f>
        <v>7000000</v>
      </c>
      <c r="O72" s="71" t="e">
        <f t="shared" ca="1" si="6"/>
        <v>#VALUE!</v>
      </c>
      <c r="P72" s="62">
        <v>5000000</v>
      </c>
    </row>
    <row r="73" spans="2:20" s="3" customFormat="1" ht="24" customHeight="1">
      <c r="B73" s="41">
        <v>65</v>
      </c>
      <c r="C73" s="76" t="s">
        <v>144</v>
      </c>
      <c r="D73" s="60" t="str">
        <f>VLOOKUP(C73,[3]DSGV!$D$10:$S$97,16,0)</f>
        <v>C</v>
      </c>
      <c r="E73" s="60" t="e">
        <f t="shared" ca="1" si="5"/>
        <v>#VALUE!</v>
      </c>
      <c r="F73" s="61"/>
      <c r="G73" s="18">
        <v>7</v>
      </c>
      <c r="H73" s="62"/>
      <c r="I73" s="62"/>
      <c r="J73" s="62"/>
      <c r="K73" s="62"/>
      <c r="L73" s="63"/>
      <c r="M73" s="63"/>
      <c r="N73" s="62">
        <f>VLOOKUP(C73,'[4]GV ('!$B$7:$H$68,4,0)</f>
        <v>1000000</v>
      </c>
      <c r="O73" s="71" t="e">
        <f t="shared" ca="1" si="6"/>
        <v>#VALUE!</v>
      </c>
      <c r="P73" s="62">
        <v>1000000</v>
      </c>
    </row>
    <row r="74" spans="2:20" s="3" customFormat="1" ht="24" customHeight="1">
      <c r="B74" s="41">
        <v>66</v>
      </c>
      <c r="C74" s="76" t="s">
        <v>244</v>
      </c>
      <c r="D74" s="60" t="e">
        <f>VLOOKUP(C74,[3]DSGV!$D$10:$S$97,16,0)</f>
        <v>#N/A</v>
      </c>
      <c r="E74" s="60" t="e">
        <f t="shared" ca="1" si="5"/>
        <v>#N/A</v>
      </c>
      <c r="F74" s="61"/>
      <c r="G74" s="18">
        <v>29</v>
      </c>
      <c r="H74" s="62"/>
      <c r="I74" s="62"/>
      <c r="J74" s="62"/>
      <c r="K74" s="62"/>
      <c r="L74" s="63"/>
      <c r="M74" s="63"/>
      <c r="N74" s="62">
        <f>VLOOKUP(C74,'[4]GV ('!$B$7:$H$68,4,0)</f>
        <v>1000000</v>
      </c>
      <c r="O74" s="71" t="e">
        <f t="shared" ca="1" si="6"/>
        <v>#N/A</v>
      </c>
      <c r="P74" s="62">
        <v>1000000</v>
      </c>
    </row>
    <row r="75" spans="2:20" s="3" customFormat="1" ht="24" customHeight="1">
      <c r="B75" s="41">
        <v>67</v>
      </c>
      <c r="C75" s="77" t="s">
        <v>188</v>
      </c>
      <c r="D75" s="264" t="s">
        <v>245</v>
      </c>
      <c r="E75" s="60" t="str">
        <f t="shared" ca="1" si="5"/>
        <v>3 Năm 8 Tháng</v>
      </c>
      <c r="F75" s="61"/>
      <c r="G75" s="18"/>
      <c r="H75" s="62"/>
      <c r="I75" s="62"/>
      <c r="J75" s="62"/>
      <c r="K75" s="62"/>
      <c r="L75" s="63"/>
      <c r="M75" s="63"/>
      <c r="N75" s="62" t="e">
        <f>VLOOKUP(C75,'[4]GV ('!$B$7:$H$68,4,0)</f>
        <v>#N/A</v>
      </c>
      <c r="O75" s="71">
        <f t="shared" ca="1" si="6"/>
        <v>3000000</v>
      </c>
      <c r="P75" s="62">
        <v>1000000</v>
      </c>
    </row>
    <row r="76" spans="2:20" s="3" customFormat="1" ht="24" customHeight="1">
      <c r="B76" s="41">
        <v>68</v>
      </c>
      <c r="C76" s="76" t="s">
        <v>147</v>
      </c>
      <c r="D76" s="60" t="str">
        <f>VLOOKUP(C76,[3]DSGV!$D$10:$S$97,16,0)</f>
        <v>B2</v>
      </c>
      <c r="E76" s="60" t="e">
        <f t="shared" ca="1" si="5"/>
        <v>#VALUE!</v>
      </c>
      <c r="F76" s="61"/>
      <c r="G76" s="18">
        <v>21</v>
      </c>
      <c r="H76" s="62"/>
      <c r="I76" s="62"/>
      <c r="J76" s="62"/>
      <c r="K76" s="62"/>
      <c r="L76" s="63"/>
      <c r="M76" s="63"/>
      <c r="N76" s="62">
        <f>VLOOKUP(C76,'[4]GV ('!$B$7:$H$68,4,0)</f>
        <v>500000</v>
      </c>
      <c r="O76" s="71" t="e">
        <f t="shared" ca="1" si="6"/>
        <v>#VALUE!</v>
      </c>
      <c r="P76" s="62">
        <v>1500000</v>
      </c>
    </row>
    <row r="77" spans="2:20" s="3" customFormat="1" ht="24" customHeight="1">
      <c r="B77" s="41">
        <v>69</v>
      </c>
      <c r="C77" s="77" t="s">
        <v>131</v>
      </c>
      <c r="D77" s="265" t="s">
        <v>246</v>
      </c>
      <c r="E77" s="60" t="str">
        <f t="shared" ca="1" si="5"/>
        <v>0 Năm 11 Tháng</v>
      </c>
      <c r="F77" s="61"/>
      <c r="G77" s="18"/>
      <c r="H77" s="62"/>
      <c r="I77" s="62"/>
      <c r="J77" s="62"/>
      <c r="K77" s="62"/>
      <c r="L77" s="63" t="e">
        <f>VLOOKUP(C77,'[4]GV ('!$B$7:$H$68,6,0)</f>
        <v>#N/A</v>
      </c>
      <c r="M77" s="63" t="e">
        <f>VLOOKUP(C77,'[4]GV ('!$B$7:$H$68,7,0)</f>
        <v>#N/A</v>
      </c>
      <c r="N77" s="62" t="e">
        <f>VLOOKUP(C77,'[4]GV ('!$B$7:$H$68,4,0)</f>
        <v>#N/A</v>
      </c>
      <c r="O77" s="71">
        <f t="shared" ca="1" si="6"/>
        <v>1000000</v>
      </c>
      <c r="P77" s="62">
        <v>500000</v>
      </c>
    </row>
    <row r="78" spans="2:20" s="3" customFormat="1" ht="24" customHeight="1">
      <c r="B78" s="41">
        <v>70</v>
      </c>
      <c r="C78" s="78" t="s">
        <v>126</v>
      </c>
      <c r="D78" s="266" t="s">
        <v>247</v>
      </c>
      <c r="E78" s="60" t="str">
        <f t="shared" ca="1" si="5"/>
        <v>1 Năm 1 Tháng</v>
      </c>
      <c r="F78" s="61"/>
      <c r="G78" s="18"/>
      <c r="H78" s="62"/>
      <c r="I78" s="62"/>
      <c r="J78" s="62"/>
      <c r="K78" s="62"/>
      <c r="L78" s="63" t="e">
        <f>VLOOKUP(C78,'[4]GV ('!$B$7:$H$68,6,0)</f>
        <v>#N/A</v>
      </c>
      <c r="M78" s="63"/>
      <c r="N78" s="62" t="e">
        <f>VLOOKUP(C78,'[4]GV ('!$B$7:$H$68,4,0)</f>
        <v>#N/A</v>
      </c>
      <c r="O78" s="71">
        <f t="shared" ca="1" si="6"/>
        <v>3000000</v>
      </c>
      <c r="P78" s="62">
        <v>500000</v>
      </c>
      <c r="Q78" s="3" t="s">
        <v>232</v>
      </c>
    </row>
    <row r="79" spans="2:20" s="3" customFormat="1" ht="26.25" customHeight="1">
      <c r="B79" s="828" t="s">
        <v>248</v>
      </c>
      <c r="C79" s="829"/>
      <c r="D79" s="829"/>
      <c r="E79" s="829"/>
      <c r="F79" s="32">
        <f>SUM(F9:F73)</f>
        <v>39200000</v>
      </c>
      <c r="G79" s="79"/>
      <c r="H79" s="32"/>
      <c r="I79" s="32">
        <f>SUM(I9:I73)</f>
        <v>149800000</v>
      </c>
      <c r="J79" s="88">
        <f>SUM(J9:J78)</f>
        <v>0</v>
      </c>
      <c r="K79" s="89"/>
      <c r="L79" s="82"/>
      <c r="M79" s="82"/>
      <c r="N79" s="81" t="e">
        <f>SUM(N9:N76)</f>
        <v>#N/A</v>
      </c>
      <c r="O79" s="81"/>
      <c r="P79" s="81"/>
    </row>
    <row r="80" spans="2:20" s="3" customFormat="1" ht="3" customHeight="1">
      <c r="B80" s="80"/>
      <c r="C80" s="80"/>
      <c r="D80" s="80"/>
      <c r="E80" s="80"/>
      <c r="F80" s="81"/>
      <c r="G80" s="82"/>
      <c r="H80" s="81"/>
      <c r="I80" s="81"/>
      <c r="J80" s="90"/>
      <c r="K80" s="90"/>
      <c r="L80" s="91"/>
      <c r="M80" s="91"/>
      <c r="N80" s="90"/>
      <c r="O80" s="90"/>
      <c r="P80" s="90"/>
      <c r="Q80" s="47"/>
      <c r="R80" s="47"/>
    </row>
    <row r="81" spans="2:18" s="47" customFormat="1" ht="21" customHeight="1">
      <c r="B81" s="83"/>
      <c r="C81" s="84" t="s">
        <v>249</v>
      </c>
      <c r="D81" s="83" t="str">
        <f>[5]!vnd(J79,"Uni",TRUE,FALSE,FALSE)</f>
        <v>không</v>
      </c>
      <c r="E81" s="83"/>
      <c r="F81" s="85"/>
      <c r="G81" s="86"/>
      <c r="H81" s="85"/>
      <c r="I81" s="85"/>
      <c r="J81" s="92"/>
      <c r="K81" s="92"/>
      <c r="L81" s="93"/>
      <c r="M81" s="93"/>
      <c r="N81" s="92"/>
      <c r="O81" s="92"/>
      <c r="P81" s="92"/>
      <c r="Q81" s="3"/>
      <c r="R81" s="3"/>
    </row>
    <row r="82" spans="2:18" s="47" customFormat="1" ht="21" customHeight="1">
      <c r="B82" s="83"/>
      <c r="C82" s="83"/>
      <c r="D82" s="84"/>
      <c r="E82" s="84"/>
      <c r="F82" s="85"/>
      <c r="G82" s="86"/>
      <c r="H82" s="85"/>
      <c r="I82" s="85"/>
      <c r="J82" s="92"/>
      <c r="K82" s="92"/>
      <c r="L82" s="93"/>
      <c r="M82" s="93"/>
      <c r="N82" s="92"/>
      <c r="O82" s="92"/>
      <c r="P82" s="92"/>
      <c r="Q82" s="3"/>
      <c r="R82" s="3"/>
    </row>
    <row r="83" spans="2:18" s="3" customFormat="1" ht="16.5">
      <c r="B83" s="80"/>
      <c r="C83" s="80"/>
      <c r="D83" s="80"/>
      <c r="E83" s="26"/>
      <c r="F83" s="26"/>
      <c r="G83" s="835" t="s">
        <v>250</v>
      </c>
      <c r="H83" s="835"/>
      <c r="I83" s="835"/>
      <c r="J83" s="835"/>
      <c r="K83" s="835"/>
      <c r="L83" s="93"/>
      <c r="M83" s="93"/>
      <c r="N83" s="92"/>
      <c r="O83" s="92"/>
      <c r="P83" s="92"/>
    </row>
    <row r="84" spans="2:18" s="3" customFormat="1" ht="15.75" customHeight="1">
      <c r="B84" s="824" t="s">
        <v>149</v>
      </c>
      <c r="C84" s="824"/>
      <c r="D84" s="824"/>
      <c r="E84" s="27"/>
      <c r="F84" s="27"/>
      <c r="G84" s="822" t="s">
        <v>150</v>
      </c>
      <c r="H84" s="822"/>
      <c r="I84" s="822"/>
      <c r="J84" s="822"/>
      <c r="K84" s="822"/>
      <c r="L84" s="93"/>
      <c r="M84" s="93"/>
      <c r="N84" s="92"/>
      <c r="O84" s="92"/>
      <c r="P84" s="92"/>
    </row>
    <row r="85" spans="2:18" s="3" customFormat="1" ht="16.5">
      <c r="D85" s="54"/>
      <c r="E85" s="2"/>
      <c r="F85" s="2"/>
      <c r="G85" s="2"/>
      <c r="H85" s="2"/>
      <c r="I85" s="94"/>
      <c r="J85" s="92"/>
      <c r="K85" s="92"/>
      <c r="L85" s="93"/>
      <c r="M85" s="93"/>
      <c r="N85" s="92"/>
      <c r="O85" s="92"/>
      <c r="P85" s="92"/>
    </row>
    <row r="86" spans="2:18" s="3" customFormat="1" ht="16.5">
      <c r="B86" s="87"/>
      <c r="C86" s="87"/>
      <c r="D86" s="80"/>
      <c r="E86" s="2"/>
      <c r="F86" s="2"/>
      <c r="G86" s="2"/>
      <c r="H86" s="2"/>
      <c r="I86" s="94"/>
      <c r="J86" s="92"/>
      <c r="K86" s="92"/>
      <c r="L86" s="93"/>
      <c r="M86" s="93"/>
      <c r="N86" s="92"/>
      <c r="O86" s="92"/>
      <c r="P86" s="92"/>
    </row>
    <row r="87" spans="2:18" s="3" customFormat="1" ht="16.5">
      <c r="C87" s="87"/>
      <c r="D87" s="80"/>
      <c r="E87" s="2"/>
      <c r="F87" s="2"/>
      <c r="G87" s="28"/>
      <c r="H87" s="28"/>
      <c r="I87" s="94"/>
      <c r="J87" s="92"/>
      <c r="K87" s="92"/>
      <c r="L87" s="93"/>
      <c r="M87" s="93"/>
      <c r="N87" s="92"/>
      <c r="O87" s="92"/>
      <c r="P87" s="92"/>
    </row>
    <row r="88" spans="2:18" s="3" customFormat="1" ht="16.5">
      <c r="C88" s="87"/>
      <c r="D88" s="80"/>
      <c r="E88" s="823"/>
      <c r="F88" s="823"/>
      <c r="G88" s="823"/>
      <c r="H88" s="823"/>
      <c r="I88" s="823"/>
      <c r="J88" s="92"/>
      <c r="K88" s="92"/>
      <c r="L88" s="93"/>
      <c r="M88" s="93"/>
      <c r="N88" s="92"/>
      <c r="O88" s="92"/>
      <c r="P88" s="92"/>
    </row>
    <row r="89" spans="2:18" s="3" customFormat="1" ht="16.5">
      <c r="B89" s="824"/>
      <c r="C89" s="824"/>
      <c r="D89" s="824"/>
      <c r="E89" s="28"/>
      <c r="F89" s="28"/>
      <c r="G89" s="823"/>
      <c r="H89" s="823"/>
      <c r="I89" s="823"/>
      <c r="J89" s="823"/>
      <c r="K89" s="823"/>
      <c r="L89" s="93"/>
      <c r="M89" s="93"/>
      <c r="N89" s="92"/>
      <c r="O89" s="92"/>
      <c r="P89" s="92"/>
    </row>
    <row r="90" spans="2:18" s="3" customFormat="1" ht="16.5">
      <c r="B90" s="824" t="s">
        <v>152</v>
      </c>
      <c r="C90" s="824"/>
      <c r="D90" s="824"/>
      <c r="E90" s="80"/>
      <c r="G90" s="823" t="s">
        <v>35</v>
      </c>
      <c r="H90" s="823"/>
      <c r="I90" s="823"/>
      <c r="J90" s="823"/>
      <c r="K90" s="823"/>
      <c r="L90" s="93"/>
      <c r="M90" s="93"/>
      <c r="N90" s="92"/>
      <c r="O90" s="92"/>
      <c r="P90" s="92"/>
    </row>
    <row r="91" spans="2:18" s="3" customFormat="1" ht="16.5">
      <c r="C91" s="87"/>
      <c r="D91" s="80"/>
      <c r="E91" s="80"/>
      <c r="G91" s="54"/>
      <c r="J91" s="92"/>
      <c r="K91" s="92"/>
      <c r="L91" s="93"/>
      <c r="M91" s="93"/>
      <c r="N91" s="92"/>
      <c r="O91" s="92"/>
      <c r="P91" s="92"/>
    </row>
    <row r="92" spans="2:18" s="3" customFormat="1" ht="16.5">
      <c r="C92" s="87"/>
      <c r="D92" s="80"/>
      <c r="E92" s="80"/>
      <c r="G92" s="54"/>
      <c r="J92" s="92"/>
      <c r="K92" s="92"/>
      <c r="L92" s="93"/>
      <c r="M92" s="93"/>
      <c r="N92" s="92"/>
      <c r="O92" s="92"/>
      <c r="P92" s="92"/>
    </row>
    <row r="93" spans="2:18" s="3" customFormat="1" ht="16.5">
      <c r="C93" s="87"/>
      <c r="D93" s="80"/>
      <c r="E93" s="80"/>
      <c r="G93" s="54"/>
      <c r="J93" s="92"/>
      <c r="K93" s="92"/>
      <c r="L93" s="93"/>
      <c r="M93" s="93"/>
      <c r="N93" s="92"/>
      <c r="O93" s="92"/>
      <c r="P93" s="92"/>
    </row>
    <row r="94" spans="2:18" s="3" customFormat="1" ht="16.5">
      <c r="C94" s="87"/>
      <c r="D94" s="80"/>
      <c r="E94" s="80"/>
      <c r="G94" s="54"/>
      <c r="J94" s="50"/>
      <c r="K94" s="50"/>
      <c r="L94" s="51"/>
      <c r="M94" s="51"/>
      <c r="N94" s="50"/>
      <c r="O94" s="50"/>
      <c r="P94" s="50"/>
      <c r="Q94" s="48"/>
      <c r="R94" s="48"/>
    </row>
    <row r="95" spans="2:18" ht="16.5">
      <c r="C95" s="87"/>
      <c r="D95" s="80"/>
      <c r="E95" s="80"/>
    </row>
    <row r="96" spans="2:18" ht="16.5">
      <c r="C96" s="87"/>
      <c r="D96" s="80"/>
      <c r="E96" s="80"/>
    </row>
    <row r="97" spans="3:5" ht="16.5">
      <c r="C97" s="87"/>
      <c r="D97" s="80"/>
      <c r="E97" s="80"/>
    </row>
    <row r="98" spans="3:5" ht="16.5">
      <c r="C98" s="87"/>
      <c r="D98" s="80"/>
      <c r="E98" s="80"/>
    </row>
    <row r="99" spans="3:5" ht="16.5">
      <c r="C99" s="87"/>
      <c r="D99" s="80"/>
      <c r="E99" s="80"/>
    </row>
    <row r="100" spans="3:5" ht="16.5">
      <c r="C100" s="87"/>
      <c r="D100" s="80"/>
      <c r="E100" s="80"/>
    </row>
    <row r="101" spans="3:5" ht="16.5">
      <c r="C101" s="87"/>
      <c r="D101" s="80"/>
      <c r="E101" s="80"/>
    </row>
    <row r="102" spans="3:5" ht="16.5">
      <c r="C102" s="87"/>
      <c r="D102" s="80"/>
      <c r="E102" s="80"/>
    </row>
    <row r="103" spans="3:5" ht="16.5">
      <c r="C103" s="87"/>
      <c r="D103" s="80"/>
      <c r="E103" s="80"/>
    </row>
    <row r="104" spans="3:5" ht="16.5">
      <c r="C104" s="87"/>
      <c r="D104" s="80"/>
      <c r="E104" s="80"/>
    </row>
    <row r="105" spans="3:5" ht="16.5">
      <c r="C105" s="87"/>
      <c r="D105" s="80"/>
      <c r="E105" s="80"/>
    </row>
    <row r="106" spans="3:5" ht="16.5">
      <c r="C106" s="87"/>
      <c r="D106" s="80"/>
      <c r="E106" s="80"/>
    </row>
    <row r="107" spans="3:5" ht="16.5">
      <c r="C107" s="87"/>
      <c r="D107" s="80"/>
      <c r="E107" s="80"/>
    </row>
    <row r="108" spans="3:5" ht="16.5">
      <c r="C108" s="87"/>
      <c r="D108" s="80"/>
      <c r="E108" s="80"/>
    </row>
    <row r="109" spans="3:5" ht="16.5">
      <c r="C109" s="87"/>
      <c r="D109" s="80"/>
      <c r="E109" s="80"/>
    </row>
    <row r="110" spans="3:5" ht="16.5">
      <c r="C110" s="87"/>
      <c r="D110" s="80"/>
      <c r="E110" s="80"/>
    </row>
    <row r="111" spans="3:5" ht="16.5">
      <c r="C111" s="87"/>
      <c r="D111" s="80"/>
      <c r="E111" s="80"/>
    </row>
    <row r="112" spans="3:5" ht="16.5">
      <c r="C112" s="87"/>
      <c r="D112" s="80"/>
      <c r="E112" s="80"/>
    </row>
    <row r="113" spans="3:5" ht="16.5">
      <c r="C113" s="87"/>
      <c r="D113" s="80"/>
      <c r="E113" s="80"/>
    </row>
    <row r="114" spans="3:5" ht="16.5">
      <c r="C114" s="87"/>
      <c r="D114" s="80"/>
      <c r="E114" s="80"/>
    </row>
    <row r="115" spans="3:5" ht="16.5">
      <c r="C115" s="87"/>
      <c r="D115" s="80"/>
      <c r="E115" s="80"/>
    </row>
    <row r="116" spans="3:5" ht="16.5">
      <c r="C116" s="87"/>
      <c r="D116" s="80"/>
      <c r="E116" s="80"/>
    </row>
    <row r="117" spans="3:5" ht="16.5">
      <c r="C117" s="87"/>
      <c r="D117" s="80"/>
      <c r="E117" s="80"/>
    </row>
    <row r="118" spans="3:5" ht="16.5">
      <c r="C118" s="87"/>
      <c r="D118" s="80"/>
      <c r="E118" s="80"/>
    </row>
    <row r="119" spans="3:5" ht="16.5">
      <c r="C119" s="87"/>
      <c r="D119" s="80"/>
      <c r="E119" s="80"/>
    </row>
    <row r="120" spans="3:5" ht="16.5">
      <c r="C120" s="87"/>
      <c r="D120" s="80"/>
      <c r="E120" s="80"/>
    </row>
    <row r="121" spans="3:5" ht="16.5">
      <c r="C121" s="87"/>
      <c r="D121" s="80"/>
      <c r="E121" s="80"/>
    </row>
    <row r="122" spans="3:5" ht="16.5">
      <c r="C122" s="87"/>
      <c r="D122" s="80"/>
      <c r="E122" s="80"/>
    </row>
    <row r="123" spans="3:5" ht="16.5">
      <c r="C123" s="87"/>
      <c r="D123" s="80"/>
      <c r="E123" s="80"/>
    </row>
    <row r="124" spans="3:5" ht="16.5">
      <c r="C124" s="87"/>
      <c r="D124" s="80"/>
      <c r="E124" s="80"/>
    </row>
    <row r="125" spans="3:5" ht="16.5">
      <c r="C125" s="87"/>
      <c r="D125" s="80"/>
      <c r="E125" s="80"/>
    </row>
    <row r="126" spans="3:5" ht="16.5">
      <c r="C126" s="87"/>
      <c r="D126" s="80"/>
      <c r="E126" s="80"/>
    </row>
    <row r="127" spans="3:5" ht="16.5">
      <c r="C127" s="87"/>
      <c r="D127" s="80"/>
      <c r="E127" s="80"/>
    </row>
    <row r="128" spans="3:5" ht="16.5">
      <c r="C128" s="87"/>
      <c r="D128" s="80"/>
      <c r="E128" s="80"/>
    </row>
    <row r="129" spans="3:5" ht="16.5">
      <c r="C129" s="87"/>
      <c r="D129" s="80"/>
      <c r="E129" s="80"/>
    </row>
    <row r="130" spans="3:5" ht="16.5">
      <c r="C130" s="87"/>
      <c r="D130" s="80"/>
      <c r="E130" s="80"/>
    </row>
    <row r="131" spans="3:5" ht="16.5">
      <c r="C131" s="87"/>
      <c r="D131" s="80"/>
      <c r="E131" s="80"/>
    </row>
    <row r="132" spans="3:5" ht="16.5">
      <c r="C132" s="87"/>
      <c r="D132" s="80"/>
      <c r="E132" s="80"/>
    </row>
    <row r="133" spans="3:5" ht="16.5">
      <c r="C133" s="87"/>
      <c r="D133" s="80"/>
      <c r="E133" s="80"/>
    </row>
    <row r="134" spans="3:5" ht="16.5">
      <c r="C134" s="87"/>
      <c r="D134" s="80"/>
      <c r="E134" s="80"/>
    </row>
    <row r="135" spans="3:5" ht="16.5">
      <c r="C135" s="87"/>
      <c r="D135" s="80"/>
      <c r="E135" s="80"/>
    </row>
    <row r="136" spans="3:5" ht="16.5">
      <c r="C136" s="87"/>
      <c r="D136" s="80"/>
      <c r="E136" s="80"/>
    </row>
    <row r="137" spans="3:5" ht="16.5">
      <c r="C137" s="87"/>
      <c r="D137" s="80"/>
      <c r="E137" s="80"/>
    </row>
    <row r="138" spans="3:5" ht="16.5">
      <c r="C138" s="87"/>
      <c r="D138" s="80"/>
      <c r="E138" s="80"/>
    </row>
    <row r="139" spans="3:5" ht="16.5">
      <c r="C139" s="87"/>
      <c r="D139" s="80"/>
      <c r="E139" s="80"/>
    </row>
    <row r="140" spans="3:5" ht="16.5">
      <c r="C140" s="87"/>
      <c r="D140" s="80"/>
      <c r="E140" s="80"/>
    </row>
    <row r="141" spans="3:5" ht="16.5">
      <c r="C141" s="87"/>
      <c r="D141" s="80"/>
      <c r="E141" s="80"/>
    </row>
    <row r="142" spans="3:5" ht="16.5">
      <c r="C142" s="87"/>
      <c r="D142" s="80"/>
      <c r="E142" s="80"/>
    </row>
    <row r="143" spans="3:5" ht="16.5">
      <c r="C143" s="87"/>
      <c r="D143" s="80"/>
      <c r="E143" s="80"/>
    </row>
    <row r="144" spans="3:5" ht="16.5">
      <c r="C144" s="87"/>
      <c r="D144" s="80"/>
      <c r="E144" s="80"/>
    </row>
    <row r="145" spans="3:5" ht="16.5">
      <c r="C145" s="87"/>
      <c r="D145" s="80"/>
      <c r="E145" s="80"/>
    </row>
    <row r="146" spans="3:5" ht="16.5">
      <c r="C146" s="87"/>
      <c r="D146" s="80"/>
      <c r="E146" s="80"/>
    </row>
    <row r="147" spans="3:5" ht="16.5">
      <c r="C147" s="87"/>
      <c r="D147" s="80"/>
      <c r="E147" s="80"/>
    </row>
    <row r="148" spans="3:5" ht="16.5">
      <c r="C148" s="87"/>
      <c r="D148" s="80"/>
      <c r="E148" s="80"/>
    </row>
    <row r="149" spans="3:5" ht="16.5">
      <c r="C149" s="87"/>
      <c r="D149" s="80"/>
      <c r="E149" s="80"/>
    </row>
    <row r="150" spans="3:5" ht="16.5">
      <c r="C150" s="87"/>
      <c r="D150" s="80"/>
      <c r="E150" s="80"/>
    </row>
    <row r="151" spans="3:5" ht="16.5">
      <c r="C151" s="87"/>
      <c r="D151" s="80"/>
      <c r="E151" s="80"/>
    </row>
    <row r="152" spans="3:5" ht="16.5">
      <c r="C152" s="87"/>
      <c r="D152" s="80"/>
      <c r="E152" s="80"/>
    </row>
    <row r="153" spans="3:5" ht="16.5">
      <c r="C153" s="87"/>
      <c r="D153" s="80"/>
      <c r="E153" s="80"/>
    </row>
    <row r="154" spans="3:5" ht="16.5">
      <c r="C154" s="87"/>
      <c r="D154" s="80"/>
      <c r="E154" s="80"/>
    </row>
    <row r="155" spans="3:5" ht="16.5">
      <c r="C155" s="87"/>
      <c r="D155" s="80"/>
      <c r="E155" s="80"/>
    </row>
    <row r="156" spans="3:5" ht="16.5">
      <c r="C156" s="87"/>
      <c r="D156" s="80"/>
      <c r="E156" s="80"/>
    </row>
    <row r="157" spans="3:5" ht="16.5">
      <c r="C157" s="87"/>
      <c r="D157" s="80"/>
      <c r="E157" s="80"/>
    </row>
    <row r="158" spans="3:5" ht="16.5">
      <c r="C158" s="87"/>
      <c r="D158" s="80"/>
      <c r="E158" s="80"/>
    </row>
    <row r="159" spans="3:5" ht="16.5">
      <c r="C159" s="87"/>
      <c r="D159" s="80"/>
      <c r="E159" s="80"/>
    </row>
    <row r="160" spans="3:5" ht="16.5">
      <c r="C160" s="87"/>
      <c r="D160" s="80"/>
      <c r="E160" s="80"/>
    </row>
    <row r="161" spans="3:5" ht="16.5">
      <c r="C161" s="87"/>
      <c r="D161" s="80"/>
      <c r="E161" s="80"/>
    </row>
    <row r="162" spans="3:5" ht="16.5">
      <c r="C162" s="87"/>
      <c r="D162" s="80"/>
      <c r="E162" s="80"/>
    </row>
    <row r="163" spans="3:5" ht="16.5">
      <c r="C163" s="87"/>
      <c r="D163" s="80"/>
      <c r="E163" s="80"/>
    </row>
    <row r="164" spans="3:5" ht="16.5">
      <c r="C164" s="87"/>
      <c r="D164" s="80"/>
      <c r="E164" s="80"/>
    </row>
    <row r="165" spans="3:5" ht="16.5">
      <c r="C165" s="87"/>
      <c r="D165" s="80"/>
      <c r="E165" s="80"/>
    </row>
    <row r="166" spans="3:5" ht="16.5">
      <c r="C166" s="87"/>
      <c r="D166" s="80"/>
      <c r="E166" s="80"/>
    </row>
  </sheetData>
  <mergeCells count="25">
    <mergeCell ref="L7:L8"/>
    <mergeCell ref="M7:M8"/>
    <mergeCell ref="N7:N8"/>
    <mergeCell ref="P7:P8"/>
    <mergeCell ref="B90:D90"/>
    <mergeCell ref="G90:K90"/>
    <mergeCell ref="B7:B8"/>
    <mergeCell ref="C7:C8"/>
    <mergeCell ref="D7:D8"/>
    <mergeCell ref="E7:E8"/>
    <mergeCell ref="F7:F8"/>
    <mergeCell ref="I7:I8"/>
    <mergeCell ref="J7:J8"/>
    <mergeCell ref="K7:K8"/>
    <mergeCell ref="G83:K83"/>
    <mergeCell ref="B84:D84"/>
    <mergeCell ref="G84:K84"/>
    <mergeCell ref="E88:I88"/>
    <mergeCell ref="B89:D89"/>
    <mergeCell ref="G89:K89"/>
    <mergeCell ref="A1:E1"/>
    <mergeCell ref="B3:K3"/>
    <mergeCell ref="B5:K5"/>
    <mergeCell ref="G7:H7"/>
    <mergeCell ref="B79:E79"/>
  </mergeCells>
  <conditionalFormatting sqref="C9:C47">
    <cfRule type="duplicateValues" dxfId="138" priority="173"/>
  </conditionalFormatting>
  <conditionalFormatting sqref="C48:C55">
    <cfRule type="duplicateValues" dxfId="137" priority="119"/>
  </conditionalFormatting>
  <conditionalFormatting sqref="C51">
    <cfRule type="duplicateValues" dxfId="136" priority="118"/>
  </conditionalFormatting>
  <conditionalFormatting sqref="C52:C55">
    <cfRule type="duplicateValues" dxfId="135" priority="120"/>
  </conditionalFormatting>
  <conditionalFormatting sqref="C56:C57">
    <cfRule type="duplicateValues" dxfId="134" priority="128"/>
    <cfRule type="duplicateValues" dxfId="133" priority="129" stopIfTrue="1"/>
  </conditionalFormatting>
  <conditionalFormatting sqref="C56:C64">
    <cfRule type="expression" dxfId="132" priority="121">
      <formula>CELL("row")=ROW()</formula>
    </cfRule>
    <cfRule type="expression" priority="122">
      <formula>CELL("row")=ROW()</formula>
    </cfRule>
    <cfRule type="expression" dxfId="131" priority="123">
      <formula>CELL("row")=ROW()</formula>
    </cfRule>
    <cfRule type="expression" dxfId="130" priority="124">
      <formula>CELL("row")=ROW()</formula>
    </cfRule>
    <cfRule type="expression" dxfId="129" priority="125">
      <formula>CELL("row")=ROW()</formula>
    </cfRule>
  </conditionalFormatting>
  <conditionalFormatting sqref="C58:C64">
    <cfRule type="duplicateValues" dxfId="128" priority="127"/>
    <cfRule type="duplicateValues" dxfId="127" priority="130" stopIfTrue="1"/>
  </conditionalFormatting>
  <conditionalFormatting sqref="C65:C66">
    <cfRule type="duplicateValues" dxfId="126" priority="170"/>
    <cfRule type="duplicateValues" dxfId="125" priority="171" stopIfTrue="1"/>
  </conditionalFormatting>
  <conditionalFormatting sqref="C67">
    <cfRule type="duplicateValues" dxfId="124" priority="99" stopIfTrue="1"/>
    <cfRule type="duplicateValues" dxfId="123" priority="100" stopIfTrue="1"/>
    <cfRule type="duplicateValues" dxfId="122" priority="101" stopIfTrue="1"/>
    <cfRule type="duplicateValues" dxfId="121" priority="102" stopIfTrue="1"/>
    <cfRule type="duplicateValues" dxfId="120" priority="103" stopIfTrue="1"/>
    <cfRule type="duplicateValues" dxfId="119" priority="104" stopIfTrue="1"/>
    <cfRule type="duplicateValues" dxfId="118" priority="105" stopIfTrue="1"/>
    <cfRule type="duplicateValues" dxfId="117" priority="106" stopIfTrue="1"/>
  </conditionalFormatting>
  <conditionalFormatting sqref="C68">
    <cfRule type="duplicateValues" dxfId="116" priority="80"/>
    <cfRule type="duplicateValues" dxfId="115" priority="81" stopIfTrue="1"/>
    <cfRule type="duplicateValues" dxfId="114" priority="82" stopIfTrue="1"/>
    <cfRule type="duplicateValues" dxfId="113" priority="83" stopIfTrue="1"/>
    <cfRule type="duplicateValues" dxfId="112" priority="84" stopIfTrue="1"/>
    <cfRule type="duplicateValues" dxfId="111" priority="85" stopIfTrue="1"/>
  </conditionalFormatting>
  <conditionalFormatting sqref="C69">
    <cfRule type="duplicateValues" dxfId="110" priority="72" stopIfTrue="1"/>
    <cfRule type="duplicateValues" dxfId="109" priority="73"/>
    <cfRule type="duplicateValues" dxfId="108" priority="74" stopIfTrue="1"/>
    <cfRule type="duplicateValues" dxfId="107" priority="75" stopIfTrue="1"/>
    <cfRule type="duplicateValues" dxfId="106" priority="76" stopIfTrue="1"/>
    <cfRule type="duplicateValues" dxfId="105" priority="77" stopIfTrue="1"/>
    <cfRule type="duplicateValues" dxfId="104" priority="78" stopIfTrue="1"/>
    <cfRule type="duplicateValues" dxfId="103" priority="79" stopIfTrue="1"/>
  </conditionalFormatting>
  <conditionalFormatting sqref="C70">
    <cfRule type="duplicateValues" dxfId="102" priority="63"/>
    <cfRule type="duplicateValues" dxfId="101" priority="64" stopIfTrue="1"/>
    <cfRule type="duplicateValues" dxfId="100" priority="65" stopIfTrue="1"/>
    <cfRule type="duplicateValues" dxfId="99" priority="66" stopIfTrue="1"/>
    <cfRule type="duplicateValues" dxfId="98" priority="67" stopIfTrue="1"/>
    <cfRule type="duplicateValues" dxfId="97" priority="68" stopIfTrue="1"/>
    <cfRule type="duplicateValues" dxfId="96" priority="69" stopIfTrue="1"/>
    <cfRule type="duplicateValues" dxfId="95" priority="70" stopIfTrue="1"/>
    <cfRule type="duplicateValues" dxfId="94" priority="71" stopIfTrue="1"/>
  </conditionalFormatting>
  <conditionalFormatting sqref="C71">
    <cfRule type="duplicateValues" dxfId="93" priority="52"/>
    <cfRule type="duplicateValues" dxfId="92" priority="53" stopIfTrue="1"/>
    <cfRule type="duplicateValues" dxfId="91" priority="54" stopIfTrue="1"/>
    <cfRule type="duplicateValues" dxfId="90" priority="55" stopIfTrue="1"/>
    <cfRule type="duplicateValues" dxfId="89" priority="56" stopIfTrue="1"/>
    <cfRule type="duplicateValues" dxfId="88" priority="57" stopIfTrue="1"/>
    <cfRule type="duplicateValues" dxfId="87" priority="58" stopIfTrue="1"/>
    <cfRule type="duplicateValues" dxfId="86" priority="59" stopIfTrue="1"/>
    <cfRule type="duplicateValues" dxfId="85" priority="60" stopIfTrue="1"/>
    <cfRule type="duplicateValues" dxfId="84" priority="61" stopIfTrue="1"/>
    <cfRule type="duplicateValues" dxfId="83" priority="62" stopIfTrue="1"/>
  </conditionalFormatting>
  <conditionalFormatting sqref="C72">
    <cfRule type="duplicateValues" dxfId="82" priority="41"/>
    <cfRule type="duplicateValues" dxfId="81" priority="42" stopIfTrue="1"/>
    <cfRule type="duplicateValues" dxfId="80" priority="43" stopIfTrue="1"/>
    <cfRule type="duplicateValues" dxfId="79" priority="44" stopIfTrue="1"/>
    <cfRule type="duplicateValues" dxfId="78" priority="45" stopIfTrue="1"/>
    <cfRule type="duplicateValues" dxfId="77" priority="46" stopIfTrue="1"/>
    <cfRule type="duplicateValues" dxfId="76" priority="47" stopIfTrue="1"/>
    <cfRule type="duplicateValues" dxfId="75" priority="48" stopIfTrue="1"/>
    <cfRule type="duplicateValues" dxfId="74" priority="49" stopIfTrue="1"/>
    <cfRule type="duplicateValues" dxfId="73" priority="50" stopIfTrue="1"/>
    <cfRule type="duplicateValues" dxfId="72" priority="51" stopIfTrue="1"/>
  </conditionalFormatting>
  <conditionalFormatting sqref="C73">
    <cfRule type="duplicateValues" dxfId="71" priority="33" stopIfTrue="1"/>
    <cfRule type="duplicateValues" dxfId="70" priority="34" stopIfTrue="1"/>
    <cfRule type="duplicateValues" dxfId="69" priority="35" stopIfTrue="1"/>
    <cfRule type="duplicateValues" dxfId="68" priority="36" stopIfTrue="1"/>
    <cfRule type="duplicateValues" dxfId="67" priority="37" stopIfTrue="1"/>
    <cfRule type="duplicateValues" dxfId="66" priority="38" stopIfTrue="1"/>
    <cfRule type="duplicateValues" dxfId="65" priority="39" stopIfTrue="1"/>
    <cfRule type="duplicateValues" dxfId="64" priority="40" stopIfTrue="1"/>
    <cfRule type="duplicateValues" dxfId="63" priority="174" stopIfTrue="1"/>
    <cfRule type="duplicateValues" dxfId="62" priority="175" stopIfTrue="1"/>
    <cfRule type="duplicateValues" dxfId="61" priority="176" stopIfTrue="1"/>
    <cfRule type="duplicateValues" dxfId="60" priority="177"/>
  </conditionalFormatting>
  <conditionalFormatting sqref="C74">
    <cfRule type="duplicateValues" dxfId="59" priority="21"/>
    <cfRule type="duplicateValues" dxfId="58" priority="25" stopIfTrue="1"/>
    <cfRule type="duplicateValues" dxfId="57" priority="26" stopIfTrue="1"/>
    <cfRule type="duplicateValues" dxfId="56" priority="27" stopIfTrue="1"/>
  </conditionalFormatting>
  <conditionalFormatting sqref="C75">
    <cfRule type="duplicateValues" dxfId="55" priority="3" stopIfTrue="1"/>
  </conditionalFormatting>
  <conditionalFormatting sqref="C76">
    <cfRule type="duplicateValues" dxfId="54" priority="12" stopIfTrue="1"/>
    <cfRule type="duplicateValues" dxfId="53" priority="13"/>
    <cfRule type="duplicateValues" dxfId="52" priority="14" stopIfTrue="1"/>
    <cfRule type="duplicateValues" dxfId="51" priority="15" stopIfTrue="1"/>
    <cfRule type="duplicateValues" dxfId="50" priority="16" stopIfTrue="1"/>
    <cfRule type="duplicateValues" dxfId="49" priority="17" stopIfTrue="1"/>
    <cfRule type="duplicateValues" dxfId="48" priority="18" stopIfTrue="1"/>
    <cfRule type="duplicateValues" dxfId="47" priority="19" stopIfTrue="1"/>
    <cfRule type="duplicateValues" dxfId="46" priority="20" stopIfTrue="1"/>
    <cfRule type="duplicateValues" dxfId="45" priority="178" stopIfTrue="1"/>
    <cfRule type="duplicateValues" dxfId="44" priority="179" stopIfTrue="1"/>
    <cfRule type="duplicateValues" dxfId="43" priority="180" stopIfTrue="1"/>
    <cfRule type="duplicateValues" dxfId="42" priority="181"/>
  </conditionalFormatting>
  <conditionalFormatting sqref="C77">
    <cfRule type="duplicateValues" dxfId="41" priority="642" stopIfTrue="1"/>
  </conditionalFormatting>
  <conditionalFormatting sqref="C78">
    <cfRule type="duplicateValues" dxfId="40" priority="1" stopIfTrue="1"/>
  </conditionalFormatting>
  <conditionalFormatting sqref="C91:C93">
    <cfRule type="duplicateValues" dxfId="39" priority="163" stopIfTrue="1"/>
  </conditionalFormatting>
  <conditionalFormatting sqref="C91:C100">
    <cfRule type="duplicateValues" dxfId="38" priority="164" stopIfTrue="1"/>
  </conditionalFormatting>
  <conditionalFormatting sqref="C94">
    <cfRule type="duplicateValues" dxfId="37" priority="156" stopIfTrue="1"/>
    <cfRule type="duplicateValues" dxfId="36" priority="157" stopIfTrue="1"/>
    <cfRule type="duplicateValues" dxfId="35" priority="158" stopIfTrue="1"/>
    <cfRule type="duplicateValues" dxfId="34" priority="159" stopIfTrue="1"/>
    <cfRule type="duplicateValues" dxfId="33" priority="160" stopIfTrue="1"/>
    <cfRule type="duplicateValues" dxfId="32" priority="161" stopIfTrue="1"/>
    <cfRule type="duplicateValues" dxfId="31" priority="162" stopIfTrue="1"/>
  </conditionalFormatting>
  <conditionalFormatting sqref="C95">
    <cfRule type="duplicateValues" dxfId="30" priority="152" stopIfTrue="1"/>
    <cfRule type="duplicateValues" dxfId="29" priority="153" stopIfTrue="1"/>
    <cfRule type="duplicateValues" dxfId="28" priority="154" stopIfTrue="1"/>
    <cfRule type="duplicateValues" dxfId="27" priority="155" stopIfTrue="1"/>
  </conditionalFormatting>
  <conditionalFormatting sqref="C96">
    <cfRule type="duplicateValues" dxfId="26" priority="142" stopIfTrue="1"/>
    <cfRule type="duplicateValues" dxfId="25" priority="143" stopIfTrue="1"/>
    <cfRule type="duplicateValues" dxfId="24" priority="144" stopIfTrue="1"/>
    <cfRule type="duplicateValues" dxfId="23" priority="145" stopIfTrue="1"/>
    <cfRule type="duplicateValues" dxfId="22" priority="146" stopIfTrue="1"/>
    <cfRule type="duplicateValues" dxfId="21" priority="147" stopIfTrue="1"/>
  </conditionalFormatting>
  <conditionalFormatting sqref="C96:C97">
    <cfRule type="duplicateValues" dxfId="20" priority="148" stopIfTrue="1"/>
    <cfRule type="duplicateValues" dxfId="19" priority="149" stopIfTrue="1"/>
    <cfRule type="duplicateValues" dxfId="18" priority="150" stopIfTrue="1"/>
    <cfRule type="duplicateValues" dxfId="17" priority="151" stopIfTrue="1"/>
  </conditionalFormatting>
  <conditionalFormatting sqref="C98">
    <cfRule type="duplicateValues" dxfId="16" priority="138" stopIfTrue="1"/>
    <cfRule type="duplicateValues" dxfId="15" priority="139" stopIfTrue="1"/>
    <cfRule type="duplicateValues" dxfId="14" priority="140" stopIfTrue="1"/>
    <cfRule type="duplicateValues" dxfId="13" priority="141" stopIfTrue="1"/>
  </conditionalFormatting>
  <conditionalFormatting sqref="C99">
    <cfRule type="duplicateValues" dxfId="12" priority="135" stopIfTrue="1"/>
    <cfRule type="duplicateValues" dxfId="11" priority="136" stopIfTrue="1"/>
    <cfRule type="duplicateValues" dxfId="10" priority="137" stopIfTrue="1"/>
  </conditionalFormatting>
  <conditionalFormatting sqref="C100">
    <cfRule type="duplicateValues" dxfId="9" priority="131" stopIfTrue="1"/>
    <cfRule type="duplicateValues" dxfId="8" priority="132" stopIfTrue="1"/>
    <cfRule type="duplicateValues" dxfId="7" priority="133" stopIfTrue="1"/>
    <cfRule type="duplicateValues" dxfId="6" priority="134" stopIfTrue="1"/>
  </conditionalFormatting>
  <conditionalFormatting sqref="C104">
    <cfRule type="duplicateValues" dxfId="5" priority="165"/>
    <cfRule type="duplicateValues" dxfId="4" priority="166"/>
    <cfRule type="duplicateValues" dxfId="3" priority="167" stopIfTrue="1"/>
    <cfRule type="duplicateValues" dxfId="2" priority="168" stopIfTrue="1"/>
  </conditionalFormatting>
  <pageMargins left="0" right="0" top="0.75" bottom="0.75" header="0.3" footer="0.3"/>
  <pageSetup scale="95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WVP31"/>
  <sheetViews>
    <sheetView topLeftCell="B1" workbookViewId="0">
      <selection activeCell="J30" sqref="J30"/>
    </sheetView>
  </sheetViews>
  <sheetFormatPr defaultColWidth="9" defaultRowHeight="12.75"/>
  <cols>
    <col min="1" max="1" width="2.28515625" style="4" hidden="1" customWidth="1"/>
    <col min="2" max="2" width="5.7109375" style="4" customWidth="1"/>
    <col min="3" max="3" width="26" style="4" customWidth="1"/>
    <col min="4" max="4" width="11" style="4" customWidth="1"/>
    <col min="5" max="5" width="14.7109375" style="4" customWidth="1"/>
    <col min="6" max="6" width="7.42578125" style="4" customWidth="1"/>
    <col min="7" max="7" width="14" style="4" customWidth="1"/>
    <col min="8" max="8" width="23.7109375" style="4" hidden="1" customWidth="1"/>
    <col min="9" max="9" width="23.7109375" style="4" customWidth="1"/>
    <col min="10" max="10" width="10.85546875" style="4" customWidth="1"/>
    <col min="11" max="11" width="37.140625" style="4" customWidth="1"/>
    <col min="12" max="12" width="16.42578125" style="4" customWidth="1"/>
    <col min="13" max="13" width="9.140625" style="4"/>
    <col min="14" max="16" width="11" style="4" customWidth="1"/>
    <col min="17" max="256" width="9.140625" style="4"/>
    <col min="257" max="257" width="9" style="4" hidden="1" customWidth="1"/>
    <col min="258" max="258" width="5.7109375" style="4" customWidth="1"/>
    <col min="259" max="259" width="24.5703125" style="4" customWidth="1"/>
    <col min="260" max="260" width="9.28515625" style="4" customWidth="1"/>
    <col min="261" max="261" width="14.7109375" style="4" customWidth="1"/>
    <col min="262" max="262" width="7.42578125" style="4" customWidth="1"/>
    <col min="263" max="263" width="14" style="4" customWidth="1"/>
    <col min="264" max="264" width="9" style="4" hidden="1" customWidth="1"/>
    <col min="265" max="265" width="23.7109375" style="4" customWidth="1"/>
    <col min="266" max="266" width="10.85546875" style="4" customWidth="1"/>
    <col min="267" max="267" width="37.140625" style="4" customWidth="1"/>
    <col min="268" max="268" width="16.42578125" style="4" customWidth="1"/>
    <col min="269" max="269" width="9.140625" style="4"/>
    <col min="270" max="272" width="11" style="4" customWidth="1"/>
    <col min="273" max="512" width="9.140625" style="4"/>
    <col min="513" max="513" width="9" style="4" hidden="1" customWidth="1"/>
    <col min="514" max="514" width="5.7109375" style="4" customWidth="1"/>
    <col min="515" max="515" width="24.5703125" style="4" customWidth="1"/>
    <col min="516" max="516" width="9.28515625" style="4" customWidth="1"/>
    <col min="517" max="517" width="14.7109375" style="4" customWidth="1"/>
    <col min="518" max="518" width="7.42578125" style="4" customWidth="1"/>
    <col min="519" max="519" width="14" style="4" customWidth="1"/>
    <col min="520" max="520" width="9" style="4" hidden="1" customWidth="1"/>
    <col min="521" max="521" width="23.7109375" style="4" customWidth="1"/>
    <col min="522" max="522" width="10.85546875" style="4" customWidth="1"/>
    <col min="523" max="523" width="37.140625" style="4" customWidth="1"/>
    <col min="524" max="524" width="16.42578125" style="4" customWidth="1"/>
    <col min="525" max="525" width="9.140625" style="4"/>
    <col min="526" max="528" width="11" style="4" customWidth="1"/>
    <col min="529" max="768" width="9.140625" style="4"/>
    <col min="769" max="769" width="9" style="4" hidden="1" customWidth="1"/>
    <col min="770" max="770" width="5.7109375" style="4" customWidth="1"/>
    <col min="771" max="771" width="24.5703125" style="4" customWidth="1"/>
    <col min="772" max="772" width="9.28515625" style="4" customWidth="1"/>
    <col min="773" max="773" width="14.7109375" style="4" customWidth="1"/>
    <col min="774" max="774" width="7.42578125" style="4" customWidth="1"/>
    <col min="775" max="775" width="14" style="4" customWidth="1"/>
    <col min="776" max="776" width="9" style="4" hidden="1" customWidth="1"/>
    <col min="777" max="777" width="23.7109375" style="4" customWidth="1"/>
    <col min="778" max="778" width="10.85546875" style="4" customWidth="1"/>
    <col min="779" max="779" width="37.140625" style="4" customWidth="1"/>
    <col min="780" max="780" width="16.42578125" style="4" customWidth="1"/>
    <col min="781" max="781" width="9.140625" style="4"/>
    <col min="782" max="784" width="11" style="4" customWidth="1"/>
    <col min="785" max="1024" width="9.140625" style="4"/>
    <col min="1025" max="1025" width="9" style="4" hidden="1" customWidth="1"/>
    <col min="1026" max="1026" width="5.7109375" style="4" customWidth="1"/>
    <col min="1027" max="1027" width="24.5703125" style="4" customWidth="1"/>
    <col min="1028" max="1028" width="9.28515625" style="4" customWidth="1"/>
    <col min="1029" max="1029" width="14.7109375" style="4" customWidth="1"/>
    <col min="1030" max="1030" width="7.42578125" style="4" customWidth="1"/>
    <col min="1031" max="1031" width="14" style="4" customWidth="1"/>
    <col min="1032" max="1032" width="9" style="4" hidden="1" customWidth="1"/>
    <col min="1033" max="1033" width="23.7109375" style="4" customWidth="1"/>
    <col min="1034" max="1034" width="10.85546875" style="4" customWidth="1"/>
    <col min="1035" max="1035" width="37.140625" style="4" customWidth="1"/>
    <col min="1036" max="1036" width="16.42578125" style="4" customWidth="1"/>
    <col min="1037" max="1037" width="9.140625" style="4"/>
    <col min="1038" max="1040" width="11" style="4" customWidth="1"/>
    <col min="1041" max="1280" width="9.140625" style="4"/>
    <col min="1281" max="1281" width="9" style="4" hidden="1" customWidth="1"/>
    <col min="1282" max="1282" width="5.7109375" style="4" customWidth="1"/>
    <col min="1283" max="1283" width="24.5703125" style="4" customWidth="1"/>
    <col min="1284" max="1284" width="9.28515625" style="4" customWidth="1"/>
    <col min="1285" max="1285" width="14.7109375" style="4" customWidth="1"/>
    <col min="1286" max="1286" width="7.42578125" style="4" customWidth="1"/>
    <col min="1287" max="1287" width="14" style="4" customWidth="1"/>
    <col min="1288" max="1288" width="9" style="4" hidden="1" customWidth="1"/>
    <col min="1289" max="1289" width="23.7109375" style="4" customWidth="1"/>
    <col min="1290" max="1290" width="10.85546875" style="4" customWidth="1"/>
    <col min="1291" max="1291" width="37.140625" style="4" customWidth="1"/>
    <col min="1292" max="1292" width="16.42578125" style="4" customWidth="1"/>
    <col min="1293" max="1293" width="9.140625" style="4"/>
    <col min="1294" max="1296" width="11" style="4" customWidth="1"/>
    <col min="1297" max="1536" width="9.140625" style="4"/>
    <col min="1537" max="1537" width="9" style="4" hidden="1" customWidth="1"/>
    <col min="1538" max="1538" width="5.7109375" style="4" customWidth="1"/>
    <col min="1539" max="1539" width="24.5703125" style="4" customWidth="1"/>
    <col min="1540" max="1540" width="9.28515625" style="4" customWidth="1"/>
    <col min="1541" max="1541" width="14.7109375" style="4" customWidth="1"/>
    <col min="1542" max="1542" width="7.42578125" style="4" customWidth="1"/>
    <col min="1543" max="1543" width="14" style="4" customWidth="1"/>
    <col min="1544" max="1544" width="9" style="4" hidden="1" customWidth="1"/>
    <col min="1545" max="1545" width="23.7109375" style="4" customWidth="1"/>
    <col min="1546" max="1546" width="10.85546875" style="4" customWidth="1"/>
    <col min="1547" max="1547" width="37.140625" style="4" customWidth="1"/>
    <col min="1548" max="1548" width="16.42578125" style="4" customWidth="1"/>
    <col min="1549" max="1549" width="9.140625" style="4"/>
    <col min="1550" max="1552" width="11" style="4" customWidth="1"/>
    <col min="1553" max="1792" width="9.140625" style="4"/>
    <col min="1793" max="1793" width="9" style="4" hidden="1" customWidth="1"/>
    <col min="1794" max="1794" width="5.7109375" style="4" customWidth="1"/>
    <col min="1795" max="1795" width="24.5703125" style="4" customWidth="1"/>
    <col min="1796" max="1796" width="9.28515625" style="4" customWidth="1"/>
    <col min="1797" max="1797" width="14.7109375" style="4" customWidth="1"/>
    <col min="1798" max="1798" width="7.42578125" style="4" customWidth="1"/>
    <col min="1799" max="1799" width="14" style="4" customWidth="1"/>
    <col min="1800" max="1800" width="9" style="4" hidden="1" customWidth="1"/>
    <col min="1801" max="1801" width="23.7109375" style="4" customWidth="1"/>
    <col min="1802" max="1802" width="10.85546875" style="4" customWidth="1"/>
    <col min="1803" max="1803" width="37.140625" style="4" customWidth="1"/>
    <col min="1804" max="1804" width="16.42578125" style="4" customWidth="1"/>
    <col min="1805" max="1805" width="9.140625" style="4"/>
    <col min="1806" max="1808" width="11" style="4" customWidth="1"/>
    <col min="1809" max="2048" width="9.140625" style="4"/>
    <col min="2049" max="2049" width="9" style="4" hidden="1" customWidth="1"/>
    <col min="2050" max="2050" width="5.7109375" style="4" customWidth="1"/>
    <col min="2051" max="2051" width="24.5703125" style="4" customWidth="1"/>
    <col min="2052" max="2052" width="9.28515625" style="4" customWidth="1"/>
    <col min="2053" max="2053" width="14.7109375" style="4" customWidth="1"/>
    <col min="2054" max="2054" width="7.42578125" style="4" customWidth="1"/>
    <col min="2055" max="2055" width="14" style="4" customWidth="1"/>
    <col min="2056" max="2056" width="9" style="4" hidden="1" customWidth="1"/>
    <col min="2057" max="2057" width="23.7109375" style="4" customWidth="1"/>
    <col min="2058" max="2058" width="10.85546875" style="4" customWidth="1"/>
    <col min="2059" max="2059" width="37.140625" style="4" customWidth="1"/>
    <col min="2060" max="2060" width="16.42578125" style="4" customWidth="1"/>
    <col min="2061" max="2061" width="9.140625" style="4"/>
    <col min="2062" max="2064" width="11" style="4" customWidth="1"/>
    <col min="2065" max="2304" width="9.140625" style="4"/>
    <col min="2305" max="2305" width="9" style="4" hidden="1" customWidth="1"/>
    <col min="2306" max="2306" width="5.7109375" style="4" customWidth="1"/>
    <col min="2307" max="2307" width="24.5703125" style="4" customWidth="1"/>
    <col min="2308" max="2308" width="9.28515625" style="4" customWidth="1"/>
    <col min="2309" max="2309" width="14.7109375" style="4" customWidth="1"/>
    <col min="2310" max="2310" width="7.42578125" style="4" customWidth="1"/>
    <col min="2311" max="2311" width="14" style="4" customWidth="1"/>
    <col min="2312" max="2312" width="9" style="4" hidden="1" customWidth="1"/>
    <col min="2313" max="2313" width="23.7109375" style="4" customWidth="1"/>
    <col min="2314" max="2314" width="10.85546875" style="4" customWidth="1"/>
    <col min="2315" max="2315" width="37.140625" style="4" customWidth="1"/>
    <col min="2316" max="2316" width="16.42578125" style="4" customWidth="1"/>
    <col min="2317" max="2317" width="9.140625" style="4"/>
    <col min="2318" max="2320" width="11" style="4" customWidth="1"/>
    <col min="2321" max="2560" width="9.140625" style="4"/>
    <col min="2561" max="2561" width="9" style="4" hidden="1" customWidth="1"/>
    <col min="2562" max="2562" width="5.7109375" style="4" customWidth="1"/>
    <col min="2563" max="2563" width="24.5703125" style="4" customWidth="1"/>
    <col min="2564" max="2564" width="9.28515625" style="4" customWidth="1"/>
    <col min="2565" max="2565" width="14.7109375" style="4" customWidth="1"/>
    <col min="2566" max="2566" width="7.42578125" style="4" customWidth="1"/>
    <col min="2567" max="2567" width="14" style="4" customWidth="1"/>
    <col min="2568" max="2568" width="9" style="4" hidden="1" customWidth="1"/>
    <col min="2569" max="2569" width="23.7109375" style="4" customWidth="1"/>
    <col min="2570" max="2570" width="10.85546875" style="4" customWidth="1"/>
    <col min="2571" max="2571" width="37.140625" style="4" customWidth="1"/>
    <col min="2572" max="2572" width="16.42578125" style="4" customWidth="1"/>
    <col min="2573" max="2573" width="9.140625" style="4"/>
    <col min="2574" max="2576" width="11" style="4" customWidth="1"/>
    <col min="2577" max="2816" width="9.140625" style="4"/>
    <col min="2817" max="2817" width="9" style="4" hidden="1" customWidth="1"/>
    <col min="2818" max="2818" width="5.7109375" style="4" customWidth="1"/>
    <col min="2819" max="2819" width="24.5703125" style="4" customWidth="1"/>
    <col min="2820" max="2820" width="9.28515625" style="4" customWidth="1"/>
    <col min="2821" max="2821" width="14.7109375" style="4" customWidth="1"/>
    <col min="2822" max="2822" width="7.42578125" style="4" customWidth="1"/>
    <col min="2823" max="2823" width="14" style="4" customWidth="1"/>
    <col min="2824" max="2824" width="9" style="4" hidden="1" customWidth="1"/>
    <col min="2825" max="2825" width="23.7109375" style="4" customWidth="1"/>
    <col min="2826" max="2826" width="10.85546875" style="4" customWidth="1"/>
    <col min="2827" max="2827" width="37.140625" style="4" customWidth="1"/>
    <col min="2828" max="2828" width="16.42578125" style="4" customWidth="1"/>
    <col min="2829" max="2829" width="9.140625" style="4"/>
    <col min="2830" max="2832" width="11" style="4" customWidth="1"/>
    <col min="2833" max="3072" width="9.140625" style="4"/>
    <col min="3073" max="3073" width="9" style="4" hidden="1" customWidth="1"/>
    <col min="3074" max="3074" width="5.7109375" style="4" customWidth="1"/>
    <col min="3075" max="3075" width="24.5703125" style="4" customWidth="1"/>
    <col min="3076" max="3076" width="9.28515625" style="4" customWidth="1"/>
    <col min="3077" max="3077" width="14.7109375" style="4" customWidth="1"/>
    <col min="3078" max="3078" width="7.42578125" style="4" customWidth="1"/>
    <col min="3079" max="3079" width="14" style="4" customWidth="1"/>
    <col min="3080" max="3080" width="9" style="4" hidden="1" customWidth="1"/>
    <col min="3081" max="3081" width="23.7109375" style="4" customWidth="1"/>
    <col min="3082" max="3082" width="10.85546875" style="4" customWidth="1"/>
    <col min="3083" max="3083" width="37.140625" style="4" customWidth="1"/>
    <col min="3084" max="3084" width="16.42578125" style="4" customWidth="1"/>
    <col min="3085" max="3085" width="9.140625" style="4"/>
    <col min="3086" max="3088" width="11" style="4" customWidth="1"/>
    <col min="3089" max="3328" width="9.140625" style="4"/>
    <col min="3329" max="3329" width="9" style="4" hidden="1" customWidth="1"/>
    <col min="3330" max="3330" width="5.7109375" style="4" customWidth="1"/>
    <col min="3331" max="3331" width="24.5703125" style="4" customWidth="1"/>
    <col min="3332" max="3332" width="9.28515625" style="4" customWidth="1"/>
    <col min="3333" max="3333" width="14.7109375" style="4" customWidth="1"/>
    <col min="3334" max="3334" width="7.42578125" style="4" customWidth="1"/>
    <col min="3335" max="3335" width="14" style="4" customWidth="1"/>
    <col min="3336" max="3336" width="9" style="4" hidden="1" customWidth="1"/>
    <col min="3337" max="3337" width="23.7109375" style="4" customWidth="1"/>
    <col min="3338" max="3338" width="10.85546875" style="4" customWidth="1"/>
    <col min="3339" max="3339" width="37.140625" style="4" customWidth="1"/>
    <col min="3340" max="3340" width="16.42578125" style="4" customWidth="1"/>
    <col min="3341" max="3341" width="9.140625" style="4"/>
    <col min="3342" max="3344" width="11" style="4" customWidth="1"/>
    <col min="3345" max="3584" width="9.140625" style="4"/>
    <col min="3585" max="3585" width="9" style="4" hidden="1" customWidth="1"/>
    <col min="3586" max="3586" width="5.7109375" style="4" customWidth="1"/>
    <col min="3587" max="3587" width="24.5703125" style="4" customWidth="1"/>
    <col min="3588" max="3588" width="9.28515625" style="4" customWidth="1"/>
    <col min="3589" max="3589" width="14.7109375" style="4" customWidth="1"/>
    <col min="3590" max="3590" width="7.42578125" style="4" customWidth="1"/>
    <col min="3591" max="3591" width="14" style="4" customWidth="1"/>
    <col min="3592" max="3592" width="9" style="4" hidden="1" customWidth="1"/>
    <col min="3593" max="3593" width="23.7109375" style="4" customWidth="1"/>
    <col min="3594" max="3594" width="10.85546875" style="4" customWidth="1"/>
    <col min="3595" max="3595" width="37.140625" style="4" customWidth="1"/>
    <col min="3596" max="3596" width="16.42578125" style="4" customWidth="1"/>
    <col min="3597" max="3597" width="9.140625" style="4"/>
    <col min="3598" max="3600" width="11" style="4" customWidth="1"/>
    <col min="3601" max="3840" width="9.140625" style="4"/>
    <col min="3841" max="3841" width="9" style="4" hidden="1" customWidth="1"/>
    <col min="3842" max="3842" width="5.7109375" style="4" customWidth="1"/>
    <col min="3843" max="3843" width="24.5703125" style="4" customWidth="1"/>
    <col min="3844" max="3844" width="9.28515625" style="4" customWidth="1"/>
    <col min="3845" max="3845" width="14.7109375" style="4" customWidth="1"/>
    <col min="3846" max="3846" width="7.42578125" style="4" customWidth="1"/>
    <col min="3847" max="3847" width="14" style="4" customWidth="1"/>
    <col min="3848" max="3848" width="9" style="4" hidden="1" customWidth="1"/>
    <col min="3849" max="3849" width="23.7109375" style="4" customWidth="1"/>
    <col min="3850" max="3850" width="10.85546875" style="4" customWidth="1"/>
    <col min="3851" max="3851" width="37.140625" style="4" customWidth="1"/>
    <col min="3852" max="3852" width="16.42578125" style="4" customWidth="1"/>
    <col min="3853" max="3853" width="9.140625" style="4"/>
    <col min="3854" max="3856" width="11" style="4" customWidth="1"/>
    <col min="3857" max="4096" width="9.140625" style="4"/>
    <col min="4097" max="4097" width="9" style="4" hidden="1" customWidth="1"/>
    <col min="4098" max="4098" width="5.7109375" style="4" customWidth="1"/>
    <col min="4099" max="4099" width="24.5703125" style="4" customWidth="1"/>
    <col min="4100" max="4100" width="9.28515625" style="4" customWidth="1"/>
    <col min="4101" max="4101" width="14.7109375" style="4" customWidth="1"/>
    <col min="4102" max="4102" width="7.42578125" style="4" customWidth="1"/>
    <col min="4103" max="4103" width="14" style="4" customWidth="1"/>
    <col min="4104" max="4104" width="9" style="4" hidden="1" customWidth="1"/>
    <col min="4105" max="4105" width="23.7109375" style="4" customWidth="1"/>
    <col min="4106" max="4106" width="10.85546875" style="4" customWidth="1"/>
    <col min="4107" max="4107" width="37.140625" style="4" customWidth="1"/>
    <col min="4108" max="4108" width="16.42578125" style="4" customWidth="1"/>
    <col min="4109" max="4109" width="9.140625" style="4"/>
    <col min="4110" max="4112" width="11" style="4" customWidth="1"/>
    <col min="4113" max="4352" width="9.140625" style="4"/>
    <col min="4353" max="4353" width="9" style="4" hidden="1" customWidth="1"/>
    <col min="4354" max="4354" width="5.7109375" style="4" customWidth="1"/>
    <col min="4355" max="4355" width="24.5703125" style="4" customWidth="1"/>
    <col min="4356" max="4356" width="9.28515625" style="4" customWidth="1"/>
    <col min="4357" max="4357" width="14.7109375" style="4" customWidth="1"/>
    <col min="4358" max="4358" width="7.42578125" style="4" customWidth="1"/>
    <col min="4359" max="4359" width="14" style="4" customWidth="1"/>
    <col min="4360" max="4360" width="9" style="4" hidden="1" customWidth="1"/>
    <col min="4361" max="4361" width="23.7109375" style="4" customWidth="1"/>
    <col min="4362" max="4362" width="10.85546875" style="4" customWidth="1"/>
    <col min="4363" max="4363" width="37.140625" style="4" customWidth="1"/>
    <col min="4364" max="4364" width="16.42578125" style="4" customWidth="1"/>
    <col min="4365" max="4365" width="9.140625" style="4"/>
    <col min="4366" max="4368" width="11" style="4" customWidth="1"/>
    <col min="4369" max="4608" width="9.140625" style="4"/>
    <col min="4609" max="4609" width="9" style="4" hidden="1" customWidth="1"/>
    <col min="4610" max="4610" width="5.7109375" style="4" customWidth="1"/>
    <col min="4611" max="4611" width="24.5703125" style="4" customWidth="1"/>
    <col min="4612" max="4612" width="9.28515625" style="4" customWidth="1"/>
    <col min="4613" max="4613" width="14.7109375" style="4" customWidth="1"/>
    <col min="4614" max="4614" width="7.42578125" style="4" customWidth="1"/>
    <col min="4615" max="4615" width="14" style="4" customWidth="1"/>
    <col min="4616" max="4616" width="9" style="4" hidden="1" customWidth="1"/>
    <col min="4617" max="4617" width="23.7109375" style="4" customWidth="1"/>
    <col min="4618" max="4618" width="10.85546875" style="4" customWidth="1"/>
    <col min="4619" max="4619" width="37.140625" style="4" customWidth="1"/>
    <col min="4620" max="4620" width="16.42578125" style="4" customWidth="1"/>
    <col min="4621" max="4621" width="9.140625" style="4"/>
    <col min="4622" max="4624" width="11" style="4" customWidth="1"/>
    <col min="4625" max="4864" width="9.140625" style="4"/>
    <col min="4865" max="4865" width="9" style="4" hidden="1" customWidth="1"/>
    <col min="4866" max="4866" width="5.7109375" style="4" customWidth="1"/>
    <col min="4867" max="4867" width="24.5703125" style="4" customWidth="1"/>
    <col min="4868" max="4868" width="9.28515625" style="4" customWidth="1"/>
    <col min="4869" max="4869" width="14.7109375" style="4" customWidth="1"/>
    <col min="4870" max="4870" width="7.42578125" style="4" customWidth="1"/>
    <col min="4871" max="4871" width="14" style="4" customWidth="1"/>
    <col min="4872" max="4872" width="9" style="4" hidden="1" customWidth="1"/>
    <col min="4873" max="4873" width="23.7109375" style="4" customWidth="1"/>
    <col min="4874" max="4874" width="10.85546875" style="4" customWidth="1"/>
    <col min="4875" max="4875" width="37.140625" style="4" customWidth="1"/>
    <col min="4876" max="4876" width="16.42578125" style="4" customWidth="1"/>
    <col min="4877" max="4877" width="9.140625" style="4"/>
    <col min="4878" max="4880" width="11" style="4" customWidth="1"/>
    <col min="4881" max="5120" width="9.140625" style="4"/>
    <col min="5121" max="5121" width="9" style="4" hidden="1" customWidth="1"/>
    <col min="5122" max="5122" width="5.7109375" style="4" customWidth="1"/>
    <col min="5123" max="5123" width="24.5703125" style="4" customWidth="1"/>
    <col min="5124" max="5124" width="9.28515625" style="4" customWidth="1"/>
    <col min="5125" max="5125" width="14.7109375" style="4" customWidth="1"/>
    <col min="5126" max="5126" width="7.42578125" style="4" customWidth="1"/>
    <col min="5127" max="5127" width="14" style="4" customWidth="1"/>
    <col min="5128" max="5128" width="9" style="4" hidden="1" customWidth="1"/>
    <col min="5129" max="5129" width="23.7109375" style="4" customWidth="1"/>
    <col min="5130" max="5130" width="10.85546875" style="4" customWidth="1"/>
    <col min="5131" max="5131" width="37.140625" style="4" customWidth="1"/>
    <col min="5132" max="5132" width="16.42578125" style="4" customWidth="1"/>
    <col min="5133" max="5133" width="9.140625" style="4"/>
    <col min="5134" max="5136" width="11" style="4" customWidth="1"/>
    <col min="5137" max="5376" width="9.140625" style="4"/>
    <col min="5377" max="5377" width="9" style="4" hidden="1" customWidth="1"/>
    <col min="5378" max="5378" width="5.7109375" style="4" customWidth="1"/>
    <col min="5379" max="5379" width="24.5703125" style="4" customWidth="1"/>
    <col min="5380" max="5380" width="9.28515625" style="4" customWidth="1"/>
    <col min="5381" max="5381" width="14.7109375" style="4" customWidth="1"/>
    <col min="5382" max="5382" width="7.42578125" style="4" customWidth="1"/>
    <col min="5383" max="5383" width="14" style="4" customWidth="1"/>
    <col min="5384" max="5384" width="9" style="4" hidden="1" customWidth="1"/>
    <col min="5385" max="5385" width="23.7109375" style="4" customWidth="1"/>
    <col min="5386" max="5386" width="10.85546875" style="4" customWidth="1"/>
    <col min="5387" max="5387" width="37.140625" style="4" customWidth="1"/>
    <col min="5388" max="5388" width="16.42578125" style="4" customWidth="1"/>
    <col min="5389" max="5389" width="9.140625" style="4"/>
    <col min="5390" max="5392" width="11" style="4" customWidth="1"/>
    <col min="5393" max="5632" width="9.140625" style="4"/>
    <col min="5633" max="5633" width="9" style="4" hidden="1" customWidth="1"/>
    <col min="5634" max="5634" width="5.7109375" style="4" customWidth="1"/>
    <col min="5635" max="5635" width="24.5703125" style="4" customWidth="1"/>
    <col min="5636" max="5636" width="9.28515625" style="4" customWidth="1"/>
    <col min="5637" max="5637" width="14.7109375" style="4" customWidth="1"/>
    <col min="5638" max="5638" width="7.42578125" style="4" customWidth="1"/>
    <col min="5639" max="5639" width="14" style="4" customWidth="1"/>
    <col min="5640" max="5640" width="9" style="4" hidden="1" customWidth="1"/>
    <col min="5641" max="5641" width="23.7109375" style="4" customWidth="1"/>
    <col min="5642" max="5642" width="10.85546875" style="4" customWidth="1"/>
    <col min="5643" max="5643" width="37.140625" style="4" customWidth="1"/>
    <col min="5644" max="5644" width="16.42578125" style="4" customWidth="1"/>
    <col min="5645" max="5645" width="9.140625" style="4"/>
    <col min="5646" max="5648" width="11" style="4" customWidth="1"/>
    <col min="5649" max="5888" width="9.140625" style="4"/>
    <col min="5889" max="5889" width="9" style="4" hidden="1" customWidth="1"/>
    <col min="5890" max="5890" width="5.7109375" style="4" customWidth="1"/>
    <col min="5891" max="5891" width="24.5703125" style="4" customWidth="1"/>
    <col min="5892" max="5892" width="9.28515625" style="4" customWidth="1"/>
    <col min="5893" max="5893" width="14.7109375" style="4" customWidth="1"/>
    <col min="5894" max="5894" width="7.42578125" style="4" customWidth="1"/>
    <col min="5895" max="5895" width="14" style="4" customWidth="1"/>
    <col min="5896" max="5896" width="9" style="4" hidden="1" customWidth="1"/>
    <col min="5897" max="5897" width="23.7109375" style="4" customWidth="1"/>
    <col min="5898" max="5898" width="10.85546875" style="4" customWidth="1"/>
    <col min="5899" max="5899" width="37.140625" style="4" customWidth="1"/>
    <col min="5900" max="5900" width="16.42578125" style="4" customWidth="1"/>
    <col min="5901" max="5901" width="9.140625" style="4"/>
    <col min="5902" max="5904" width="11" style="4" customWidth="1"/>
    <col min="5905" max="6144" width="9.140625" style="4"/>
    <col min="6145" max="6145" width="9" style="4" hidden="1" customWidth="1"/>
    <col min="6146" max="6146" width="5.7109375" style="4" customWidth="1"/>
    <col min="6147" max="6147" width="24.5703125" style="4" customWidth="1"/>
    <col min="6148" max="6148" width="9.28515625" style="4" customWidth="1"/>
    <col min="6149" max="6149" width="14.7109375" style="4" customWidth="1"/>
    <col min="6150" max="6150" width="7.42578125" style="4" customWidth="1"/>
    <col min="6151" max="6151" width="14" style="4" customWidth="1"/>
    <col min="6152" max="6152" width="9" style="4" hidden="1" customWidth="1"/>
    <col min="6153" max="6153" width="23.7109375" style="4" customWidth="1"/>
    <col min="6154" max="6154" width="10.85546875" style="4" customWidth="1"/>
    <col min="6155" max="6155" width="37.140625" style="4" customWidth="1"/>
    <col min="6156" max="6156" width="16.42578125" style="4" customWidth="1"/>
    <col min="6157" max="6157" width="9.140625" style="4"/>
    <col min="6158" max="6160" width="11" style="4" customWidth="1"/>
    <col min="6161" max="6400" width="9.140625" style="4"/>
    <col min="6401" max="6401" width="9" style="4" hidden="1" customWidth="1"/>
    <col min="6402" max="6402" width="5.7109375" style="4" customWidth="1"/>
    <col min="6403" max="6403" width="24.5703125" style="4" customWidth="1"/>
    <col min="6404" max="6404" width="9.28515625" style="4" customWidth="1"/>
    <col min="6405" max="6405" width="14.7109375" style="4" customWidth="1"/>
    <col min="6406" max="6406" width="7.42578125" style="4" customWidth="1"/>
    <col min="6407" max="6407" width="14" style="4" customWidth="1"/>
    <col min="6408" max="6408" width="9" style="4" hidden="1" customWidth="1"/>
    <col min="6409" max="6409" width="23.7109375" style="4" customWidth="1"/>
    <col min="6410" max="6410" width="10.85546875" style="4" customWidth="1"/>
    <col min="6411" max="6411" width="37.140625" style="4" customWidth="1"/>
    <col min="6412" max="6412" width="16.42578125" style="4" customWidth="1"/>
    <col min="6413" max="6413" width="9.140625" style="4"/>
    <col min="6414" max="6416" width="11" style="4" customWidth="1"/>
    <col min="6417" max="6656" width="9.140625" style="4"/>
    <col min="6657" max="6657" width="9" style="4" hidden="1" customWidth="1"/>
    <col min="6658" max="6658" width="5.7109375" style="4" customWidth="1"/>
    <col min="6659" max="6659" width="24.5703125" style="4" customWidth="1"/>
    <col min="6660" max="6660" width="9.28515625" style="4" customWidth="1"/>
    <col min="6661" max="6661" width="14.7109375" style="4" customWidth="1"/>
    <col min="6662" max="6662" width="7.42578125" style="4" customWidth="1"/>
    <col min="6663" max="6663" width="14" style="4" customWidth="1"/>
    <col min="6664" max="6664" width="9" style="4" hidden="1" customWidth="1"/>
    <col min="6665" max="6665" width="23.7109375" style="4" customWidth="1"/>
    <col min="6666" max="6666" width="10.85546875" style="4" customWidth="1"/>
    <col min="6667" max="6667" width="37.140625" style="4" customWidth="1"/>
    <col min="6668" max="6668" width="16.42578125" style="4" customWidth="1"/>
    <col min="6669" max="6669" width="9.140625" style="4"/>
    <col min="6670" max="6672" width="11" style="4" customWidth="1"/>
    <col min="6673" max="6912" width="9.140625" style="4"/>
    <col min="6913" max="6913" width="9" style="4" hidden="1" customWidth="1"/>
    <col min="6914" max="6914" width="5.7109375" style="4" customWidth="1"/>
    <col min="6915" max="6915" width="24.5703125" style="4" customWidth="1"/>
    <col min="6916" max="6916" width="9.28515625" style="4" customWidth="1"/>
    <col min="6917" max="6917" width="14.7109375" style="4" customWidth="1"/>
    <col min="6918" max="6918" width="7.42578125" style="4" customWidth="1"/>
    <col min="6919" max="6919" width="14" style="4" customWidth="1"/>
    <col min="6920" max="6920" width="9" style="4" hidden="1" customWidth="1"/>
    <col min="6921" max="6921" width="23.7109375" style="4" customWidth="1"/>
    <col min="6922" max="6922" width="10.85546875" style="4" customWidth="1"/>
    <col min="6923" max="6923" width="37.140625" style="4" customWidth="1"/>
    <col min="6924" max="6924" width="16.42578125" style="4" customWidth="1"/>
    <col min="6925" max="6925" width="9.140625" style="4"/>
    <col min="6926" max="6928" width="11" style="4" customWidth="1"/>
    <col min="6929" max="7168" width="9.140625" style="4"/>
    <col min="7169" max="7169" width="9" style="4" hidden="1" customWidth="1"/>
    <col min="7170" max="7170" width="5.7109375" style="4" customWidth="1"/>
    <col min="7171" max="7171" width="24.5703125" style="4" customWidth="1"/>
    <col min="7172" max="7172" width="9.28515625" style="4" customWidth="1"/>
    <col min="7173" max="7173" width="14.7109375" style="4" customWidth="1"/>
    <col min="7174" max="7174" width="7.42578125" style="4" customWidth="1"/>
    <col min="7175" max="7175" width="14" style="4" customWidth="1"/>
    <col min="7176" max="7176" width="9" style="4" hidden="1" customWidth="1"/>
    <col min="7177" max="7177" width="23.7109375" style="4" customWidth="1"/>
    <col min="7178" max="7178" width="10.85546875" style="4" customWidth="1"/>
    <col min="7179" max="7179" width="37.140625" style="4" customWidth="1"/>
    <col min="7180" max="7180" width="16.42578125" style="4" customWidth="1"/>
    <col min="7181" max="7181" width="9.140625" style="4"/>
    <col min="7182" max="7184" width="11" style="4" customWidth="1"/>
    <col min="7185" max="7424" width="9.140625" style="4"/>
    <col min="7425" max="7425" width="9" style="4" hidden="1" customWidth="1"/>
    <col min="7426" max="7426" width="5.7109375" style="4" customWidth="1"/>
    <col min="7427" max="7427" width="24.5703125" style="4" customWidth="1"/>
    <col min="7428" max="7428" width="9.28515625" style="4" customWidth="1"/>
    <col min="7429" max="7429" width="14.7109375" style="4" customWidth="1"/>
    <col min="7430" max="7430" width="7.42578125" style="4" customWidth="1"/>
    <col min="7431" max="7431" width="14" style="4" customWidth="1"/>
    <col min="7432" max="7432" width="9" style="4" hidden="1" customWidth="1"/>
    <col min="7433" max="7433" width="23.7109375" style="4" customWidth="1"/>
    <col min="7434" max="7434" width="10.85546875" style="4" customWidth="1"/>
    <col min="7435" max="7435" width="37.140625" style="4" customWidth="1"/>
    <col min="7436" max="7436" width="16.42578125" style="4" customWidth="1"/>
    <col min="7437" max="7437" width="9.140625" style="4"/>
    <col min="7438" max="7440" width="11" style="4" customWidth="1"/>
    <col min="7441" max="7680" width="9.140625" style="4"/>
    <col min="7681" max="7681" width="9" style="4" hidden="1" customWidth="1"/>
    <col min="7682" max="7682" width="5.7109375" style="4" customWidth="1"/>
    <col min="7683" max="7683" width="24.5703125" style="4" customWidth="1"/>
    <col min="7684" max="7684" width="9.28515625" style="4" customWidth="1"/>
    <col min="7685" max="7685" width="14.7109375" style="4" customWidth="1"/>
    <col min="7686" max="7686" width="7.42578125" style="4" customWidth="1"/>
    <col min="7687" max="7687" width="14" style="4" customWidth="1"/>
    <col min="7688" max="7688" width="9" style="4" hidden="1" customWidth="1"/>
    <col min="7689" max="7689" width="23.7109375" style="4" customWidth="1"/>
    <col min="7690" max="7690" width="10.85546875" style="4" customWidth="1"/>
    <col min="7691" max="7691" width="37.140625" style="4" customWidth="1"/>
    <col min="7692" max="7692" width="16.42578125" style="4" customWidth="1"/>
    <col min="7693" max="7693" width="9.140625" style="4"/>
    <col min="7694" max="7696" width="11" style="4" customWidth="1"/>
    <col min="7697" max="7936" width="9.140625" style="4"/>
    <col min="7937" max="7937" width="9" style="4" hidden="1" customWidth="1"/>
    <col min="7938" max="7938" width="5.7109375" style="4" customWidth="1"/>
    <col min="7939" max="7939" width="24.5703125" style="4" customWidth="1"/>
    <col min="7940" max="7940" width="9.28515625" style="4" customWidth="1"/>
    <col min="7941" max="7941" width="14.7109375" style="4" customWidth="1"/>
    <col min="7942" max="7942" width="7.42578125" style="4" customWidth="1"/>
    <col min="7943" max="7943" width="14" style="4" customWidth="1"/>
    <col min="7944" max="7944" width="9" style="4" hidden="1" customWidth="1"/>
    <col min="7945" max="7945" width="23.7109375" style="4" customWidth="1"/>
    <col min="7946" max="7946" width="10.85546875" style="4" customWidth="1"/>
    <col min="7947" max="7947" width="37.140625" style="4" customWidth="1"/>
    <col min="7948" max="7948" width="16.42578125" style="4" customWidth="1"/>
    <col min="7949" max="7949" width="9.140625" style="4"/>
    <col min="7950" max="7952" width="11" style="4" customWidth="1"/>
    <col min="7953" max="8192" width="9.140625" style="4"/>
    <col min="8193" max="8193" width="9" style="4" hidden="1" customWidth="1"/>
    <col min="8194" max="8194" width="5.7109375" style="4" customWidth="1"/>
    <col min="8195" max="8195" width="24.5703125" style="4" customWidth="1"/>
    <col min="8196" max="8196" width="9.28515625" style="4" customWidth="1"/>
    <col min="8197" max="8197" width="14.7109375" style="4" customWidth="1"/>
    <col min="8198" max="8198" width="7.42578125" style="4" customWidth="1"/>
    <col min="8199" max="8199" width="14" style="4" customWidth="1"/>
    <col min="8200" max="8200" width="9" style="4" hidden="1" customWidth="1"/>
    <col min="8201" max="8201" width="23.7109375" style="4" customWidth="1"/>
    <col min="8202" max="8202" width="10.85546875" style="4" customWidth="1"/>
    <col min="8203" max="8203" width="37.140625" style="4" customWidth="1"/>
    <col min="8204" max="8204" width="16.42578125" style="4" customWidth="1"/>
    <col min="8205" max="8205" width="9.140625" style="4"/>
    <col min="8206" max="8208" width="11" style="4" customWidth="1"/>
    <col min="8209" max="8448" width="9.140625" style="4"/>
    <col min="8449" max="8449" width="9" style="4" hidden="1" customWidth="1"/>
    <col min="8450" max="8450" width="5.7109375" style="4" customWidth="1"/>
    <col min="8451" max="8451" width="24.5703125" style="4" customWidth="1"/>
    <col min="8452" max="8452" width="9.28515625" style="4" customWidth="1"/>
    <col min="8453" max="8453" width="14.7109375" style="4" customWidth="1"/>
    <col min="8454" max="8454" width="7.42578125" style="4" customWidth="1"/>
    <col min="8455" max="8455" width="14" style="4" customWidth="1"/>
    <col min="8456" max="8456" width="9" style="4" hidden="1" customWidth="1"/>
    <col min="8457" max="8457" width="23.7109375" style="4" customWidth="1"/>
    <col min="8458" max="8458" width="10.85546875" style="4" customWidth="1"/>
    <col min="8459" max="8459" width="37.140625" style="4" customWidth="1"/>
    <col min="8460" max="8460" width="16.42578125" style="4" customWidth="1"/>
    <col min="8461" max="8461" width="9.140625" style="4"/>
    <col min="8462" max="8464" width="11" style="4" customWidth="1"/>
    <col min="8465" max="8704" width="9.140625" style="4"/>
    <col min="8705" max="8705" width="9" style="4" hidden="1" customWidth="1"/>
    <col min="8706" max="8706" width="5.7109375" style="4" customWidth="1"/>
    <col min="8707" max="8707" width="24.5703125" style="4" customWidth="1"/>
    <col min="8708" max="8708" width="9.28515625" style="4" customWidth="1"/>
    <col min="8709" max="8709" width="14.7109375" style="4" customWidth="1"/>
    <col min="8710" max="8710" width="7.42578125" style="4" customWidth="1"/>
    <col min="8711" max="8711" width="14" style="4" customWidth="1"/>
    <col min="8712" max="8712" width="9" style="4" hidden="1" customWidth="1"/>
    <col min="8713" max="8713" width="23.7109375" style="4" customWidth="1"/>
    <col min="8714" max="8714" width="10.85546875" style="4" customWidth="1"/>
    <col min="8715" max="8715" width="37.140625" style="4" customWidth="1"/>
    <col min="8716" max="8716" width="16.42578125" style="4" customWidth="1"/>
    <col min="8717" max="8717" width="9.140625" style="4"/>
    <col min="8718" max="8720" width="11" style="4" customWidth="1"/>
    <col min="8721" max="8960" width="9.140625" style="4"/>
    <col min="8961" max="8961" width="9" style="4" hidden="1" customWidth="1"/>
    <col min="8962" max="8962" width="5.7109375" style="4" customWidth="1"/>
    <col min="8963" max="8963" width="24.5703125" style="4" customWidth="1"/>
    <col min="8964" max="8964" width="9.28515625" style="4" customWidth="1"/>
    <col min="8965" max="8965" width="14.7109375" style="4" customWidth="1"/>
    <col min="8966" max="8966" width="7.42578125" style="4" customWidth="1"/>
    <col min="8967" max="8967" width="14" style="4" customWidth="1"/>
    <col min="8968" max="8968" width="9" style="4" hidden="1" customWidth="1"/>
    <col min="8969" max="8969" width="23.7109375" style="4" customWidth="1"/>
    <col min="8970" max="8970" width="10.85546875" style="4" customWidth="1"/>
    <col min="8971" max="8971" width="37.140625" style="4" customWidth="1"/>
    <col min="8972" max="8972" width="16.42578125" style="4" customWidth="1"/>
    <col min="8973" max="8973" width="9.140625" style="4"/>
    <col min="8974" max="8976" width="11" style="4" customWidth="1"/>
    <col min="8977" max="9216" width="9.140625" style="4"/>
    <col min="9217" max="9217" width="9" style="4" hidden="1" customWidth="1"/>
    <col min="9218" max="9218" width="5.7109375" style="4" customWidth="1"/>
    <col min="9219" max="9219" width="24.5703125" style="4" customWidth="1"/>
    <col min="9220" max="9220" width="9.28515625" style="4" customWidth="1"/>
    <col min="9221" max="9221" width="14.7109375" style="4" customWidth="1"/>
    <col min="9222" max="9222" width="7.42578125" style="4" customWidth="1"/>
    <col min="9223" max="9223" width="14" style="4" customWidth="1"/>
    <col min="9224" max="9224" width="9" style="4" hidden="1" customWidth="1"/>
    <col min="9225" max="9225" width="23.7109375" style="4" customWidth="1"/>
    <col min="9226" max="9226" width="10.85546875" style="4" customWidth="1"/>
    <col min="9227" max="9227" width="37.140625" style="4" customWidth="1"/>
    <col min="9228" max="9228" width="16.42578125" style="4" customWidth="1"/>
    <col min="9229" max="9229" width="9.140625" style="4"/>
    <col min="9230" max="9232" width="11" style="4" customWidth="1"/>
    <col min="9233" max="9472" width="9.140625" style="4"/>
    <col min="9473" max="9473" width="9" style="4" hidden="1" customWidth="1"/>
    <col min="9474" max="9474" width="5.7109375" style="4" customWidth="1"/>
    <col min="9475" max="9475" width="24.5703125" style="4" customWidth="1"/>
    <col min="9476" max="9476" width="9.28515625" style="4" customWidth="1"/>
    <col min="9477" max="9477" width="14.7109375" style="4" customWidth="1"/>
    <col min="9478" max="9478" width="7.42578125" style="4" customWidth="1"/>
    <col min="9479" max="9479" width="14" style="4" customWidth="1"/>
    <col min="9480" max="9480" width="9" style="4" hidden="1" customWidth="1"/>
    <col min="9481" max="9481" width="23.7109375" style="4" customWidth="1"/>
    <col min="9482" max="9482" width="10.85546875" style="4" customWidth="1"/>
    <col min="9483" max="9483" width="37.140625" style="4" customWidth="1"/>
    <col min="9484" max="9484" width="16.42578125" style="4" customWidth="1"/>
    <col min="9485" max="9485" width="9.140625" style="4"/>
    <col min="9486" max="9488" width="11" style="4" customWidth="1"/>
    <col min="9489" max="9728" width="9.140625" style="4"/>
    <col min="9729" max="9729" width="9" style="4" hidden="1" customWidth="1"/>
    <col min="9730" max="9730" width="5.7109375" style="4" customWidth="1"/>
    <col min="9731" max="9731" width="24.5703125" style="4" customWidth="1"/>
    <col min="9732" max="9732" width="9.28515625" style="4" customWidth="1"/>
    <col min="9733" max="9733" width="14.7109375" style="4" customWidth="1"/>
    <col min="9734" max="9734" width="7.42578125" style="4" customWidth="1"/>
    <col min="9735" max="9735" width="14" style="4" customWidth="1"/>
    <col min="9736" max="9736" width="9" style="4" hidden="1" customWidth="1"/>
    <col min="9737" max="9737" width="23.7109375" style="4" customWidth="1"/>
    <col min="9738" max="9738" width="10.85546875" style="4" customWidth="1"/>
    <col min="9739" max="9739" width="37.140625" style="4" customWidth="1"/>
    <col min="9740" max="9740" width="16.42578125" style="4" customWidth="1"/>
    <col min="9741" max="9741" width="9.140625" style="4"/>
    <col min="9742" max="9744" width="11" style="4" customWidth="1"/>
    <col min="9745" max="9984" width="9.140625" style="4"/>
    <col min="9985" max="9985" width="9" style="4" hidden="1" customWidth="1"/>
    <col min="9986" max="9986" width="5.7109375" style="4" customWidth="1"/>
    <col min="9987" max="9987" width="24.5703125" style="4" customWidth="1"/>
    <col min="9988" max="9988" width="9.28515625" style="4" customWidth="1"/>
    <col min="9989" max="9989" width="14.7109375" style="4" customWidth="1"/>
    <col min="9990" max="9990" width="7.42578125" style="4" customWidth="1"/>
    <col min="9991" max="9991" width="14" style="4" customWidth="1"/>
    <col min="9992" max="9992" width="9" style="4" hidden="1" customWidth="1"/>
    <col min="9993" max="9993" width="23.7109375" style="4" customWidth="1"/>
    <col min="9994" max="9994" width="10.85546875" style="4" customWidth="1"/>
    <col min="9995" max="9995" width="37.140625" style="4" customWidth="1"/>
    <col min="9996" max="9996" width="16.42578125" style="4" customWidth="1"/>
    <col min="9997" max="9997" width="9.140625" style="4"/>
    <col min="9998" max="10000" width="11" style="4" customWidth="1"/>
    <col min="10001" max="10240" width="9.140625" style="4"/>
    <col min="10241" max="10241" width="9" style="4" hidden="1" customWidth="1"/>
    <col min="10242" max="10242" width="5.7109375" style="4" customWidth="1"/>
    <col min="10243" max="10243" width="24.5703125" style="4" customWidth="1"/>
    <col min="10244" max="10244" width="9.28515625" style="4" customWidth="1"/>
    <col min="10245" max="10245" width="14.7109375" style="4" customWidth="1"/>
    <col min="10246" max="10246" width="7.42578125" style="4" customWidth="1"/>
    <col min="10247" max="10247" width="14" style="4" customWidth="1"/>
    <col min="10248" max="10248" width="9" style="4" hidden="1" customWidth="1"/>
    <col min="10249" max="10249" width="23.7109375" style="4" customWidth="1"/>
    <col min="10250" max="10250" width="10.85546875" style="4" customWidth="1"/>
    <col min="10251" max="10251" width="37.140625" style="4" customWidth="1"/>
    <col min="10252" max="10252" width="16.42578125" style="4" customWidth="1"/>
    <col min="10253" max="10253" width="9.140625" style="4"/>
    <col min="10254" max="10256" width="11" style="4" customWidth="1"/>
    <col min="10257" max="10496" width="9.140625" style="4"/>
    <col min="10497" max="10497" width="9" style="4" hidden="1" customWidth="1"/>
    <col min="10498" max="10498" width="5.7109375" style="4" customWidth="1"/>
    <col min="10499" max="10499" width="24.5703125" style="4" customWidth="1"/>
    <col min="10500" max="10500" width="9.28515625" style="4" customWidth="1"/>
    <col min="10501" max="10501" width="14.7109375" style="4" customWidth="1"/>
    <col min="10502" max="10502" width="7.42578125" style="4" customWidth="1"/>
    <col min="10503" max="10503" width="14" style="4" customWidth="1"/>
    <col min="10504" max="10504" width="9" style="4" hidden="1" customWidth="1"/>
    <col min="10505" max="10505" width="23.7109375" style="4" customWidth="1"/>
    <col min="10506" max="10506" width="10.85546875" style="4" customWidth="1"/>
    <col min="10507" max="10507" width="37.140625" style="4" customWidth="1"/>
    <col min="10508" max="10508" width="16.42578125" style="4" customWidth="1"/>
    <col min="10509" max="10509" width="9.140625" style="4"/>
    <col min="10510" max="10512" width="11" style="4" customWidth="1"/>
    <col min="10513" max="10752" width="9.140625" style="4"/>
    <col min="10753" max="10753" width="9" style="4" hidden="1" customWidth="1"/>
    <col min="10754" max="10754" width="5.7109375" style="4" customWidth="1"/>
    <col min="10755" max="10755" width="24.5703125" style="4" customWidth="1"/>
    <col min="10756" max="10756" width="9.28515625" style="4" customWidth="1"/>
    <col min="10757" max="10757" width="14.7109375" style="4" customWidth="1"/>
    <col min="10758" max="10758" width="7.42578125" style="4" customWidth="1"/>
    <col min="10759" max="10759" width="14" style="4" customWidth="1"/>
    <col min="10760" max="10760" width="9" style="4" hidden="1" customWidth="1"/>
    <col min="10761" max="10761" width="23.7109375" style="4" customWidth="1"/>
    <col min="10762" max="10762" width="10.85546875" style="4" customWidth="1"/>
    <col min="10763" max="10763" width="37.140625" style="4" customWidth="1"/>
    <col min="10764" max="10764" width="16.42578125" style="4" customWidth="1"/>
    <col min="10765" max="10765" width="9.140625" style="4"/>
    <col min="10766" max="10768" width="11" style="4" customWidth="1"/>
    <col min="10769" max="11008" width="9.140625" style="4"/>
    <col min="11009" max="11009" width="9" style="4" hidden="1" customWidth="1"/>
    <col min="11010" max="11010" width="5.7109375" style="4" customWidth="1"/>
    <col min="11011" max="11011" width="24.5703125" style="4" customWidth="1"/>
    <col min="11012" max="11012" width="9.28515625" style="4" customWidth="1"/>
    <col min="11013" max="11013" width="14.7109375" style="4" customWidth="1"/>
    <col min="11014" max="11014" width="7.42578125" style="4" customWidth="1"/>
    <col min="11015" max="11015" width="14" style="4" customWidth="1"/>
    <col min="11016" max="11016" width="9" style="4" hidden="1" customWidth="1"/>
    <col min="11017" max="11017" width="23.7109375" style="4" customWidth="1"/>
    <col min="11018" max="11018" width="10.85546875" style="4" customWidth="1"/>
    <col min="11019" max="11019" width="37.140625" style="4" customWidth="1"/>
    <col min="11020" max="11020" width="16.42578125" style="4" customWidth="1"/>
    <col min="11021" max="11021" width="9.140625" style="4"/>
    <col min="11022" max="11024" width="11" style="4" customWidth="1"/>
    <col min="11025" max="11264" width="9.140625" style="4"/>
    <col min="11265" max="11265" width="9" style="4" hidden="1" customWidth="1"/>
    <col min="11266" max="11266" width="5.7109375" style="4" customWidth="1"/>
    <col min="11267" max="11267" width="24.5703125" style="4" customWidth="1"/>
    <col min="11268" max="11268" width="9.28515625" style="4" customWidth="1"/>
    <col min="11269" max="11269" width="14.7109375" style="4" customWidth="1"/>
    <col min="11270" max="11270" width="7.42578125" style="4" customWidth="1"/>
    <col min="11271" max="11271" width="14" style="4" customWidth="1"/>
    <col min="11272" max="11272" width="9" style="4" hidden="1" customWidth="1"/>
    <col min="11273" max="11273" width="23.7109375" style="4" customWidth="1"/>
    <col min="11274" max="11274" width="10.85546875" style="4" customWidth="1"/>
    <col min="11275" max="11275" width="37.140625" style="4" customWidth="1"/>
    <col min="11276" max="11276" width="16.42578125" style="4" customWidth="1"/>
    <col min="11277" max="11277" width="9.140625" style="4"/>
    <col min="11278" max="11280" width="11" style="4" customWidth="1"/>
    <col min="11281" max="11520" width="9.140625" style="4"/>
    <col min="11521" max="11521" width="9" style="4" hidden="1" customWidth="1"/>
    <col min="11522" max="11522" width="5.7109375" style="4" customWidth="1"/>
    <col min="11523" max="11523" width="24.5703125" style="4" customWidth="1"/>
    <col min="11524" max="11524" width="9.28515625" style="4" customWidth="1"/>
    <col min="11525" max="11525" width="14.7109375" style="4" customWidth="1"/>
    <col min="11526" max="11526" width="7.42578125" style="4" customWidth="1"/>
    <col min="11527" max="11527" width="14" style="4" customWidth="1"/>
    <col min="11528" max="11528" width="9" style="4" hidden="1" customWidth="1"/>
    <col min="11529" max="11529" width="23.7109375" style="4" customWidth="1"/>
    <col min="11530" max="11530" width="10.85546875" style="4" customWidth="1"/>
    <col min="11531" max="11531" width="37.140625" style="4" customWidth="1"/>
    <col min="11532" max="11532" width="16.42578125" style="4" customWidth="1"/>
    <col min="11533" max="11533" width="9.140625" style="4"/>
    <col min="11534" max="11536" width="11" style="4" customWidth="1"/>
    <col min="11537" max="11776" width="9.140625" style="4"/>
    <col min="11777" max="11777" width="9" style="4" hidden="1" customWidth="1"/>
    <col min="11778" max="11778" width="5.7109375" style="4" customWidth="1"/>
    <col min="11779" max="11779" width="24.5703125" style="4" customWidth="1"/>
    <col min="11780" max="11780" width="9.28515625" style="4" customWidth="1"/>
    <col min="11781" max="11781" width="14.7109375" style="4" customWidth="1"/>
    <col min="11782" max="11782" width="7.42578125" style="4" customWidth="1"/>
    <col min="11783" max="11783" width="14" style="4" customWidth="1"/>
    <col min="11784" max="11784" width="9" style="4" hidden="1" customWidth="1"/>
    <col min="11785" max="11785" width="23.7109375" style="4" customWidth="1"/>
    <col min="11786" max="11786" width="10.85546875" style="4" customWidth="1"/>
    <col min="11787" max="11787" width="37.140625" style="4" customWidth="1"/>
    <col min="11788" max="11788" width="16.42578125" style="4" customWidth="1"/>
    <col min="11789" max="11789" width="9.140625" style="4"/>
    <col min="11790" max="11792" width="11" style="4" customWidth="1"/>
    <col min="11793" max="12032" width="9.140625" style="4"/>
    <col min="12033" max="12033" width="9" style="4" hidden="1" customWidth="1"/>
    <col min="12034" max="12034" width="5.7109375" style="4" customWidth="1"/>
    <col min="12035" max="12035" width="24.5703125" style="4" customWidth="1"/>
    <col min="12036" max="12036" width="9.28515625" style="4" customWidth="1"/>
    <col min="12037" max="12037" width="14.7109375" style="4" customWidth="1"/>
    <col min="12038" max="12038" width="7.42578125" style="4" customWidth="1"/>
    <col min="12039" max="12039" width="14" style="4" customWidth="1"/>
    <col min="12040" max="12040" width="9" style="4" hidden="1" customWidth="1"/>
    <col min="12041" max="12041" width="23.7109375" style="4" customWidth="1"/>
    <col min="12042" max="12042" width="10.85546875" style="4" customWidth="1"/>
    <col min="12043" max="12043" width="37.140625" style="4" customWidth="1"/>
    <col min="12044" max="12044" width="16.42578125" style="4" customWidth="1"/>
    <col min="12045" max="12045" width="9.140625" style="4"/>
    <col min="12046" max="12048" width="11" style="4" customWidth="1"/>
    <col min="12049" max="12288" width="9.140625" style="4"/>
    <col min="12289" max="12289" width="9" style="4" hidden="1" customWidth="1"/>
    <col min="12290" max="12290" width="5.7109375" style="4" customWidth="1"/>
    <col min="12291" max="12291" width="24.5703125" style="4" customWidth="1"/>
    <col min="12292" max="12292" width="9.28515625" style="4" customWidth="1"/>
    <col min="12293" max="12293" width="14.7109375" style="4" customWidth="1"/>
    <col min="12294" max="12294" width="7.42578125" style="4" customWidth="1"/>
    <col min="12295" max="12295" width="14" style="4" customWidth="1"/>
    <col min="12296" max="12296" width="9" style="4" hidden="1" customWidth="1"/>
    <col min="12297" max="12297" width="23.7109375" style="4" customWidth="1"/>
    <col min="12298" max="12298" width="10.85546875" style="4" customWidth="1"/>
    <col min="12299" max="12299" width="37.140625" style="4" customWidth="1"/>
    <col min="12300" max="12300" width="16.42578125" style="4" customWidth="1"/>
    <col min="12301" max="12301" width="9.140625" style="4"/>
    <col min="12302" max="12304" width="11" style="4" customWidth="1"/>
    <col min="12305" max="12544" width="9.140625" style="4"/>
    <col min="12545" max="12545" width="9" style="4" hidden="1" customWidth="1"/>
    <col min="12546" max="12546" width="5.7109375" style="4" customWidth="1"/>
    <col min="12547" max="12547" width="24.5703125" style="4" customWidth="1"/>
    <col min="12548" max="12548" width="9.28515625" style="4" customWidth="1"/>
    <col min="12549" max="12549" width="14.7109375" style="4" customWidth="1"/>
    <col min="12550" max="12550" width="7.42578125" style="4" customWidth="1"/>
    <col min="12551" max="12551" width="14" style="4" customWidth="1"/>
    <col min="12552" max="12552" width="9" style="4" hidden="1" customWidth="1"/>
    <col min="12553" max="12553" width="23.7109375" style="4" customWidth="1"/>
    <col min="12554" max="12554" width="10.85546875" style="4" customWidth="1"/>
    <col min="12555" max="12555" width="37.140625" style="4" customWidth="1"/>
    <col min="12556" max="12556" width="16.42578125" style="4" customWidth="1"/>
    <col min="12557" max="12557" width="9.140625" style="4"/>
    <col min="12558" max="12560" width="11" style="4" customWidth="1"/>
    <col min="12561" max="12800" width="9.140625" style="4"/>
    <col min="12801" max="12801" width="9" style="4" hidden="1" customWidth="1"/>
    <col min="12802" max="12802" width="5.7109375" style="4" customWidth="1"/>
    <col min="12803" max="12803" width="24.5703125" style="4" customWidth="1"/>
    <col min="12804" max="12804" width="9.28515625" style="4" customWidth="1"/>
    <col min="12805" max="12805" width="14.7109375" style="4" customWidth="1"/>
    <col min="12806" max="12806" width="7.42578125" style="4" customWidth="1"/>
    <col min="12807" max="12807" width="14" style="4" customWidth="1"/>
    <col min="12808" max="12808" width="9" style="4" hidden="1" customWidth="1"/>
    <col min="12809" max="12809" width="23.7109375" style="4" customWidth="1"/>
    <col min="12810" max="12810" width="10.85546875" style="4" customWidth="1"/>
    <col min="12811" max="12811" width="37.140625" style="4" customWidth="1"/>
    <col min="12812" max="12812" width="16.42578125" style="4" customWidth="1"/>
    <col min="12813" max="12813" width="9.140625" style="4"/>
    <col min="12814" max="12816" width="11" style="4" customWidth="1"/>
    <col min="12817" max="13056" width="9.140625" style="4"/>
    <col min="13057" max="13057" width="9" style="4" hidden="1" customWidth="1"/>
    <col min="13058" max="13058" width="5.7109375" style="4" customWidth="1"/>
    <col min="13059" max="13059" width="24.5703125" style="4" customWidth="1"/>
    <col min="13060" max="13060" width="9.28515625" style="4" customWidth="1"/>
    <col min="13061" max="13061" width="14.7109375" style="4" customWidth="1"/>
    <col min="13062" max="13062" width="7.42578125" style="4" customWidth="1"/>
    <col min="13063" max="13063" width="14" style="4" customWidth="1"/>
    <col min="13064" max="13064" width="9" style="4" hidden="1" customWidth="1"/>
    <col min="13065" max="13065" width="23.7109375" style="4" customWidth="1"/>
    <col min="13066" max="13066" width="10.85546875" style="4" customWidth="1"/>
    <col min="13067" max="13067" width="37.140625" style="4" customWidth="1"/>
    <col min="13068" max="13068" width="16.42578125" style="4" customWidth="1"/>
    <col min="13069" max="13069" width="9.140625" style="4"/>
    <col min="13070" max="13072" width="11" style="4" customWidth="1"/>
    <col min="13073" max="13312" width="9.140625" style="4"/>
    <col min="13313" max="13313" width="9" style="4" hidden="1" customWidth="1"/>
    <col min="13314" max="13314" width="5.7109375" style="4" customWidth="1"/>
    <col min="13315" max="13315" width="24.5703125" style="4" customWidth="1"/>
    <col min="13316" max="13316" width="9.28515625" style="4" customWidth="1"/>
    <col min="13317" max="13317" width="14.7109375" style="4" customWidth="1"/>
    <col min="13318" max="13318" width="7.42578125" style="4" customWidth="1"/>
    <col min="13319" max="13319" width="14" style="4" customWidth="1"/>
    <col min="13320" max="13320" width="9" style="4" hidden="1" customWidth="1"/>
    <col min="13321" max="13321" width="23.7109375" style="4" customWidth="1"/>
    <col min="13322" max="13322" width="10.85546875" style="4" customWidth="1"/>
    <col min="13323" max="13323" width="37.140625" style="4" customWidth="1"/>
    <col min="13324" max="13324" width="16.42578125" style="4" customWidth="1"/>
    <col min="13325" max="13325" width="9.140625" style="4"/>
    <col min="13326" max="13328" width="11" style="4" customWidth="1"/>
    <col min="13329" max="13568" width="9.140625" style="4"/>
    <col min="13569" max="13569" width="9" style="4" hidden="1" customWidth="1"/>
    <col min="13570" max="13570" width="5.7109375" style="4" customWidth="1"/>
    <col min="13571" max="13571" width="24.5703125" style="4" customWidth="1"/>
    <col min="13572" max="13572" width="9.28515625" style="4" customWidth="1"/>
    <col min="13573" max="13573" width="14.7109375" style="4" customWidth="1"/>
    <col min="13574" max="13574" width="7.42578125" style="4" customWidth="1"/>
    <col min="13575" max="13575" width="14" style="4" customWidth="1"/>
    <col min="13576" max="13576" width="9" style="4" hidden="1" customWidth="1"/>
    <col min="13577" max="13577" width="23.7109375" style="4" customWidth="1"/>
    <col min="13578" max="13578" width="10.85546875" style="4" customWidth="1"/>
    <col min="13579" max="13579" width="37.140625" style="4" customWidth="1"/>
    <col min="13580" max="13580" width="16.42578125" style="4" customWidth="1"/>
    <col min="13581" max="13581" width="9.140625" style="4"/>
    <col min="13582" max="13584" width="11" style="4" customWidth="1"/>
    <col min="13585" max="13824" width="9.140625" style="4"/>
    <col min="13825" max="13825" width="9" style="4" hidden="1" customWidth="1"/>
    <col min="13826" max="13826" width="5.7109375" style="4" customWidth="1"/>
    <col min="13827" max="13827" width="24.5703125" style="4" customWidth="1"/>
    <col min="13828" max="13828" width="9.28515625" style="4" customWidth="1"/>
    <col min="13829" max="13829" width="14.7109375" style="4" customWidth="1"/>
    <col min="13830" max="13830" width="7.42578125" style="4" customWidth="1"/>
    <col min="13831" max="13831" width="14" style="4" customWidth="1"/>
    <col min="13832" max="13832" width="9" style="4" hidden="1" customWidth="1"/>
    <col min="13833" max="13833" width="23.7109375" style="4" customWidth="1"/>
    <col min="13834" max="13834" width="10.85546875" style="4" customWidth="1"/>
    <col min="13835" max="13835" width="37.140625" style="4" customWidth="1"/>
    <col min="13836" max="13836" width="16.42578125" style="4" customWidth="1"/>
    <col min="13837" max="13837" width="9.140625" style="4"/>
    <col min="13838" max="13840" width="11" style="4" customWidth="1"/>
    <col min="13841" max="14080" width="9.140625" style="4"/>
    <col min="14081" max="14081" width="9" style="4" hidden="1" customWidth="1"/>
    <col min="14082" max="14082" width="5.7109375" style="4" customWidth="1"/>
    <col min="14083" max="14083" width="24.5703125" style="4" customWidth="1"/>
    <col min="14084" max="14084" width="9.28515625" style="4" customWidth="1"/>
    <col min="14085" max="14085" width="14.7109375" style="4" customWidth="1"/>
    <col min="14086" max="14086" width="7.42578125" style="4" customWidth="1"/>
    <col min="14087" max="14087" width="14" style="4" customWidth="1"/>
    <col min="14088" max="14088" width="9" style="4" hidden="1" customWidth="1"/>
    <col min="14089" max="14089" width="23.7109375" style="4" customWidth="1"/>
    <col min="14090" max="14090" width="10.85546875" style="4" customWidth="1"/>
    <col min="14091" max="14091" width="37.140625" style="4" customWidth="1"/>
    <col min="14092" max="14092" width="16.42578125" style="4" customWidth="1"/>
    <col min="14093" max="14093" width="9.140625" style="4"/>
    <col min="14094" max="14096" width="11" style="4" customWidth="1"/>
    <col min="14097" max="14336" width="9.140625" style="4"/>
    <col min="14337" max="14337" width="9" style="4" hidden="1" customWidth="1"/>
    <col min="14338" max="14338" width="5.7109375" style="4" customWidth="1"/>
    <col min="14339" max="14339" width="24.5703125" style="4" customWidth="1"/>
    <col min="14340" max="14340" width="9.28515625" style="4" customWidth="1"/>
    <col min="14341" max="14341" width="14.7109375" style="4" customWidth="1"/>
    <col min="14342" max="14342" width="7.42578125" style="4" customWidth="1"/>
    <col min="14343" max="14343" width="14" style="4" customWidth="1"/>
    <col min="14344" max="14344" width="9" style="4" hidden="1" customWidth="1"/>
    <col min="14345" max="14345" width="23.7109375" style="4" customWidth="1"/>
    <col min="14346" max="14346" width="10.85546875" style="4" customWidth="1"/>
    <col min="14347" max="14347" width="37.140625" style="4" customWidth="1"/>
    <col min="14348" max="14348" width="16.42578125" style="4" customWidth="1"/>
    <col min="14349" max="14349" width="9.140625" style="4"/>
    <col min="14350" max="14352" width="11" style="4" customWidth="1"/>
    <col min="14353" max="14592" width="9.140625" style="4"/>
    <col min="14593" max="14593" width="9" style="4" hidden="1" customWidth="1"/>
    <col min="14594" max="14594" width="5.7109375" style="4" customWidth="1"/>
    <col min="14595" max="14595" width="24.5703125" style="4" customWidth="1"/>
    <col min="14596" max="14596" width="9.28515625" style="4" customWidth="1"/>
    <col min="14597" max="14597" width="14.7109375" style="4" customWidth="1"/>
    <col min="14598" max="14598" width="7.42578125" style="4" customWidth="1"/>
    <col min="14599" max="14599" width="14" style="4" customWidth="1"/>
    <col min="14600" max="14600" width="9" style="4" hidden="1" customWidth="1"/>
    <col min="14601" max="14601" width="23.7109375" style="4" customWidth="1"/>
    <col min="14602" max="14602" width="10.85546875" style="4" customWidth="1"/>
    <col min="14603" max="14603" width="37.140625" style="4" customWidth="1"/>
    <col min="14604" max="14604" width="16.42578125" style="4" customWidth="1"/>
    <col min="14605" max="14605" width="9.140625" style="4"/>
    <col min="14606" max="14608" width="11" style="4" customWidth="1"/>
    <col min="14609" max="14848" width="9.140625" style="4"/>
    <col min="14849" max="14849" width="9" style="4" hidden="1" customWidth="1"/>
    <col min="14850" max="14850" width="5.7109375" style="4" customWidth="1"/>
    <col min="14851" max="14851" width="24.5703125" style="4" customWidth="1"/>
    <col min="14852" max="14852" width="9.28515625" style="4" customWidth="1"/>
    <col min="14853" max="14853" width="14.7109375" style="4" customWidth="1"/>
    <col min="14854" max="14854" width="7.42578125" style="4" customWidth="1"/>
    <col min="14855" max="14855" width="14" style="4" customWidth="1"/>
    <col min="14856" max="14856" width="9" style="4" hidden="1" customWidth="1"/>
    <col min="14857" max="14857" width="23.7109375" style="4" customWidth="1"/>
    <col min="14858" max="14858" width="10.85546875" style="4" customWidth="1"/>
    <col min="14859" max="14859" width="37.140625" style="4" customWidth="1"/>
    <col min="14860" max="14860" width="16.42578125" style="4" customWidth="1"/>
    <col min="14861" max="14861" width="9.140625" style="4"/>
    <col min="14862" max="14864" width="11" style="4" customWidth="1"/>
    <col min="14865" max="15104" width="9.140625" style="4"/>
    <col min="15105" max="15105" width="9" style="4" hidden="1" customWidth="1"/>
    <col min="15106" max="15106" width="5.7109375" style="4" customWidth="1"/>
    <col min="15107" max="15107" width="24.5703125" style="4" customWidth="1"/>
    <col min="15108" max="15108" width="9.28515625" style="4" customWidth="1"/>
    <col min="15109" max="15109" width="14.7109375" style="4" customWidth="1"/>
    <col min="15110" max="15110" width="7.42578125" style="4" customWidth="1"/>
    <col min="15111" max="15111" width="14" style="4" customWidth="1"/>
    <col min="15112" max="15112" width="9" style="4" hidden="1" customWidth="1"/>
    <col min="15113" max="15113" width="23.7109375" style="4" customWidth="1"/>
    <col min="15114" max="15114" width="10.85546875" style="4" customWidth="1"/>
    <col min="15115" max="15115" width="37.140625" style="4" customWidth="1"/>
    <col min="15116" max="15116" width="16.42578125" style="4" customWidth="1"/>
    <col min="15117" max="15117" width="9.140625" style="4"/>
    <col min="15118" max="15120" width="11" style="4" customWidth="1"/>
    <col min="15121" max="15360" width="9.140625" style="4"/>
    <col min="15361" max="15361" width="9" style="4" hidden="1" customWidth="1"/>
    <col min="15362" max="15362" width="5.7109375" style="4" customWidth="1"/>
    <col min="15363" max="15363" width="24.5703125" style="4" customWidth="1"/>
    <col min="15364" max="15364" width="9.28515625" style="4" customWidth="1"/>
    <col min="15365" max="15365" width="14.7109375" style="4" customWidth="1"/>
    <col min="15366" max="15366" width="7.42578125" style="4" customWidth="1"/>
    <col min="15367" max="15367" width="14" style="4" customWidth="1"/>
    <col min="15368" max="15368" width="9" style="4" hidden="1" customWidth="1"/>
    <col min="15369" max="15369" width="23.7109375" style="4" customWidth="1"/>
    <col min="15370" max="15370" width="10.85546875" style="4" customWidth="1"/>
    <col min="15371" max="15371" width="37.140625" style="4" customWidth="1"/>
    <col min="15372" max="15372" width="16.42578125" style="4" customWidth="1"/>
    <col min="15373" max="15373" width="9.140625" style="4"/>
    <col min="15374" max="15376" width="11" style="4" customWidth="1"/>
    <col min="15377" max="15616" width="9.140625" style="4"/>
    <col min="15617" max="15617" width="9" style="4" hidden="1" customWidth="1"/>
    <col min="15618" max="15618" width="5.7109375" style="4" customWidth="1"/>
    <col min="15619" max="15619" width="24.5703125" style="4" customWidth="1"/>
    <col min="15620" max="15620" width="9.28515625" style="4" customWidth="1"/>
    <col min="15621" max="15621" width="14.7109375" style="4" customWidth="1"/>
    <col min="15622" max="15622" width="7.42578125" style="4" customWidth="1"/>
    <col min="15623" max="15623" width="14" style="4" customWidth="1"/>
    <col min="15624" max="15624" width="9" style="4" hidden="1" customWidth="1"/>
    <col min="15625" max="15625" width="23.7109375" style="4" customWidth="1"/>
    <col min="15626" max="15626" width="10.85546875" style="4" customWidth="1"/>
    <col min="15627" max="15627" width="37.140625" style="4" customWidth="1"/>
    <col min="15628" max="15628" width="16.42578125" style="4" customWidth="1"/>
    <col min="15629" max="15629" width="9.140625" style="4"/>
    <col min="15630" max="15632" width="11" style="4" customWidth="1"/>
    <col min="15633" max="15872" width="9.140625" style="4"/>
    <col min="15873" max="15873" width="9" style="4" hidden="1" customWidth="1"/>
    <col min="15874" max="15874" width="5.7109375" style="4" customWidth="1"/>
    <col min="15875" max="15875" width="24.5703125" style="4" customWidth="1"/>
    <col min="15876" max="15876" width="9.28515625" style="4" customWidth="1"/>
    <col min="15877" max="15877" width="14.7109375" style="4" customWidth="1"/>
    <col min="15878" max="15878" width="7.42578125" style="4" customWidth="1"/>
    <col min="15879" max="15879" width="14" style="4" customWidth="1"/>
    <col min="15880" max="15880" width="9" style="4" hidden="1" customWidth="1"/>
    <col min="15881" max="15881" width="23.7109375" style="4" customWidth="1"/>
    <col min="15882" max="15882" width="10.85546875" style="4" customWidth="1"/>
    <col min="15883" max="15883" width="37.140625" style="4" customWidth="1"/>
    <col min="15884" max="15884" width="16.42578125" style="4" customWidth="1"/>
    <col min="15885" max="15885" width="9.140625" style="4"/>
    <col min="15886" max="15888" width="11" style="4" customWidth="1"/>
    <col min="15889" max="16128" width="9.140625" style="4"/>
    <col min="16129" max="16129" width="9" style="4" hidden="1" customWidth="1"/>
    <col min="16130" max="16130" width="5.7109375" style="4" customWidth="1"/>
    <col min="16131" max="16131" width="24.5703125" style="4" customWidth="1"/>
    <col min="16132" max="16132" width="9.28515625" style="4" customWidth="1"/>
    <col min="16133" max="16133" width="14.7109375" style="4" customWidth="1"/>
    <col min="16134" max="16134" width="7.42578125" style="4" customWidth="1"/>
    <col min="16135" max="16135" width="14" style="4" customWidth="1"/>
    <col min="16136" max="16136" width="9" style="4" hidden="1" customWidth="1"/>
    <col min="16137" max="16137" width="23.7109375" style="4" customWidth="1"/>
    <col min="16138" max="16138" width="10.85546875" style="4" customWidth="1"/>
    <col min="16139" max="16139" width="37.140625" style="4" customWidth="1"/>
    <col min="16140" max="16140" width="16.42578125" style="4" customWidth="1"/>
    <col min="16141" max="16141" width="9.140625" style="4"/>
    <col min="16142" max="16144" width="11" style="4" customWidth="1"/>
    <col min="16145" max="16384" width="9.140625" style="4"/>
  </cols>
  <sheetData>
    <row r="1" spans="2:12" ht="18.75">
      <c r="B1" s="5" t="s">
        <v>1</v>
      </c>
      <c r="C1" s="6"/>
      <c r="D1" s="6"/>
      <c r="E1" s="6"/>
      <c r="F1" s="6"/>
      <c r="G1" s="6"/>
      <c r="H1" s="6"/>
      <c r="I1" s="6"/>
      <c r="J1" s="6"/>
    </row>
    <row r="2" spans="2:12" ht="16.5">
      <c r="B2" s="2"/>
      <c r="C2" s="2"/>
      <c r="D2" s="2"/>
      <c r="E2" s="2"/>
      <c r="F2" s="2"/>
      <c r="G2" s="2"/>
      <c r="H2" s="2"/>
      <c r="I2" s="2"/>
      <c r="J2" s="2"/>
    </row>
    <row r="3" spans="2:12" ht="20.25">
      <c r="B3" s="836" t="s">
        <v>251</v>
      </c>
      <c r="C3" s="836"/>
      <c r="D3" s="836"/>
      <c r="E3" s="836"/>
      <c r="F3" s="836"/>
      <c r="G3" s="836"/>
      <c r="H3" s="836"/>
      <c r="I3" s="836"/>
      <c r="J3" s="836"/>
    </row>
    <row r="4" spans="2:12" ht="20.25">
      <c r="B4" s="691" t="s">
        <v>252</v>
      </c>
      <c r="C4" s="691"/>
      <c r="D4" s="691"/>
      <c r="E4" s="691"/>
      <c r="F4" s="691"/>
      <c r="G4" s="691"/>
      <c r="H4" s="691"/>
      <c r="I4" s="691"/>
      <c r="J4" s="691"/>
    </row>
    <row r="5" spans="2:12" ht="18.75" hidden="1">
      <c r="B5" s="7"/>
      <c r="C5" s="7"/>
      <c r="D5" s="7"/>
      <c r="E5" s="8"/>
      <c r="F5" s="8"/>
      <c r="G5" s="8"/>
      <c r="H5" s="8"/>
      <c r="I5" s="7"/>
      <c r="J5" s="7"/>
    </row>
    <row r="6" spans="2:12" ht="20.25">
      <c r="B6" s="2"/>
      <c r="C6" s="9"/>
      <c r="D6" s="9"/>
      <c r="E6" s="10"/>
      <c r="F6" s="10"/>
      <c r="G6" s="10"/>
      <c r="H6" s="10"/>
      <c r="I6" s="9"/>
      <c r="J6" s="29"/>
    </row>
    <row r="7" spans="2:12" s="1" customFormat="1" ht="37.5">
      <c r="B7" s="11" t="s">
        <v>223</v>
      </c>
      <c r="C7" s="12" t="s">
        <v>7</v>
      </c>
      <c r="D7" s="11" t="s">
        <v>253</v>
      </c>
      <c r="E7" s="13" t="s">
        <v>254</v>
      </c>
      <c r="F7" s="13" t="s">
        <v>255</v>
      </c>
      <c r="G7" s="13" t="s">
        <v>19</v>
      </c>
      <c r="H7" s="13"/>
      <c r="I7" s="12" t="s">
        <v>187</v>
      </c>
      <c r="J7" s="12" t="s">
        <v>198</v>
      </c>
      <c r="K7" s="30"/>
    </row>
    <row r="8" spans="2:12" s="36" customFormat="1" ht="18.75">
      <c r="B8" s="14">
        <v>1</v>
      </c>
      <c r="C8" s="20" t="s">
        <v>30</v>
      </c>
      <c r="D8" s="267" t="s">
        <v>256</v>
      </c>
      <c r="E8" s="37">
        <f>6398400+1250000</f>
        <v>7648400</v>
      </c>
      <c r="F8" s="38">
        <v>12</v>
      </c>
      <c r="G8" s="39">
        <f t="shared" ref="G8:G15" si="0">ROUND(E8/25*F8,-3)</f>
        <v>3671000</v>
      </c>
      <c r="H8" s="37"/>
      <c r="I8" s="42"/>
      <c r="J8" s="42"/>
      <c r="K8" s="43"/>
      <c r="L8" s="44"/>
    </row>
    <row r="9" spans="2:12" s="36" customFormat="1" ht="18.75">
      <c r="B9" s="14">
        <v>2</v>
      </c>
      <c r="C9" s="20" t="s">
        <v>31</v>
      </c>
      <c r="D9" s="267" t="s">
        <v>257</v>
      </c>
      <c r="E9" s="37">
        <f>6547200+1250000</f>
        <v>7797200</v>
      </c>
      <c r="F9" s="38">
        <v>12</v>
      </c>
      <c r="G9" s="39">
        <f t="shared" si="0"/>
        <v>3743000</v>
      </c>
      <c r="H9" s="37"/>
      <c r="I9" s="42"/>
      <c r="J9" s="42"/>
      <c r="K9" s="43"/>
      <c r="L9" s="44"/>
    </row>
    <row r="10" spans="2:12" s="36" customFormat="1" ht="18.75">
      <c r="B10" s="14">
        <v>3</v>
      </c>
      <c r="C10" s="20" t="s">
        <v>258</v>
      </c>
      <c r="D10" s="267" t="s">
        <v>259</v>
      </c>
      <c r="E10" s="37">
        <f>6547200+1250000</f>
        <v>7797200</v>
      </c>
      <c r="F10" s="38">
        <v>12</v>
      </c>
      <c r="G10" s="39">
        <f t="shared" si="0"/>
        <v>3743000</v>
      </c>
      <c r="H10" s="37"/>
      <c r="I10" s="42"/>
      <c r="J10" s="42"/>
      <c r="K10" s="43"/>
      <c r="L10" s="44"/>
    </row>
    <row r="11" spans="2:12" s="36" customFormat="1" ht="18.75">
      <c r="B11" s="14">
        <v>4</v>
      </c>
      <c r="C11" s="20" t="s">
        <v>260</v>
      </c>
      <c r="D11" s="267" t="s">
        <v>261</v>
      </c>
      <c r="E11" s="37">
        <f>6398400+1250000</f>
        <v>7648400</v>
      </c>
      <c r="F11" s="38">
        <v>12</v>
      </c>
      <c r="G11" s="39">
        <f t="shared" si="0"/>
        <v>3671000</v>
      </c>
      <c r="H11" s="37"/>
      <c r="I11" s="42"/>
      <c r="J11" s="42"/>
      <c r="K11" s="43"/>
      <c r="L11" s="44"/>
    </row>
    <row r="12" spans="2:12" s="36" customFormat="1" ht="18.75">
      <c r="B12" s="14">
        <v>5</v>
      </c>
      <c r="C12" s="40" t="s">
        <v>33</v>
      </c>
      <c r="D12" s="267" t="s">
        <v>262</v>
      </c>
      <c r="E12" s="37">
        <f>6051200+1250000</f>
        <v>7301200</v>
      </c>
      <c r="F12" s="38">
        <v>12</v>
      </c>
      <c r="G12" s="39">
        <f t="shared" si="0"/>
        <v>3505000</v>
      </c>
      <c r="H12" s="37"/>
      <c r="I12" s="42"/>
      <c r="J12" s="42"/>
      <c r="K12" s="43"/>
      <c r="L12" s="44"/>
    </row>
    <row r="13" spans="2:12" s="36" customFormat="1" ht="18.75">
      <c r="B13" s="14">
        <v>6</v>
      </c>
      <c r="C13" s="40" t="s">
        <v>34</v>
      </c>
      <c r="D13" s="268" t="s">
        <v>263</v>
      </c>
      <c r="E13" s="37">
        <f>5681700+1250000</f>
        <v>6931700</v>
      </c>
      <c r="F13" s="38">
        <v>12</v>
      </c>
      <c r="G13" s="39">
        <f t="shared" si="0"/>
        <v>3327000</v>
      </c>
      <c r="H13" s="37"/>
      <c r="I13" s="42"/>
      <c r="J13" s="45"/>
      <c r="K13" s="43"/>
      <c r="L13" s="44"/>
    </row>
    <row r="14" spans="2:12" s="36" customFormat="1" ht="18.75">
      <c r="B14" s="14">
        <v>7</v>
      </c>
      <c r="C14" s="40" t="s">
        <v>37</v>
      </c>
      <c r="D14" s="268" t="s">
        <v>264</v>
      </c>
      <c r="E14" s="37">
        <f>5681700+1250000</f>
        <v>6931700</v>
      </c>
      <c r="F14" s="38">
        <v>12</v>
      </c>
      <c r="G14" s="39">
        <f t="shared" si="0"/>
        <v>3327000</v>
      </c>
      <c r="H14" s="37"/>
      <c r="I14" s="42"/>
      <c r="J14" s="45"/>
      <c r="K14" s="43"/>
      <c r="L14" s="44"/>
    </row>
    <row r="15" spans="2:12" s="36" customFormat="1" ht="18.75">
      <c r="B15" s="14">
        <v>8</v>
      </c>
      <c r="C15" s="40" t="s">
        <v>265</v>
      </c>
      <c r="D15" s="268" t="s">
        <v>266</v>
      </c>
      <c r="E15" s="37">
        <v>5681700</v>
      </c>
      <c r="F15" s="38">
        <v>12</v>
      </c>
      <c r="G15" s="39">
        <f t="shared" si="0"/>
        <v>2727000</v>
      </c>
      <c r="H15" s="37"/>
      <c r="I15" s="42"/>
      <c r="J15" s="45"/>
      <c r="L15" s="44"/>
    </row>
    <row r="16" spans="2:12" s="2" customFormat="1" ht="18.75">
      <c r="B16" s="837" t="s">
        <v>248</v>
      </c>
      <c r="C16" s="838"/>
      <c r="D16" s="839"/>
      <c r="E16" s="21"/>
      <c r="F16" s="21"/>
      <c r="G16" s="21">
        <f>SUM(G8:G15)</f>
        <v>27714000</v>
      </c>
      <c r="H16" s="21"/>
      <c r="I16" s="21"/>
      <c r="J16" s="21"/>
      <c r="L16" s="33"/>
    </row>
    <row r="17" spans="2:12" s="2" customFormat="1" ht="16.5" hidden="1">
      <c r="B17" s="22"/>
      <c r="C17" s="22"/>
      <c r="D17" s="22"/>
      <c r="E17" s="23"/>
      <c r="F17" s="23"/>
      <c r="G17" s="23"/>
      <c r="H17" s="23"/>
      <c r="I17" s="34"/>
      <c r="J17" s="34"/>
      <c r="K17" s="33"/>
    </row>
    <row r="18" spans="2:12" s="3" customFormat="1" ht="17.25">
      <c r="B18" s="24"/>
      <c r="C18" s="25" t="s">
        <v>267</v>
      </c>
      <c r="D18" s="24" t="str">
        <f>[5]!vnd(G16,"Uni",TRUE,TRUE,FALSE)</f>
        <v>Hai mươi bảy triệu, bảy trăm mười bốn nghìn đồng.</v>
      </c>
      <c r="E18" s="24"/>
      <c r="F18" s="24"/>
      <c r="G18" s="24"/>
      <c r="H18" s="35"/>
      <c r="I18" s="35"/>
      <c r="J18" s="35"/>
    </row>
    <row r="19" spans="2:12" s="2" customFormat="1" ht="16.5">
      <c r="D19" s="26"/>
      <c r="E19" s="26"/>
      <c r="F19" s="26"/>
      <c r="G19" s="835" t="s">
        <v>268</v>
      </c>
      <c r="H19" s="835"/>
      <c r="I19" s="835"/>
      <c r="J19" s="835"/>
      <c r="K19" s="26"/>
      <c r="L19" s="28"/>
    </row>
    <row r="20" spans="2:12" s="2" customFormat="1" ht="18.75">
      <c r="B20" s="822" t="s">
        <v>149</v>
      </c>
      <c r="C20" s="822"/>
      <c r="D20" s="822"/>
      <c r="E20" s="822"/>
      <c r="F20" s="27"/>
      <c r="G20" s="822" t="s">
        <v>150</v>
      </c>
      <c r="H20" s="822"/>
      <c r="I20" s="822"/>
      <c r="J20" s="822"/>
    </row>
    <row r="21" spans="2:12" s="2" customFormat="1" ht="16.5">
      <c r="B21" s="823"/>
      <c r="C21" s="823"/>
      <c r="D21" s="22"/>
    </row>
    <row r="22" spans="2:12" s="2" customFormat="1" ht="16.5">
      <c r="B22" s="22"/>
      <c r="C22" s="22"/>
      <c r="D22" s="22"/>
    </row>
    <row r="23" spans="2:12" s="2" customFormat="1" ht="16.5">
      <c r="B23" s="22"/>
      <c r="C23" s="22"/>
      <c r="D23" s="22"/>
    </row>
    <row r="24" spans="2:12" s="2" customFormat="1" ht="16.5">
      <c r="D24" s="28" t="s">
        <v>269</v>
      </c>
      <c r="I24" s="28"/>
      <c r="J24" s="28"/>
    </row>
    <row r="25" spans="2:12" s="2" customFormat="1" ht="16.5">
      <c r="E25" s="28"/>
      <c r="F25" s="28"/>
      <c r="G25" s="22"/>
      <c r="H25" s="22"/>
      <c r="I25" s="22"/>
      <c r="J25" s="22"/>
      <c r="K25" s="28"/>
    </row>
    <row r="26" spans="2:12" s="2" customFormat="1" ht="16.5">
      <c r="B26" s="823" t="s">
        <v>152</v>
      </c>
      <c r="C26" s="823"/>
      <c r="D26" s="823"/>
      <c r="E26" s="823"/>
      <c r="G26" s="823" t="s">
        <v>270</v>
      </c>
      <c r="H26" s="823"/>
      <c r="I26" s="823"/>
      <c r="J26" s="823"/>
    </row>
    <row r="27" spans="2:12" s="2" customFormat="1" ht="16.5"/>
    <row r="28" spans="2:12" s="2" customFormat="1" ht="16.5"/>
    <row r="29" spans="2:12" s="2" customFormat="1" ht="16.5"/>
    <row r="30" spans="2:12" s="2" customFormat="1" ht="16.5"/>
    <row r="31" spans="2:12" s="2" customFormat="1" ht="16.5"/>
  </sheetData>
  <mergeCells count="9">
    <mergeCell ref="B21:C21"/>
    <mergeCell ref="B26:E26"/>
    <mergeCell ref="G26:J26"/>
    <mergeCell ref="B3:J3"/>
    <mergeCell ref="B4:J4"/>
    <mergeCell ref="B16:D16"/>
    <mergeCell ref="G19:J19"/>
    <mergeCell ref="B20:E20"/>
    <mergeCell ref="G20:J20"/>
  </mergeCells>
  <conditionalFormatting sqref="C8:C12">
    <cfRule type="duplicateValues" dxfId="1" priority="2" stopIfTrue="1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WVR26"/>
  <sheetViews>
    <sheetView topLeftCell="B1" workbookViewId="0">
      <selection activeCell="F24" sqref="F24"/>
    </sheetView>
  </sheetViews>
  <sheetFormatPr defaultColWidth="9" defaultRowHeight="12.75"/>
  <cols>
    <col min="1" max="1" width="2.28515625" style="4" hidden="1" customWidth="1"/>
    <col min="2" max="2" width="5" style="4" customWidth="1"/>
    <col min="3" max="3" width="22.140625" style="4" customWidth="1"/>
    <col min="4" max="4" width="10.140625" style="4" customWidth="1"/>
    <col min="5" max="5" width="14.5703125" style="4" customWidth="1"/>
    <col min="6" max="6" width="7.42578125" style="4" customWidth="1"/>
    <col min="7" max="7" width="11.7109375" style="4" customWidth="1"/>
    <col min="8" max="8" width="14.85546875" style="4" customWidth="1"/>
    <col min="9" max="9" width="14" style="4" customWidth="1"/>
    <col min="10" max="10" width="23.7109375" style="4" hidden="1" customWidth="1"/>
    <col min="11" max="11" width="25.140625" style="4" customWidth="1"/>
    <col min="12" max="12" width="10.140625" style="4" customWidth="1"/>
    <col min="13" max="13" width="37.140625" style="4" customWidth="1"/>
    <col min="14" max="14" width="16.42578125" style="4" customWidth="1"/>
    <col min="15" max="15" width="9.140625" style="4"/>
    <col min="16" max="18" width="11" style="4" customWidth="1"/>
    <col min="19" max="258" width="9.140625" style="4"/>
    <col min="259" max="259" width="9" style="4" hidden="1" customWidth="1"/>
    <col min="260" max="260" width="5.7109375" style="4" customWidth="1"/>
    <col min="261" max="261" width="24.5703125" style="4" customWidth="1"/>
    <col min="262" max="262" width="9.28515625" style="4" customWidth="1"/>
    <col min="263" max="263" width="14.7109375" style="4" customWidth="1"/>
    <col min="264" max="264" width="7.42578125" style="4" customWidth="1"/>
    <col min="265" max="265" width="14" style="4" customWidth="1"/>
    <col min="266" max="266" width="9" style="4" hidden="1" customWidth="1"/>
    <col min="267" max="267" width="23.7109375" style="4" customWidth="1"/>
    <col min="268" max="268" width="10.85546875" style="4" customWidth="1"/>
    <col min="269" max="269" width="37.140625" style="4" customWidth="1"/>
    <col min="270" max="270" width="16.42578125" style="4" customWidth="1"/>
    <col min="271" max="271" width="9.140625" style="4"/>
    <col min="272" max="274" width="11" style="4" customWidth="1"/>
    <col min="275" max="514" width="9.140625" style="4"/>
    <col min="515" max="515" width="9" style="4" hidden="1" customWidth="1"/>
    <col min="516" max="516" width="5.7109375" style="4" customWidth="1"/>
    <col min="517" max="517" width="24.5703125" style="4" customWidth="1"/>
    <col min="518" max="518" width="9.28515625" style="4" customWidth="1"/>
    <col min="519" max="519" width="14.7109375" style="4" customWidth="1"/>
    <col min="520" max="520" width="7.42578125" style="4" customWidth="1"/>
    <col min="521" max="521" width="14" style="4" customWidth="1"/>
    <col min="522" max="522" width="9" style="4" hidden="1" customWidth="1"/>
    <col min="523" max="523" width="23.7109375" style="4" customWidth="1"/>
    <col min="524" max="524" width="10.85546875" style="4" customWidth="1"/>
    <col min="525" max="525" width="37.140625" style="4" customWidth="1"/>
    <col min="526" max="526" width="16.42578125" style="4" customWidth="1"/>
    <col min="527" max="527" width="9.140625" style="4"/>
    <col min="528" max="530" width="11" style="4" customWidth="1"/>
    <col min="531" max="770" width="9.140625" style="4"/>
    <col min="771" max="771" width="9" style="4" hidden="1" customWidth="1"/>
    <col min="772" max="772" width="5.7109375" style="4" customWidth="1"/>
    <col min="773" max="773" width="24.5703125" style="4" customWidth="1"/>
    <col min="774" max="774" width="9.28515625" style="4" customWidth="1"/>
    <col min="775" max="775" width="14.7109375" style="4" customWidth="1"/>
    <col min="776" max="776" width="7.42578125" style="4" customWidth="1"/>
    <col min="777" max="777" width="14" style="4" customWidth="1"/>
    <col min="778" max="778" width="9" style="4" hidden="1" customWidth="1"/>
    <col min="779" max="779" width="23.7109375" style="4" customWidth="1"/>
    <col min="780" max="780" width="10.85546875" style="4" customWidth="1"/>
    <col min="781" max="781" width="37.140625" style="4" customWidth="1"/>
    <col min="782" max="782" width="16.42578125" style="4" customWidth="1"/>
    <col min="783" max="783" width="9.140625" style="4"/>
    <col min="784" max="786" width="11" style="4" customWidth="1"/>
    <col min="787" max="1026" width="9.140625" style="4"/>
    <col min="1027" max="1027" width="9" style="4" hidden="1" customWidth="1"/>
    <col min="1028" max="1028" width="5.7109375" style="4" customWidth="1"/>
    <col min="1029" max="1029" width="24.5703125" style="4" customWidth="1"/>
    <col min="1030" max="1030" width="9.28515625" style="4" customWidth="1"/>
    <col min="1031" max="1031" width="14.7109375" style="4" customWidth="1"/>
    <col min="1032" max="1032" width="7.42578125" style="4" customWidth="1"/>
    <col min="1033" max="1033" width="14" style="4" customWidth="1"/>
    <col min="1034" max="1034" width="9" style="4" hidden="1" customWidth="1"/>
    <col min="1035" max="1035" width="23.7109375" style="4" customWidth="1"/>
    <col min="1036" max="1036" width="10.85546875" style="4" customWidth="1"/>
    <col min="1037" max="1037" width="37.140625" style="4" customWidth="1"/>
    <col min="1038" max="1038" width="16.42578125" style="4" customWidth="1"/>
    <col min="1039" max="1039" width="9.140625" style="4"/>
    <col min="1040" max="1042" width="11" style="4" customWidth="1"/>
    <col min="1043" max="1282" width="9.140625" style="4"/>
    <col min="1283" max="1283" width="9" style="4" hidden="1" customWidth="1"/>
    <col min="1284" max="1284" width="5.7109375" style="4" customWidth="1"/>
    <col min="1285" max="1285" width="24.5703125" style="4" customWidth="1"/>
    <col min="1286" max="1286" width="9.28515625" style="4" customWidth="1"/>
    <col min="1287" max="1287" width="14.7109375" style="4" customWidth="1"/>
    <col min="1288" max="1288" width="7.42578125" style="4" customWidth="1"/>
    <col min="1289" max="1289" width="14" style="4" customWidth="1"/>
    <col min="1290" max="1290" width="9" style="4" hidden="1" customWidth="1"/>
    <col min="1291" max="1291" width="23.7109375" style="4" customWidth="1"/>
    <col min="1292" max="1292" width="10.85546875" style="4" customWidth="1"/>
    <col min="1293" max="1293" width="37.140625" style="4" customWidth="1"/>
    <col min="1294" max="1294" width="16.42578125" style="4" customWidth="1"/>
    <col min="1295" max="1295" width="9.140625" style="4"/>
    <col min="1296" max="1298" width="11" style="4" customWidth="1"/>
    <col min="1299" max="1538" width="9.140625" style="4"/>
    <col min="1539" max="1539" width="9" style="4" hidden="1" customWidth="1"/>
    <col min="1540" max="1540" width="5.7109375" style="4" customWidth="1"/>
    <col min="1541" max="1541" width="24.5703125" style="4" customWidth="1"/>
    <col min="1542" max="1542" width="9.28515625" style="4" customWidth="1"/>
    <col min="1543" max="1543" width="14.7109375" style="4" customWidth="1"/>
    <col min="1544" max="1544" width="7.42578125" style="4" customWidth="1"/>
    <col min="1545" max="1545" width="14" style="4" customWidth="1"/>
    <col min="1546" max="1546" width="9" style="4" hidden="1" customWidth="1"/>
    <col min="1547" max="1547" width="23.7109375" style="4" customWidth="1"/>
    <col min="1548" max="1548" width="10.85546875" style="4" customWidth="1"/>
    <col min="1549" max="1549" width="37.140625" style="4" customWidth="1"/>
    <col min="1550" max="1550" width="16.42578125" style="4" customWidth="1"/>
    <col min="1551" max="1551" width="9.140625" style="4"/>
    <col min="1552" max="1554" width="11" style="4" customWidth="1"/>
    <col min="1555" max="1794" width="9.140625" style="4"/>
    <col min="1795" max="1795" width="9" style="4" hidden="1" customWidth="1"/>
    <col min="1796" max="1796" width="5.7109375" style="4" customWidth="1"/>
    <col min="1797" max="1797" width="24.5703125" style="4" customWidth="1"/>
    <col min="1798" max="1798" width="9.28515625" style="4" customWidth="1"/>
    <col min="1799" max="1799" width="14.7109375" style="4" customWidth="1"/>
    <col min="1800" max="1800" width="7.42578125" style="4" customWidth="1"/>
    <col min="1801" max="1801" width="14" style="4" customWidth="1"/>
    <col min="1802" max="1802" width="9" style="4" hidden="1" customWidth="1"/>
    <col min="1803" max="1803" width="23.7109375" style="4" customWidth="1"/>
    <col min="1804" max="1804" width="10.85546875" style="4" customWidth="1"/>
    <col min="1805" max="1805" width="37.140625" style="4" customWidth="1"/>
    <col min="1806" max="1806" width="16.42578125" style="4" customWidth="1"/>
    <col min="1807" max="1807" width="9.140625" style="4"/>
    <col min="1808" max="1810" width="11" style="4" customWidth="1"/>
    <col min="1811" max="2050" width="9.140625" style="4"/>
    <col min="2051" max="2051" width="9" style="4" hidden="1" customWidth="1"/>
    <col min="2052" max="2052" width="5.7109375" style="4" customWidth="1"/>
    <col min="2053" max="2053" width="24.5703125" style="4" customWidth="1"/>
    <col min="2054" max="2054" width="9.28515625" style="4" customWidth="1"/>
    <col min="2055" max="2055" width="14.7109375" style="4" customWidth="1"/>
    <col min="2056" max="2056" width="7.42578125" style="4" customWidth="1"/>
    <col min="2057" max="2057" width="14" style="4" customWidth="1"/>
    <col min="2058" max="2058" width="9" style="4" hidden="1" customWidth="1"/>
    <col min="2059" max="2059" width="23.7109375" style="4" customWidth="1"/>
    <col min="2060" max="2060" width="10.85546875" style="4" customWidth="1"/>
    <col min="2061" max="2061" width="37.140625" style="4" customWidth="1"/>
    <col min="2062" max="2062" width="16.42578125" style="4" customWidth="1"/>
    <col min="2063" max="2063" width="9.140625" style="4"/>
    <col min="2064" max="2066" width="11" style="4" customWidth="1"/>
    <col min="2067" max="2306" width="9.140625" style="4"/>
    <col min="2307" max="2307" width="9" style="4" hidden="1" customWidth="1"/>
    <col min="2308" max="2308" width="5.7109375" style="4" customWidth="1"/>
    <col min="2309" max="2309" width="24.5703125" style="4" customWidth="1"/>
    <col min="2310" max="2310" width="9.28515625" style="4" customWidth="1"/>
    <col min="2311" max="2311" width="14.7109375" style="4" customWidth="1"/>
    <col min="2312" max="2312" width="7.42578125" style="4" customWidth="1"/>
    <col min="2313" max="2313" width="14" style="4" customWidth="1"/>
    <col min="2314" max="2314" width="9" style="4" hidden="1" customWidth="1"/>
    <col min="2315" max="2315" width="23.7109375" style="4" customWidth="1"/>
    <col min="2316" max="2316" width="10.85546875" style="4" customWidth="1"/>
    <col min="2317" max="2317" width="37.140625" style="4" customWidth="1"/>
    <col min="2318" max="2318" width="16.42578125" style="4" customWidth="1"/>
    <col min="2319" max="2319" width="9.140625" style="4"/>
    <col min="2320" max="2322" width="11" style="4" customWidth="1"/>
    <col min="2323" max="2562" width="9.140625" style="4"/>
    <col min="2563" max="2563" width="9" style="4" hidden="1" customWidth="1"/>
    <col min="2564" max="2564" width="5.7109375" style="4" customWidth="1"/>
    <col min="2565" max="2565" width="24.5703125" style="4" customWidth="1"/>
    <col min="2566" max="2566" width="9.28515625" style="4" customWidth="1"/>
    <col min="2567" max="2567" width="14.7109375" style="4" customWidth="1"/>
    <col min="2568" max="2568" width="7.42578125" style="4" customWidth="1"/>
    <col min="2569" max="2569" width="14" style="4" customWidth="1"/>
    <col min="2570" max="2570" width="9" style="4" hidden="1" customWidth="1"/>
    <col min="2571" max="2571" width="23.7109375" style="4" customWidth="1"/>
    <col min="2572" max="2572" width="10.85546875" style="4" customWidth="1"/>
    <col min="2573" max="2573" width="37.140625" style="4" customWidth="1"/>
    <col min="2574" max="2574" width="16.42578125" style="4" customWidth="1"/>
    <col min="2575" max="2575" width="9.140625" style="4"/>
    <col min="2576" max="2578" width="11" style="4" customWidth="1"/>
    <col min="2579" max="2818" width="9.140625" style="4"/>
    <col min="2819" max="2819" width="9" style="4" hidden="1" customWidth="1"/>
    <col min="2820" max="2820" width="5.7109375" style="4" customWidth="1"/>
    <col min="2821" max="2821" width="24.5703125" style="4" customWidth="1"/>
    <col min="2822" max="2822" width="9.28515625" style="4" customWidth="1"/>
    <col min="2823" max="2823" width="14.7109375" style="4" customWidth="1"/>
    <col min="2824" max="2824" width="7.42578125" style="4" customWidth="1"/>
    <col min="2825" max="2825" width="14" style="4" customWidth="1"/>
    <col min="2826" max="2826" width="9" style="4" hidden="1" customWidth="1"/>
    <col min="2827" max="2827" width="23.7109375" style="4" customWidth="1"/>
    <col min="2828" max="2828" width="10.85546875" style="4" customWidth="1"/>
    <col min="2829" max="2829" width="37.140625" style="4" customWidth="1"/>
    <col min="2830" max="2830" width="16.42578125" style="4" customWidth="1"/>
    <col min="2831" max="2831" width="9.140625" style="4"/>
    <col min="2832" max="2834" width="11" style="4" customWidth="1"/>
    <col min="2835" max="3074" width="9.140625" style="4"/>
    <col min="3075" max="3075" width="9" style="4" hidden="1" customWidth="1"/>
    <col min="3076" max="3076" width="5.7109375" style="4" customWidth="1"/>
    <col min="3077" max="3077" width="24.5703125" style="4" customWidth="1"/>
    <col min="3078" max="3078" width="9.28515625" style="4" customWidth="1"/>
    <col min="3079" max="3079" width="14.7109375" style="4" customWidth="1"/>
    <col min="3080" max="3080" width="7.42578125" style="4" customWidth="1"/>
    <col min="3081" max="3081" width="14" style="4" customWidth="1"/>
    <col min="3082" max="3082" width="9" style="4" hidden="1" customWidth="1"/>
    <col min="3083" max="3083" width="23.7109375" style="4" customWidth="1"/>
    <col min="3084" max="3084" width="10.85546875" style="4" customWidth="1"/>
    <col min="3085" max="3085" width="37.140625" style="4" customWidth="1"/>
    <col min="3086" max="3086" width="16.42578125" style="4" customWidth="1"/>
    <col min="3087" max="3087" width="9.140625" style="4"/>
    <col min="3088" max="3090" width="11" style="4" customWidth="1"/>
    <col min="3091" max="3330" width="9.140625" style="4"/>
    <col min="3331" max="3331" width="9" style="4" hidden="1" customWidth="1"/>
    <col min="3332" max="3332" width="5.7109375" style="4" customWidth="1"/>
    <col min="3333" max="3333" width="24.5703125" style="4" customWidth="1"/>
    <col min="3334" max="3334" width="9.28515625" style="4" customWidth="1"/>
    <col min="3335" max="3335" width="14.7109375" style="4" customWidth="1"/>
    <col min="3336" max="3336" width="7.42578125" style="4" customWidth="1"/>
    <col min="3337" max="3337" width="14" style="4" customWidth="1"/>
    <col min="3338" max="3338" width="9" style="4" hidden="1" customWidth="1"/>
    <col min="3339" max="3339" width="23.7109375" style="4" customWidth="1"/>
    <col min="3340" max="3340" width="10.85546875" style="4" customWidth="1"/>
    <col min="3341" max="3341" width="37.140625" style="4" customWidth="1"/>
    <col min="3342" max="3342" width="16.42578125" style="4" customWidth="1"/>
    <col min="3343" max="3343" width="9.140625" style="4"/>
    <col min="3344" max="3346" width="11" style="4" customWidth="1"/>
    <col min="3347" max="3586" width="9.140625" style="4"/>
    <col min="3587" max="3587" width="9" style="4" hidden="1" customWidth="1"/>
    <col min="3588" max="3588" width="5.7109375" style="4" customWidth="1"/>
    <col min="3589" max="3589" width="24.5703125" style="4" customWidth="1"/>
    <col min="3590" max="3590" width="9.28515625" style="4" customWidth="1"/>
    <col min="3591" max="3591" width="14.7109375" style="4" customWidth="1"/>
    <col min="3592" max="3592" width="7.42578125" style="4" customWidth="1"/>
    <col min="3593" max="3593" width="14" style="4" customWidth="1"/>
    <col min="3594" max="3594" width="9" style="4" hidden="1" customWidth="1"/>
    <col min="3595" max="3595" width="23.7109375" style="4" customWidth="1"/>
    <col min="3596" max="3596" width="10.85546875" style="4" customWidth="1"/>
    <col min="3597" max="3597" width="37.140625" style="4" customWidth="1"/>
    <col min="3598" max="3598" width="16.42578125" style="4" customWidth="1"/>
    <col min="3599" max="3599" width="9.140625" style="4"/>
    <col min="3600" max="3602" width="11" style="4" customWidth="1"/>
    <col min="3603" max="3842" width="9.140625" style="4"/>
    <col min="3843" max="3843" width="9" style="4" hidden="1" customWidth="1"/>
    <col min="3844" max="3844" width="5.7109375" style="4" customWidth="1"/>
    <col min="3845" max="3845" width="24.5703125" style="4" customWidth="1"/>
    <col min="3846" max="3846" width="9.28515625" style="4" customWidth="1"/>
    <col min="3847" max="3847" width="14.7109375" style="4" customWidth="1"/>
    <col min="3848" max="3848" width="7.42578125" style="4" customWidth="1"/>
    <col min="3849" max="3849" width="14" style="4" customWidth="1"/>
    <col min="3850" max="3850" width="9" style="4" hidden="1" customWidth="1"/>
    <col min="3851" max="3851" width="23.7109375" style="4" customWidth="1"/>
    <col min="3852" max="3852" width="10.85546875" style="4" customWidth="1"/>
    <col min="3853" max="3853" width="37.140625" style="4" customWidth="1"/>
    <col min="3854" max="3854" width="16.42578125" style="4" customWidth="1"/>
    <col min="3855" max="3855" width="9.140625" style="4"/>
    <col min="3856" max="3858" width="11" style="4" customWidth="1"/>
    <col min="3859" max="4098" width="9.140625" style="4"/>
    <col min="4099" max="4099" width="9" style="4" hidden="1" customWidth="1"/>
    <col min="4100" max="4100" width="5.7109375" style="4" customWidth="1"/>
    <col min="4101" max="4101" width="24.5703125" style="4" customWidth="1"/>
    <col min="4102" max="4102" width="9.28515625" style="4" customWidth="1"/>
    <col min="4103" max="4103" width="14.7109375" style="4" customWidth="1"/>
    <col min="4104" max="4104" width="7.42578125" style="4" customWidth="1"/>
    <col min="4105" max="4105" width="14" style="4" customWidth="1"/>
    <col min="4106" max="4106" width="9" style="4" hidden="1" customWidth="1"/>
    <col min="4107" max="4107" width="23.7109375" style="4" customWidth="1"/>
    <col min="4108" max="4108" width="10.85546875" style="4" customWidth="1"/>
    <col min="4109" max="4109" width="37.140625" style="4" customWidth="1"/>
    <col min="4110" max="4110" width="16.42578125" style="4" customWidth="1"/>
    <col min="4111" max="4111" width="9.140625" style="4"/>
    <col min="4112" max="4114" width="11" style="4" customWidth="1"/>
    <col min="4115" max="4354" width="9.140625" style="4"/>
    <col min="4355" max="4355" width="9" style="4" hidden="1" customWidth="1"/>
    <col min="4356" max="4356" width="5.7109375" style="4" customWidth="1"/>
    <col min="4357" max="4357" width="24.5703125" style="4" customWidth="1"/>
    <col min="4358" max="4358" width="9.28515625" style="4" customWidth="1"/>
    <col min="4359" max="4359" width="14.7109375" style="4" customWidth="1"/>
    <col min="4360" max="4360" width="7.42578125" style="4" customWidth="1"/>
    <col min="4361" max="4361" width="14" style="4" customWidth="1"/>
    <col min="4362" max="4362" width="9" style="4" hidden="1" customWidth="1"/>
    <col min="4363" max="4363" width="23.7109375" style="4" customWidth="1"/>
    <col min="4364" max="4364" width="10.85546875" style="4" customWidth="1"/>
    <col min="4365" max="4365" width="37.140625" style="4" customWidth="1"/>
    <col min="4366" max="4366" width="16.42578125" style="4" customWidth="1"/>
    <col min="4367" max="4367" width="9.140625" style="4"/>
    <col min="4368" max="4370" width="11" style="4" customWidth="1"/>
    <col min="4371" max="4610" width="9.140625" style="4"/>
    <col min="4611" max="4611" width="9" style="4" hidden="1" customWidth="1"/>
    <col min="4612" max="4612" width="5.7109375" style="4" customWidth="1"/>
    <col min="4613" max="4613" width="24.5703125" style="4" customWidth="1"/>
    <col min="4614" max="4614" width="9.28515625" style="4" customWidth="1"/>
    <col min="4615" max="4615" width="14.7109375" style="4" customWidth="1"/>
    <col min="4616" max="4616" width="7.42578125" style="4" customWidth="1"/>
    <col min="4617" max="4617" width="14" style="4" customWidth="1"/>
    <col min="4618" max="4618" width="9" style="4" hidden="1" customWidth="1"/>
    <col min="4619" max="4619" width="23.7109375" style="4" customWidth="1"/>
    <col min="4620" max="4620" width="10.85546875" style="4" customWidth="1"/>
    <col min="4621" max="4621" width="37.140625" style="4" customWidth="1"/>
    <col min="4622" max="4622" width="16.42578125" style="4" customWidth="1"/>
    <col min="4623" max="4623" width="9.140625" style="4"/>
    <col min="4624" max="4626" width="11" style="4" customWidth="1"/>
    <col min="4627" max="4866" width="9.140625" style="4"/>
    <col min="4867" max="4867" width="9" style="4" hidden="1" customWidth="1"/>
    <col min="4868" max="4868" width="5.7109375" style="4" customWidth="1"/>
    <col min="4869" max="4869" width="24.5703125" style="4" customWidth="1"/>
    <col min="4870" max="4870" width="9.28515625" style="4" customWidth="1"/>
    <col min="4871" max="4871" width="14.7109375" style="4" customWidth="1"/>
    <col min="4872" max="4872" width="7.42578125" style="4" customWidth="1"/>
    <col min="4873" max="4873" width="14" style="4" customWidth="1"/>
    <col min="4874" max="4874" width="9" style="4" hidden="1" customWidth="1"/>
    <col min="4875" max="4875" width="23.7109375" style="4" customWidth="1"/>
    <col min="4876" max="4876" width="10.85546875" style="4" customWidth="1"/>
    <col min="4877" max="4877" width="37.140625" style="4" customWidth="1"/>
    <col min="4878" max="4878" width="16.42578125" style="4" customWidth="1"/>
    <col min="4879" max="4879" width="9.140625" style="4"/>
    <col min="4880" max="4882" width="11" style="4" customWidth="1"/>
    <col min="4883" max="5122" width="9.140625" style="4"/>
    <col min="5123" max="5123" width="9" style="4" hidden="1" customWidth="1"/>
    <col min="5124" max="5124" width="5.7109375" style="4" customWidth="1"/>
    <col min="5125" max="5125" width="24.5703125" style="4" customWidth="1"/>
    <col min="5126" max="5126" width="9.28515625" style="4" customWidth="1"/>
    <col min="5127" max="5127" width="14.7109375" style="4" customWidth="1"/>
    <col min="5128" max="5128" width="7.42578125" style="4" customWidth="1"/>
    <col min="5129" max="5129" width="14" style="4" customWidth="1"/>
    <col min="5130" max="5130" width="9" style="4" hidden="1" customWidth="1"/>
    <col min="5131" max="5131" width="23.7109375" style="4" customWidth="1"/>
    <col min="5132" max="5132" width="10.85546875" style="4" customWidth="1"/>
    <col min="5133" max="5133" width="37.140625" style="4" customWidth="1"/>
    <col min="5134" max="5134" width="16.42578125" style="4" customWidth="1"/>
    <col min="5135" max="5135" width="9.140625" style="4"/>
    <col min="5136" max="5138" width="11" style="4" customWidth="1"/>
    <col min="5139" max="5378" width="9.140625" style="4"/>
    <col min="5379" max="5379" width="9" style="4" hidden="1" customWidth="1"/>
    <col min="5380" max="5380" width="5.7109375" style="4" customWidth="1"/>
    <col min="5381" max="5381" width="24.5703125" style="4" customWidth="1"/>
    <col min="5382" max="5382" width="9.28515625" style="4" customWidth="1"/>
    <col min="5383" max="5383" width="14.7109375" style="4" customWidth="1"/>
    <col min="5384" max="5384" width="7.42578125" style="4" customWidth="1"/>
    <col min="5385" max="5385" width="14" style="4" customWidth="1"/>
    <col min="5386" max="5386" width="9" style="4" hidden="1" customWidth="1"/>
    <col min="5387" max="5387" width="23.7109375" style="4" customWidth="1"/>
    <col min="5388" max="5388" width="10.85546875" style="4" customWidth="1"/>
    <col min="5389" max="5389" width="37.140625" style="4" customWidth="1"/>
    <col min="5390" max="5390" width="16.42578125" style="4" customWidth="1"/>
    <col min="5391" max="5391" width="9.140625" style="4"/>
    <col min="5392" max="5394" width="11" style="4" customWidth="1"/>
    <col min="5395" max="5634" width="9.140625" style="4"/>
    <col min="5635" max="5635" width="9" style="4" hidden="1" customWidth="1"/>
    <col min="5636" max="5636" width="5.7109375" style="4" customWidth="1"/>
    <col min="5637" max="5637" width="24.5703125" style="4" customWidth="1"/>
    <col min="5638" max="5638" width="9.28515625" style="4" customWidth="1"/>
    <col min="5639" max="5639" width="14.7109375" style="4" customWidth="1"/>
    <col min="5640" max="5640" width="7.42578125" style="4" customWidth="1"/>
    <col min="5641" max="5641" width="14" style="4" customWidth="1"/>
    <col min="5642" max="5642" width="9" style="4" hidden="1" customWidth="1"/>
    <col min="5643" max="5643" width="23.7109375" style="4" customWidth="1"/>
    <col min="5644" max="5644" width="10.85546875" style="4" customWidth="1"/>
    <col min="5645" max="5645" width="37.140625" style="4" customWidth="1"/>
    <col min="5646" max="5646" width="16.42578125" style="4" customWidth="1"/>
    <col min="5647" max="5647" width="9.140625" style="4"/>
    <col min="5648" max="5650" width="11" style="4" customWidth="1"/>
    <col min="5651" max="5890" width="9.140625" style="4"/>
    <col min="5891" max="5891" width="9" style="4" hidden="1" customWidth="1"/>
    <col min="5892" max="5892" width="5.7109375" style="4" customWidth="1"/>
    <col min="5893" max="5893" width="24.5703125" style="4" customWidth="1"/>
    <col min="5894" max="5894" width="9.28515625" style="4" customWidth="1"/>
    <col min="5895" max="5895" width="14.7109375" style="4" customWidth="1"/>
    <col min="5896" max="5896" width="7.42578125" style="4" customWidth="1"/>
    <col min="5897" max="5897" width="14" style="4" customWidth="1"/>
    <col min="5898" max="5898" width="9" style="4" hidden="1" customWidth="1"/>
    <col min="5899" max="5899" width="23.7109375" style="4" customWidth="1"/>
    <col min="5900" max="5900" width="10.85546875" style="4" customWidth="1"/>
    <col min="5901" max="5901" width="37.140625" style="4" customWidth="1"/>
    <col min="5902" max="5902" width="16.42578125" style="4" customWidth="1"/>
    <col min="5903" max="5903" width="9.140625" style="4"/>
    <col min="5904" max="5906" width="11" style="4" customWidth="1"/>
    <col min="5907" max="6146" width="9.140625" style="4"/>
    <col min="6147" max="6147" width="9" style="4" hidden="1" customWidth="1"/>
    <col min="6148" max="6148" width="5.7109375" style="4" customWidth="1"/>
    <col min="6149" max="6149" width="24.5703125" style="4" customWidth="1"/>
    <col min="6150" max="6150" width="9.28515625" style="4" customWidth="1"/>
    <col min="6151" max="6151" width="14.7109375" style="4" customWidth="1"/>
    <col min="6152" max="6152" width="7.42578125" style="4" customWidth="1"/>
    <col min="6153" max="6153" width="14" style="4" customWidth="1"/>
    <col min="6154" max="6154" width="9" style="4" hidden="1" customWidth="1"/>
    <col min="6155" max="6155" width="23.7109375" style="4" customWidth="1"/>
    <col min="6156" max="6156" width="10.85546875" style="4" customWidth="1"/>
    <col min="6157" max="6157" width="37.140625" style="4" customWidth="1"/>
    <col min="6158" max="6158" width="16.42578125" style="4" customWidth="1"/>
    <col min="6159" max="6159" width="9.140625" style="4"/>
    <col min="6160" max="6162" width="11" style="4" customWidth="1"/>
    <col min="6163" max="6402" width="9.140625" style="4"/>
    <col min="6403" max="6403" width="9" style="4" hidden="1" customWidth="1"/>
    <col min="6404" max="6404" width="5.7109375" style="4" customWidth="1"/>
    <col min="6405" max="6405" width="24.5703125" style="4" customWidth="1"/>
    <col min="6406" max="6406" width="9.28515625" style="4" customWidth="1"/>
    <col min="6407" max="6407" width="14.7109375" style="4" customWidth="1"/>
    <col min="6408" max="6408" width="7.42578125" style="4" customWidth="1"/>
    <col min="6409" max="6409" width="14" style="4" customWidth="1"/>
    <col min="6410" max="6410" width="9" style="4" hidden="1" customWidth="1"/>
    <col min="6411" max="6411" width="23.7109375" style="4" customWidth="1"/>
    <col min="6412" max="6412" width="10.85546875" style="4" customWidth="1"/>
    <col min="6413" max="6413" width="37.140625" style="4" customWidth="1"/>
    <col min="6414" max="6414" width="16.42578125" style="4" customWidth="1"/>
    <col min="6415" max="6415" width="9.140625" style="4"/>
    <col min="6416" max="6418" width="11" style="4" customWidth="1"/>
    <col min="6419" max="6658" width="9.140625" style="4"/>
    <col min="6659" max="6659" width="9" style="4" hidden="1" customWidth="1"/>
    <col min="6660" max="6660" width="5.7109375" style="4" customWidth="1"/>
    <col min="6661" max="6661" width="24.5703125" style="4" customWidth="1"/>
    <col min="6662" max="6662" width="9.28515625" style="4" customWidth="1"/>
    <col min="6663" max="6663" width="14.7109375" style="4" customWidth="1"/>
    <col min="6664" max="6664" width="7.42578125" style="4" customWidth="1"/>
    <col min="6665" max="6665" width="14" style="4" customWidth="1"/>
    <col min="6666" max="6666" width="9" style="4" hidden="1" customWidth="1"/>
    <col min="6667" max="6667" width="23.7109375" style="4" customWidth="1"/>
    <col min="6668" max="6668" width="10.85546875" style="4" customWidth="1"/>
    <col min="6669" max="6669" width="37.140625" style="4" customWidth="1"/>
    <col min="6670" max="6670" width="16.42578125" style="4" customWidth="1"/>
    <col min="6671" max="6671" width="9.140625" style="4"/>
    <col min="6672" max="6674" width="11" style="4" customWidth="1"/>
    <col min="6675" max="6914" width="9.140625" style="4"/>
    <col min="6915" max="6915" width="9" style="4" hidden="1" customWidth="1"/>
    <col min="6916" max="6916" width="5.7109375" style="4" customWidth="1"/>
    <col min="6917" max="6917" width="24.5703125" style="4" customWidth="1"/>
    <col min="6918" max="6918" width="9.28515625" style="4" customWidth="1"/>
    <col min="6919" max="6919" width="14.7109375" style="4" customWidth="1"/>
    <col min="6920" max="6920" width="7.42578125" style="4" customWidth="1"/>
    <col min="6921" max="6921" width="14" style="4" customWidth="1"/>
    <col min="6922" max="6922" width="9" style="4" hidden="1" customWidth="1"/>
    <col min="6923" max="6923" width="23.7109375" style="4" customWidth="1"/>
    <col min="6924" max="6924" width="10.85546875" style="4" customWidth="1"/>
    <col min="6925" max="6925" width="37.140625" style="4" customWidth="1"/>
    <col min="6926" max="6926" width="16.42578125" style="4" customWidth="1"/>
    <col min="6927" max="6927" width="9.140625" style="4"/>
    <col min="6928" max="6930" width="11" style="4" customWidth="1"/>
    <col min="6931" max="7170" width="9.140625" style="4"/>
    <col min="7171" max="7171" width="9" style="4" hidden="1" customWidth="1"/>
    <col min="7172" max="7172" width="5.7109375" style="4" customWidth="1"/>
    <col min="7173" max="7173" width="24.5703125" style="4" customWidth="1"/>
    <col min="7174" max="7174" width="9.28515625" style="4" customWidth="1"/>
    <col min="7175" max="7175" width="14.7109375" style="4" customWidth="1"/>
    <col min="7176" max="7176" width="7.42578125" style="4" customWidth="1"/>
    <col min="7177" max="7177" width="14" style="4" customWidth="1"/>
    <col min="7178" max="7178" width="9" style="4" hidden="1" customWidth="1"/>
    <col min="7179" max="7179" width="23.7109375" style="4" customWidth="1"/>
    <col min="7180" max="7180" width="10.85546875" style="4" customWidth="1"/>
    <col min="7181" max="7181" width="37.140625" style="4" customWidth="1"/>
    <col min="7182" max="7182" width="16.42578125" style="4" customWidth="1"/>
    <col min="7183" max="7183" width="9.140625" style="4"/>
    <col min="7184" max="7186" width="11" style="4" customWidth="1"/>
    <col min="7187" max="7426" width="9.140625" style="4"/>
    <col min="7427" max="7427" width="9" style="4" hidden="1" customWidth="1"/>
    <col min="7428" max="7428" width="5.7109375" style="4" customWidth="1"/>
    <col min="7429" max="7429" width="24.5703125" style="4" customWidth="1"/>
    <col min="7430" max="7430" width="9.28515625" style="4" customWidth="1"/>
    <col min="7431" max="7431" width="14.7109375" style="4" customWidth="1"/>
    <col min="7432" max="7432" width="7.42578125" style="4" customWidth="1"/>
    <col min="7433" max="7433" width="14" style="4" customWidth="1"/>
    <col min="7434" max="7434" width="9" style="4" hidden="1" customWidth="1"/>
    <col min="7435" max="7435" width="23.7109375" style="4" customWidth="1"/>
    <col min="7436" max="7436" width="10.85546875" style="4" customWidth="1"/>
    <col min="7437" max="7437" width="37.140625" style="4" customWidth="1"/>
    <col min="7438" max="7438" width="16.42578125" style="4" customWidth="1"/>
    <col min="7439" max="7439" width="9.140625" style="4"/>
    <col min="7440" max="7442" width="11" style="4" customWidth="1"/>
    <col min="7443" max="7682" width="9.140625" style="4"/>
    <col min="7683" max="7683" width="9" style="4" hidden="1" customWidth="1"/>
    <col min="7684" max="7684" width="5.7109375" style="4" customWidth="1"/>
    <col min="7685" max="7685" width="24.5703125" style="4" customWidth="1"/>
    <col min="7686" max="7686" width="9.28515625" style="4" customWidth="1"/>
    <col min="7687" max="7687" width="14.7109375" style="4" customWidth="1"/>
    <col min="7688" max="7688" width="7.42578125" style="4" customWidth="1"/>
    <col min="7689" max="7689" width="14" style="4" customWidth="1"/>
    <col min="7690" max="7690" width="9" style="4" hidden="1" customWidth="1"/>
    <col min="7691" max="7691" width="23.7109375" style="4" customWidth="1"/>
    <col min="7692" max="7692" width="10.85546875" style="4" customWidth="1"/>
    <col min="7693" max="7693" width="37.140625" style="4" customWidth="1"/>
    <col min="7694" max="7694" width="16.42578125" style="4" customWidth="1"/>
    <col min="7695" max="7695" width="9.140625" style="4"/>
    <col min="7696" max="7698" width="11" style="4" customWidth="1"/>
    <col min="7699" max="7938" width="9.140625" style="4"/>
    <col min="7939" max="7939" width="9" style="4" hidden="1" customWidth="1"/>
    <col min="7940" max="7940" width="5.7109375" style="4" customWidth="1"/>
    <col min="7941" max="7941" width="24.5703125" style="4" customWidth="1"/>
    <col min="7942" max="7942" width="9.28515625" style="4" customWidth="1"/>
    <col min="7943" max="7943" width="14.7109375" style="4" customWidth="1"/>
    <col min="7944" max="7944" width="7.42578125" style="4" customWidth="1"/>
    <col min="7945" max="7945" width="14" style="4" customWidth="1"/>
    <col min="7946" max="7946" width="9" style="4" hidden="1" customWidth="1"/>
    <col min="7947" max="7947" width="23.7109375" style="4" customWidth="1"/>
    <col min="7948" max="7948" width="10.85546875" style="4" customWidth="1"/>
    <col min="7949" max="7949" width="37.140625" style="4" customWidth="1"/>
    <col min="7950" max="7950" width="16.42578125" style="4" customWidth="1"/>
    <col min="7951" max="7951" width="9.140625" style="4"/>
    <col min="7952" max="7954" width="11" style="4" customWidth="1"/>
    <col min="7955" max="8194" width="9.140625" style="4"/>
    <col min="8195" max="8195" width="9" style="4" hidden="1" customWidth="1"/>
    <col min="8196" max="8196" width="5.7109375" style="4" customWidth="1"/>
    <col min="8197" max="8197" width="24.5703125" style="4" customWidth="1"/>
    <col min="8198" max="8198" width="9.28515625" style="4" customWidth="1"/>
    <col min="8199" max="8199" width="14.7109375" style="4" customWidth="1"/>
    <col min="8200" max="8200" width="7.42578125" style="4" customWidth="1"/>
    <col min="8201" max="8201" width="14" style="4" customWidth="1"/>
    <col min="8202" max="8202" width="9" style="4" hidden="1" customWidth="1"/>
    <col min="8203" max="8203" width="23.7109375" style="4" customWidth="1"/>
    <col min="8204" max="8204" width="10.85546875" style="4" customWidth="1"/>
    <col min="8205" max="8205" width="37.140625" style="4" customWidth="1"/>
    <col min="8206" max="8206" width="16.42578125" style="4" customWidth="1"/>
    <col min="8207" max="8207" width="9.140625" style="4"/>
    <col min="8208" max="8210" width="11" style="4" customWidth="1"/>
    <col min="8211" max="8450" width="9.140625" style="4"/>
    <col min="8451" max="8451" width="9" style="4" hidden="1" customWidth="1"/>
    <col min="8452" max="8452" width="5.7109375" style="4" customWidth="1"/>
    <col min="8453" max="8453" width="24.5703125" style="4" customWidth="1"/>
    <col min="8454" max="8454" width="9.28515625" style="4" customWidth="1"/>
    <col min="8455" max="8455" width="14.7109375" style="4" customWidth="1"/>
    <col min="8456" max="8456" width="7.42578125" style="4" customWidth="1"/>
    <col min="8457" max="8457" width="14" style="4" customWidth="1"/>
    <col min="8458" max="8458" width="9" style="4" hidden="1" customWidth="1"/>
    <col min="8459" max="8459" width="23.7109375" style="4" customWidth="1"/>
    <col min="8460" max="8460" width="10.85546875" style="4" customWidth="1"/>
    <col min="8461" max="8461" width="37.140625" style="4" customWidth="1"/>
    <col min="8462" max="8462" width="16.42578125" style="4" customWidth="1"/>
    <col min="8463" max="8463" width="9.140625" style="4"/>
    <col min="8464" max="8466" width="11" style="4" customWidth="1"/>
    <col min="8467" max="8706" width="9.140625" style="4"/>
    <col min="8707" max="8707" width="9" style="4" hidden="1" customWidth="1"/>
    <col min="8708" max="8708" width="5.7109375" style="4" customWidth="1"/>
    <col min="8709" max="8709" width="24.5703125" style="4" customWidth="1"/>
    <col min="8710" max="8710" width="9.28515625" style="4" customWidth="1"/>
    <col min="8711" max="8711" width="14.7109375" style="4" customWidth="1"/>
    <col min="8712" max="8712" width="7.42578125" style="4" customWidth="1"/>
    <col min="8713" max="8713" width="14" style="4" customWidth="1"/>
    <col min="8714" max="8714" width="9" style="4" hidden="1" customWidth="1"/>
    <col min="8715" max="8715" width="23.7109375" style="4" customWidth="1"/>
    <col min="8716" max="8716" width="10.85546875" style="4" customWidth="1"/>
    <col min="8717" max="8717" width="37.140625" style="4" customWidth="1"/>
    <col min="8718" max="8718" width="16.42578125" style="4" customWidth="1"/>
    <col min="8719" max="8719" width="9.140625" style="4"/>
    <col min="8720" max="8722" width="11" style="4" customWidth="1"/>
    <col min="8723" max="8962" width="9.140625" style="4"/>
    <col min="8963" max="8963" width="9" style="4" hidden="1" customWidth="1"/>
    <col min="8964" max="8964" width="5.7109375" style="4" customWidth="1"/>
    <col min="8965" max="8965" width="24.5703125" style="4" customWidth="1"/>
    <col min="8966" max="8966" width="9.28515625" style="4" customWidth="1"/>
    <col min="8967" max="8967" width="14.7109375" style="4" customWidth="1"/>
    <col min="8968" max="8968" width="7.42578125" style="4" customWidth="1"/>
    <col min="8969" max="8969" width="14" style="4" customWidth="1"/>
    <col min="8970" max="8970" width="9" style="4" hidden="1" customWidth="1"/>
    <col min="8971" max="8971" width="23.7109375" style="4" customWidth="1"/>
    <col min="8972" max="8972" width="10.85546875" style="4" customWidth="1"/>
    <col min="8973" max="8973" width="37.140625" style="4" customWidth="1"/>
    <col min="8974" max="8974" width="16.42578125" style="4" customWidth="1"/>
    <col min="8975" max="8975" width="9.140625" style="4"/>
    <col min="8976" max="8978" width="11" style="4" customWidth="1"/>
    <col min="8979" max="9218" width="9.140625" style="4"/>
    <col min="9219" max="9219" width="9" style="4" hidden="1" customWidth="1"/>
    <col min="9220" max="9220" width="5.7109375" style="4" customWidth="1"/>
    <col min="9221" max="9221" width="24.5703125" style="4" customWidth="1"/>
    <col min="9222" max="9222" width="9.28515625" style="4" customWidth="1"/>
    <col min="9223" max="9223" width="14.7109375" style="4" customWidth="1"/>
    <col min="9224" max="9224" width="7.42578125" style="4" customWidth="1"/>
    <col min="9225" max="9225" width="14" style="4" customWidth="1"/>
    <col min="9226" max="9226" width="9" style="4" hidden="1" customWidth="1"/>
    <col min="9227" max="9227" width="23.7109375" style="4" customWidth="1"/>
    <col min="9228" max="9228" width="10.85546875" style="4" customWidth="1"/>
    <col min="9229" max="9229" width="37.140625" style="4" customWidth="1"/>
    <col min="9230" max="9230" width="16.42578125" style="4" customWidth="1"/>
    <col min="9231" max="9231" width="9.140625" style="4"/>
    <col min="9232" max="9234" width="11" style="4" customWidth="1"/>
    <col min="9235" max="9474" width="9.140625" style="4"/>
    <col min="9475" max="9475" width="9" style="4" hidden="1" customWidth="1"/>
    <col min="9476" max="9476" width="5.7109375" style="4" customWidth="1"/>
    <col min="9477" max="9477" width="24.5703125" style="4" customWidth="1"/>
    <col min="9478" max="9478" width="9.28515625" style="4" customWidth="1"/>
    <col min="9479" max="9479" width="14.7109375" style="4" customWidth="1"/>
    <col min="9480" max="9480" width="7.42578125" style="4" customWidth="1"/>
    <col min="9481" max="9481" width="14" style="4" customWidth="1"/>
    <col min="9482" max="9482" width="9" style="4" hidden="1" customWidth="1"/>
    <col min="9483" max="9483" width="23.7109375" style="4" customWidth="1"/>
    <col min="9484" max="9484" width="10.85546875" style="4" customWidth="1"/>
    <col min="9485" max="9485" width="37.140625" style="4" customWidth="1"/>
    <col min="9486" max="9486" width="16.42578125" style="4" customWidth="1"/>
    <col min="9487" max="9487" width="9.140625" style="4"/>
    <col min="9488" max="9490" width="11" style="4" customWidth="1"/>
    <col min="9491" max="9730" width="9.140625" style="4"/>
    <col min="9731" max="9731" width="9" style="4" hidden="1" customWidth="1"/>
    <col min="9732" max="9732" width="5.7109375" style="4" customWidth="1"/>
    <col min="9733" max="9733" width="24.5703125" style="4" customWidth="1"/>
    <col min="9734" max="9734" width="9.28515625" style="4" customWidth="1"/>
    <col min="9735" max="9735" width="14.7109375" style="4" customWidth="1"/>
    <col min="9736" max="9736" width="7.42578125" style="4" customWidth="1"/>
    <col min="9737" max="9737" width="14" style="4" customWidth="1"/>
    <col min="9738" max="9738" width="9" style="4" hidden="1" customWidth="1"/>
    <col min="9739" max="9739" width="23.7109375" style="4" customWidth="1"/>
    <col min="9740" max="9740" width="10.85546875" style="4" customWidth="1"/>
    <col min="9741" max="9741" width="37.140625" style="4" customWidth="1"/>
    <col min="9742" max="9742" width="16.42578125" style="4" customWidth="1"/>
    <col min="9743" max="9743" width="9.140625" style="4"/>
    <col min="9744" max="9746" width="11" style="4" customWidth="1"/>
    <col min="9747" max="9986" width="9.140625" style="4"/>
    <col min="9987" max="9987" width="9" style="4" hidden="1" customWidth="1"/>
    <col min="9988" max="9988" width="5.7109375" style="4" customWidth="1"/>
    <col min="9989" max="9989" width="24.5703125" style="4" customWidth="1"/>
    <col min="9990" max="9990" width="9.28515625" style="4" customWidth="1"/>
    <col min="9991" max="9991" width="14.7109375" style="4" customWidth="1"/>
    <col min="9992" max="9992" width="7.42578125" style="4" customWidth="1"/>
    <col min="9993" max="9993" width="14" style="4" customWidth="1"/>
    <col min="9994" max="9994" width="9" style="4" hidden="1" customWidth="1"/>
    <col min="9995" max="9995" width="23.7109375" style="4" customWidth="1"/>
    <col min="9996" max="9996" width="10.85546875" style="4" customWidth="1"/>
    <col min="9997" max="9997" width="37.140625" style="4" customWidth="1"/>
    <col min="9998" max="9998" width="16.42578125" style="4" customWidth="1"/>
    <col min="9999" max="9999" width="9.140625" style="4"/>
    <col min="10000" max="10002" width="11" style="4" customWidth="1"/>
    <col min="10003" max="10242" width="9.140625" style="4"/>
    <col min="10243" max="10243" width="9" style="4" hidden="1" customWidth="1"/>
    <col min="10244" max="10244" width="5.7109375" style="4" customWidth="1"/>
    <col min="10245" max="10245" width="24.5703125" style="4" customWidth="1"/>
    <col min="10246" max="10246" width="9.28515625" style="4" customWidth="1"/>
    <col min="10247" max="10247" width="14.7109375" style="4" customWidth="1"/>
    <col min="10248" max="10248" width="7.42578125" style="4" customWidth="1"/>
    <col min="10249" max="10249" width="14" style="4" customWidth="1"/>
    <col min="10250" max="10250" width="9" style="4" hidden="1" customWidth="1"/>
    <col min="10251" max="10251" width="23.7109375" style="4" customWidth="1"/>
    <col min="10252" max="10252" width="10.85546875" style="4" customWidth="1"/>
    <col min="10253" max="10253" width="37.140625" style="4" customWidth="1"/>
    <col min="10254" max="10254" width="16.42578125" style="4" customWidth="1"/>
    <col min="10255" max="10255" width="9.140625" style="4"/>
    <col min="10256" max="10258" width="11" style="4" customWidth="1"/>
    <col min="10259" max="10498" width="9.140625" style="4"/>
    <col min="10499" max="10499" width="9" style="4" hidden="1" customWidth="1"/>
    <col min="10500" max="10500" width="5.7109375" style="4" customWidth="1"/>
    <col min="10501" max="10501" width="24.5703125" style="4" customWidth="1"/>
    <col min="10502" max="10502" width="9.28515625" style="4" customWidth="1"/>
    <col min="10503" max="10503" width="14.7109375" style="4" customWidth="1"/>
    <col min="10504" max="10504" width="7.42578125" style="4" customWidth="1"/>
    <col min="10505" max="10505" width="14" style="4" customWidth="1"/>
    <col min="10506" max="10506" width="9" style="4" hidden="1" customWidth="1"/>
    <col min="10507" max="10507" width="23.7109375" style="4" customWidth="1"/>
    <col min="10508" max="10508" width="10.85546875" style="4" customWidth="1"/>
    <col min="10509" max="10509" width="37.140625" style="4" customWidth="1"/>
    <col min="10510" max="10510" width="16.42578125" style="4" customWidth="1"/>
    <col min="10511" max="10511" width="9.140625" style="4"/>
    <col min="10512" max="10514" width="11" style="4" customWidth="1"/>
    <col min="10515" max="10754" width="9.140625" style="4"/>
    <col min="10755" max="10755" width="9" style="4" hidden="1" customWidth="1"/>
    <col min="10756" max="10756" width="5.7109375" style="4" customWidth="1"/>
    <col min="10757" max="10757" width="24.5703125" style="4" customWidth="1"/>
    <col min="10758" max="10758" width="9.28515625" style="4" customWidth="1"/>
    <col min="10759" max="10759" width="14.7109375" style="4" customWidth="1"/>
    <col min="10760" max="10760" width="7.42578125" style="4" customWidth="1"/>
    <col min="10761" max="10761" width="14" style="4" customWidth="1"/>
    <col min="10762" max="10762" width="9" style="4" hidden="1" customWidth="1"/>
    <col min="10763" max="10763" width="23.7109375" style="4" customWidth="1"/>
    <col min="10764" max="10764" width="10.85546875" style="4" customWidth="1"/>
    <col min="10765" max="10765" width="37.140625" style="4" customWidth="1"/>
    <col min="10766" max="10766" width="16.42578125" style="4" customWidth="1"/>
    <col min="10767" max="10767" width="9.140625" style="4"/>
    <col min="10768" max="10770" width="11" style="4" customWidth="1"/>
    <col min="10771" max="11010" width="9.140625" style="4"/>
    <col min="11011" max="11011" width="9" style="4" hidden="1" customWidth="1"/>
    <col min="11012" max="11012" width="5.7109375" style="4" customWidth="1"/>
    <col min="11013" max="11013" width="24.5703125" style="4" customWidth="1"/>
    <col min="11014" max="11014" width="9.28515625" style="4" customWidth="1"/>
    <col min="11015" max="11015" width="14.7109375" style="4" customWidth="1"/>
    <col min="11016" max="11016" width="7.42578125" style="4" customWidth="1"/>
    <col min="11017" max="11017" width="14" style="4" customWidth="1"/>
    <col min="11018" max="11018" width="9" style="4" hidden="1" customWidth="1"/>
    <col min="11019" max="11019" width="23.7109375" style="4" customWidth="1"/>
    <col min="11020" max="11020" width="10.85546875" style="4" customWidth="1"/>
    <col min="11021" max="11021" width="37.140625" style="4" customWidth="1"/>
    <col min="11022" max="11022" width="16.42578125" style="4" customWidth="1"/>
    <col min="11023" max="11023" width="9.140625" style="4"/>
    <col min="11024" max="11026" width="11" style="4" customWidth="1"/>
    <col min="11027" max="11266" width="9.140625" style="4"/>
    <col min="11267" max="11267" width="9" style="4" hidden="1" customWidth="1"/>
    <col min="11268" max="11268" width="5.7109375" style="4" customWidth="1"/>
    <col min="11269" max="11269" width="24.5703125" style="4" customWidth="1"/>
    <col min="11270" max="11270" width="9.28515625" style="4" customWidth="1"/>
    <col min="11271" max="11271" width="14.7109375" style="4" customWidth="1"/>
    <col min="11272" max="11272" width="7.42578125" style="4" customWidth="1"/>
    <col min="11273" max="11273" width="14" style="4" customWidth="1"/>
    <col min="11274" max="11274" width="9" style="4" hidden="1" customWidth="1"/>
    <col min="11275" max="11275" width="23.7109375" style="4" customWidth="1"/>
    <col min="11276" max="11276" width="10.85546875" style="4" customWidth="1"/>
    <col min="11277" max="11277" width="37.140625" style="4" customWidth="1"/>
    <col min="11278" max="11278" width="16.42578125" style="4" customWidth="1"/>
    <col min="11279" max="11279" width="9.140625" style="4"/>
    <col min="11280" max="11282" width="11" style="4" customWidth="1"/>
    <col min="11283" max="11522" width="9.140625" style="4"/>
    <col min="11523" max="11523" width="9" style="4" hidden="1" customWidth="1"/>
    <col min="11524" max="11524" width="5.7109375" style="4" customWidth="1"/>
    <col min="11525" max="11525" width="24.5703125" style="4" customWidth="1"/>
    <col min="11526" max="11526" width="9.28515625" style="4" customWidth="1"/>
    <col min="11527" max="11527" width="14.7109375" style="4" customWidth="1"/>
    <col min="11528" max="11528" width="7.42578125" style="4" customWidth="1"/>
    <col min="11529" max="11529" width="14" style="4" customWidth="1"/>
    <col min="11530" max="11530" width="9" style="4" hidden="1" customWidth="1"/>
    <col min="11531" max="11531" width="23.7109375" style="4" customWidth="1"/>
    <col min="11532" max="11532" width="10.85546875" style="4" customWidth="1"/>
    <col min="11533" max="11533" width="37.140625" style="4" customWidth="1"/>
    <col min="11534" max="11534" width="16.42578125" style="4" customWidth="1"/>
    <col min="11535" max="11535" width="9.140625" style="4"/>
    <col min="11536" max="11538" width="11" style="4" customWidth="1"/>
    <col min="11539" max="11778" width="9.140625" style="4"/>
    <col min="11779" max="11779" width="9" style="4" hidden="1" customWidth="1"/>
    <col min="11780" max="11780" width="5.7109375" style="4" customWidth="1"/>
    <col min="11781" max="11781" width="24.5703125" style="4" customWidth="1"/>
    <col min="11782" max="11782" width="9.28515625" style="4" customWidth="1"/>
    <col min="11783" max="11783" width="14.7109375" style="4" customWidth="1"/>
    <col min="11784" max="11784" width="7.42578125" style="4" customWidth="1"/>
    <col min="11785" max="11785" width="14" style="4" customWidth="1"/>
    <col min="11786" max="11786" width="9" style="4" hidden="1" customWidth="1"/>
    <col min="11787" max="11787" width="23.7109375" style="4" customWidth="1"/>
    <col min="11788" max="11788" width="10.85546875" style="4" customWidth="1"/>
    <col min="11789" max="11789" width="37.140625" style="4" customWidth="1"/>
    <col min="11790" max="11790" width="16.42578125" style="4" customWidth="1"/>
    <col min="11791" max="11791" width="9.140625" style="4"/>
    <col min="11792" max="11794" width="11" style="4" customWidth="1"/>
    <col min="11795" max="12034" width="9.140625" style="4"/>
    <col min="12035" max="12035" width="9" style="4" hidden="1" customWidth="1"/>
    <col min="12036" max="12036" width="5.7109375" style="4" customWidth="1"/>
    <col min="12037" max="12037" width="24.5703125" style="4" customWidth="1"/>
    <col min="12038" max="12038" width="9.28515625" style="4" customWidth="1"/>
    <col min="12039" max="12039" width="14.7109375" style="4" customWidth="1"/>
    <col min="12040" max="12040" width="7.42578125" style="4" customWidth="1"/>
    <col min="12041" max="12041" width="14" style="4" customWidth="1"/>
    <col min="12042" max="12042" width="9" style="4" hidden="1" customWidth="1"/>
    <col min="12043" max="12043" width="23.7109375" style="4" customWidth="1"/>
    <col min="12044" max="12044" width="10.85546875" style="4" customWidth="1"/>
    <col min="12045" max="12045" width="37.140625" style="4" customWidth="1"/>
    <col min="12046" max="12046" width="16.42578125" style="4" customWidth="1"/>
    <col min="12047" max="12047" width="9.140625" style="4"/>
    <col min="12048" max="12050" width="11" style="4" customWidth="1"/>
    <col min="12051" max="12290" width="9.140625" style="4"/>
    <col min="12291" max="12291" width="9" style="4" hidden="1" customWidth="1"/>
    <col min="12292" max="12292" width="5.7109375" style="4" customWidth="1"/>
    <col min="12293" max="12293" width="24.5703125" style="4" customWidth="1"/>
    <col min="12294" max="12294" width="9.28515625" style="4" customWidth="1"/>
    <col min="12295" max="12295" width="14.7109375" style="4" customWidth="1"/>
    <col min="12296" max="12296" width="7.42578125" style="4" customWidth="1"/>
    <col min="12297" max="12297" width="14" style="4" customWidth="1"/>
    <col min="12298" max="12298" width="9" style="4" hidden="1" customWidth="1"/>
    <col min="12299" max="12299" width="23.7109375" style="4" customWidth="1"/>
    <col min="12300" max="12300" width="10.85546875" style="4" customWidth="1"/>
    <col min="12301" max="12301" width="37.140625" style="4" customWidth="1"/>
    <col min="12302" max="12302" width="16.42578125" style="4" customWidth="1"/>
    <col min="12303" max="12303" width="9.140625" style="4"/>
    <col min="12304" max="12306" width="11" style="4" customWidth="1"/>
    <col min="12307" max="12546" width="9.140625" style="4"/>
    <col min="12547" max="12547" width="9" style="4" hidden="1" customWidth="1"/>
    <col min="12548" max="12548" width="5.7109375" style="4" customWidth="1"/>
    <col min="12549" max="12549" width="24.5703125" style="4" customWidth="1"/>
    <col min="12550" max="12550" width="9.28515625" style="4" customWidth="1"/>
    <col min="12551" max="12551" width="14.7109375" style="4" customWidth="1"/>
    <col min="12552" max="12552" width="7.42578125" style="4" customWidth="1"/>
    <col min="12553" max="12553" width="14" style="4" customWidth="1"/>
    <col min="12554" max="12554" width="9" style="4" hidden="1" customWidth="1"/>
    <col min="12555" max="12555" width="23.7109375" style="4" customWidth="1"/>
    <col min="12556" max="12556" width="10.85546875" style="4" customWidth="1"/>
    <col min="12557" max="12557" width="37.140625" style="4" customWidth="1"/>
    <col min="12558" max="12558" width="16.42578125" style="4" customWidth="1"/>
    <col min="12559" max="12559" width="9.140625" style="4"/>
    <col min="12560" max="12562" width="11" style="4" customWidth="1"/>
    <col min="12563" max="12802" width="9.140625" style="4"/>
    <col min="12803" max="12803" width="9" style="4" hidden="1" customWidth="1"/>
    <col min="12804" max="12804" width="5.7109375" style="4" customWidth="1"/>
    <col min="12805" max="12805" width="24.5703125" style="4" customWidth="1"/>
    <col min="12806" max="12806" width="9.28515625" style="4" customWidth="1"/>
    <col min="12807" max="12807" width="14.7109375" style="4" customWidth="1"/>
    <col min="12808" max="12808" width="7.42578125" style="4" customWidth="1"/>
    <col min="12809" max="12809" width="14" style="4" customWidth="1"/>
    <col min="12810" max="12810" width="9" style="4" hidden="1" customWidth="1"/>
    <col min="12811" max="12811" width="23.7109375" style="4" customWidth="1"/>
    <col min="12812" max="12812" width="10.85546875" style="4" customWidth="1"/>
    <col min="12813" max="12813" width="37.140625" style="4" customWidth="1"/>
    <col min="12814" max="12814" width="16.42578125" style="4" customWidth="1"/>
    <col min="12815" max="12815" width="9.140625" style="4"/>
    <col min="12816" max="12818" width="11" style="4" customWidth="1"/>
    <col min="12819" max="13058" width="9.140625" style="4"/>
    <col min="13059" max="13059" width="9" style="4" hidden="1" customWidth="1"/>
    <col min="13060" max="13060" width="5.7109375" style="4" customWidth="1"/>
    <col min="13061" max="13061" width="24.5703125" style="4" customWidth="1"/>
    <col min="13062" max="13062" width="9.28515625" style="4" customWidth="1"/>
    <col min="13063" max="13063" width="14.7109375" style="4" customWidth="1"/>
    <col min="13064" max="13064" width="7.42578125" style="4" customWidth="1"/>
    <col min="13065" max="13065" width="14" style="4" customWidth="1"/>
    <col min="13066" max="13066" width="9" style="4" hidden="1" customWidth="1"/>
    <col min="13067" max="13067" width="23.7109375" style="4" customWidth="1"/>
    <col min="13068" max="13068" width="10.85546875" style="4" customWidth="1"/>
    <col min="13069" max="13069" width="37.140625" style="4" customWidth="1"/>
    <col min="13070" max="13070" width="16.42578125" style="4" customWidth="1"/>
    <col min="13071" max="13071" width="9.140625" style="4"/>
    <col min="13072" max="13074" width="11" style="4" customWidth="1"/>
    <col min="13075" max="13314" width="9.140625" style="4"/>
    <col min="13315" max="13315" width="9" style="4" hidden="1" customWidth="1"/>
    <col min="13316" max="13316" width="5.7109375" style="4" customWidth="1"/>
    <col min="13317" max="13317" width="24.5703125" style="4" customWidth="1"/>
    <col min="13318" max="13318" width="9.28515625" style="4" customWidth="1"/>
    <col min="13319" max="13319" width="14.7109375" style="4" customWidth="1"/>
    <col min="13320" max="13320" width="7.42578125" style="4" customWidth="1"/>
    <col min="13321" max="13321" width="14" style="4" customWidth="1"/>
    <col min="13322" max="13322" width="9" style="4" hidden="1" customWidth="1"/>
    <col min="13323" max="13323" width="23.7109375" style="4" customWidth="1"/>
    <col min="13324" max="13324" width="10.85546875" style="4" customWidth="1"/>
    <col min="13325" max="13325" width="37.140625" style="4" customWidth="1"/>
    <col min="13326" max="13326" width="16.42578125" style="4" customWidth="1"/>
    <col min="13327" max="13327" width="9.140625" style="4"/>
    <col min="13328" max="13330" width="11" style="4" customWidth="1"/>
    <col min="13331" max="13570" width="9.140625" style="4"/>
    <col min="13571" max="13571" width="9" style="4" hidden="1" customWidth="1"/>
    <col min="13572" max="13572" width="5.7109375" style="4" customWidth="1"/>
    <col min="13573" max="13573" width="24.5703125" style="4" customWidth="1"/>
    <col min="13574" max="13574" width="9.28515625" style="4" customWidth="1"/>
    <col min="13575" max="13575" width="14.7109375" style="4" customWidth="1"/>
    <col min="13576" max="13576" width="7.42578125" style="4" customWidth="1"/>
    <col min="13577" max="13577" width="14" style="4" customWidth="1"/>
    <col min="13578" max="13578" width="9" style="4" hidden="1" customWidth="1"/>
    <col min="13579" max="13579" width="23.7109375" style="4" customWidth="1"/>
    <col min="13580" max="13580" width="10.85546875" style="4" customWidth="1"/>
    <col min="13581" max="13581" width="37.140625" style="4" customWidth="1"/>
    <col min="13582" max="13582" width="16.42578125" style="4" customWidth="1"/>
    <col min="13583" max="13583" width="9.140625" style="4"/>
    <col min="13584" max="13586" width="11" style="4" customWidth="1"/>
    <col min="13587" max="13826" width="9.140625" style="4"/>
    <col min="13827" max="13827" width="9" style="4" hidden="1" customWidth="1"/>
    <col min="13828" max="13828" width="5.7109375" style="4" customWidth="1"/>
    <col min="13829" max="13829" width="24.5703125" style="4" customWidth="1"/>
    <col min="13830" max="13830" width="9.28515625" style="4" customWidth="1"/>
    <col min="13831" max="13831" width="14.7109375" style="4" customWidth="1"/>
    <col min="13832" max="13832" width="7.42578125" style="4" customWidth="1"/>
    <col min="13833" max="13833" width="14" style="4" customWidth="1"/>
    <col min="13834" max="13834" width="9" style="4" hidden="1" customWidth="1"/>
    <col min="13835" max="13835" width="23.7109375" style="4" customWidth="1"/>
    <col min="13836" max="13836" width="10.85546875" style="4" customWidth="1"/>
    <col min="13837" max="13837" width="37.140625" style="4" customWidth="1"/>
    <col min="13838" max="13838" width="16.42578125" style="4" customWidth="1"/>
    <col min="13839" max="13839" width="9.140625" style="4"/>
    <col min="13840" max="13842" width="11" style="4" customWidth="1"/>
    <col min="13843" max="14082" width="9.140625" style="4"/>
    <col min="14083" max="14083" width="9" style="4" hidden="1" customWidth="1"/>
    <col min="14084" max="14084" width="5.7109375" style="4" customWidth="1"/>
    <col min="14085" max="14085" width="24.5703125" style="4" customWidth="1"/>
    <col min="14086" max="14086" width="9.28515625" style="4" customWidth="1"/>
    <col min="14087" max="14087" width="14.7109375" style="4" customWidth="1"/>
    <col min="14088" max="14088" width="7.42578125" style="4" customWidth="1"/>
    <col min="14089" max="14089" width="14" style="4" customWidth="1"/>
    <col min="14090" max="14090" width="9" style="4" hidden="1" customWidth="1"/>
    <col min="14091" max="14091" width="23.7109375" style="4" customWidth="1"/>
    <col min="14092" max="14092" width="10.85546875" style="4" customWidth="1"/>
    <col min="14093" max="14093" width="37.140625" style="4" customWidth="1"/>
    <col min="14094" max="14094" width="16.42578125" style="4" customWidth="1"/>
    <col min="14095" max="14095" width="9.140625" style="4"/>
    <col min="14096" max="14098" width="11" style="4" customWidth="1"/>
    <col min="14099" max="14338" width="9.140625" style="4"/>
    <col min="14339" max="14339" width="9" style="4" hidden="1" customWidth="1"/>
    <col min="14340" max="14340" width="5.7109375" style="4" customWidth="1"/>
    <col min="14341" max="14341" width="24.5703125" style="4" customWidth="1"/>
    <col min="14342" max="14342" width="9.28515625" style="4" customWidth="1"/>
    <col min="14343" max="14343" width="14.7109375" style="4" customWidth="1"/>
    <col min="14344" max="14344" width="7.42578125" style="4" customWidth="1"/>
    <col min="14345" max="14345" width="14" style="4" customWidth="1"/>
    <col min="14346" max="14346" width="9" style="4" hidden="1" customWidth="1"/>
    <col min="14347" max="14347" width="23.7109375" style="4" customWidth="1"/>
    <col min="14348" max="14348" width="10.85546875" style="4" customWidth="1"/>
    <col min="14349" max="14349" width="37.140625" style="4" customWidth="1"/>
    <col min="14350" max="14350" width="16.42578125" style="4" customWidth="1"/>
    <col min="14351" max="14351" width="9.140625" style="4"/>
    <col min="14352" max="14354" width="11" style="4" customWidth="1"/>
    <col min="14355" max="14594" width="9.140625" style="4"/>
    <col min="14595" max="14595" width="9" style="4" hidden="1" customWidth="1"/>
    <col min="14596" max="14596" width="5.7109375" style="4" customWidth="1"/>
    <col min="14597" max="14597" width="24.5703125" style="4" customWidth="1"/>
    <col min="14598" max="14598" width="9.28515625" style="4" customWidth="1"/>
    <col min="14599" max="14599" width="14.7109375" style="4" customWidth="1"/>
    <col min="14600" max="14600" width="7.42578125" style="4" customWidth="1"/>
    <col min="14601" max="14601" width="14" style="4" customWidth="1"/>
    <col min="14602" max="14602" width="9" style="4" hidden="1" customWidth="1"/>
    <col min="14603" max="14603" width="23.7109375" style="4" customWidth="1"/>
    <col min="14604" max="14604" width="10.85546875" style="4" customWidth="1"/>
    <col min="14605" max="14605" width="37.140625" style="4" customWidth="1"/>
    <col min="14606" max="14606" width="16.42578125" style="4" customWidth="1"/>
    <col min="14607" max="14607" width="9.140625" style="4"/>
    <col min="14608" max="14610" width="11" style="4" customWidth="1"/>
    <col min="14611" max="14850" width="9.140625" style="4"/>
    <col min="14851" max="14851" width="9" style="4" hidden="1" customWidth="1"/>
    <col min="14852" max="14852" width="5.7109375" style="4" customWidth="1"/>
    <col min="14853" max="14853" width="24.5703125" style="4" customWidth="1"/>
    <col min="14854" max="14854" width="9.28515625" style="4" customWidth="1"/>
    <col min="14855" max="14855" width="14.7109375" style="4" customWidth="1"/>
    <col min="14856" max="14856" width="7.42578125" style="4" customWidth="1"/>
    <col min="14857" max="14857" width="14" style="4" customWidth="1"/>
    <col min="14858" max="14858" width="9" style="4" hidden="1" customWidth="1"/>
    <col min="14859" max="14859" width="23.7109375" style="4" customWidth="1"/>
    <col min="14860" max="14860" width="10.85546875" style="4" customWidth="1"/>
    <col min="14861" max="14861" width="37.140625" style="4" customWidth="1"/>
    <col min="14862" max="14862" width="16.42578125" style="4" customWidth="1"/>
    <col min="14863" max="14863" width="9.140625" style="4"/>
    <col min="14864" max="14866" width="11" style="4" customWidth="1"/>
    <col min="14867" max="15106" width="9.140625" style="4"/>
    <col min="15107" max="15107" width="9" style="4" hidden="1" customWidth="1"/>
    <col min="15108" max="15108" width="5.7109375" style="4" customWidth="1"/>
    <col min="15109" max="15109" width="24.5703125" style="4" customWidth="1"/>
    <col min="15110" max="15110" width="9.28515625" style="4" customWidth="1"/>
    <col min="15111" max="15111" width="14.7109375" style="4" customWidth="1"/>
    <col min="15112" max="15112" width="7.42578125" style="4" customWidth="1"/>
    <col min="15113" max="15113" width="14" style="4" customWidth="1"/>
    <col min="15114" max="15114" width="9" style="4" hidden="1" customWidth="1"/>
    <col min="15115" max="15115" width="23.7109375" style="4" customWidth="1"/>
    <col min="15116" max="15116" width="10.85546875" style="4" customWidth="1"/>
    <col min="15117" max="15117" width="37.140625" style="4" customWidth="1"/>
    <col min="15118" max="15118" width="16.42578125" style="4" customWidth="1"/>
    <col min="15119" max="15119" width="9.140625" style="4"/>
    <col min="15120" max="15122" width="11" style="4" customWidth="1"/>
    <col min="15123" max="15362" width="9.140625" style="4"/>
    <col min="15363" max="15363" width="9" style="4" hidden="1" customWidth="1"/>
    <col min="15364" max="15364" width="5.7109375" style="4" customWidth="1"/>
    <col min="15365" max="15365" width="24.5703125" style="4" customWidth="1"/>
    <col min="15366" max="15366" width="9.28515625" style="4" customWidth="1"/>
    <col min="15367" max="15367" width="14.7109375" style="4" customWidth="1"/>
    <col min="15368" max="15368" width="7.42578125" style="4" customWidth="1"/>
    <col min="15369" max="15369" width="14" style="4" customWidth="1"/>
    <col min="15370" max="15370" width="9" style="4" hidden="1" customWidth="1"/>
    <col min="15371" max="15371" width="23.7109375" style="4" customWidth="1"/>
    <col min="15372" max="15372" width="10.85546875" style="4" customWidth="1"/>
    <col min="15373" max="15373" width="37.140625" style="4" customWidth="1"/>
    <col min="15374" max="15374" width="16.42578125" style="4" customWidth="1"/>
    <col min="15375" max="15375" width="9.140625" style="4"/>
    <col min="15376" max="15378" width="11" style="4" customWidth="1"/>
    <col min="15379" max="15618" width="9.140625" style="4"/>
    <col min="15619" max="15619" width="9" style="4" hidden="1" customWidth="1"/>
    <col min="15620" max="15620" width="5.7109375" style="4" customWidth="1"/>
    <col min="15621" max="15621" width="24.5703125" style="4" customWidth="1"/>
    <col min="15622" max="15622" width="9.28515625" style="4" customWidth="1"/>
    <col min="15623" max="15623" width="14.7109375" style="4" customWidth="1"/>
    <col min="15624" max="15624" width="7.42578125" style="4" customWidth="1"/>
    <col min="15625" max="15625" width="14" style="4" customWidth="1"/>
    <col min="15626" max="15626" width="9" style="4" hidden="1" customWidth="1"/>
    <col min="15627" max="15627" width="23.7109375" style="4" customWidth="1"/>
    <col min="15628" max="15628" width="10.85546875" style="4" customWidth="1"/>
    <col min="15629" max="15629" width="37.140625" style="4" customWidth="1"/>
    <col min="15630" max="15630" width="16.42578125" style="4" customWidth="1"/>
    <col min="15631" max="15631" width="9.140625" style="4"/>
    <col min="15632" max="15634" width="11" style="4" customWidth="1"/>
    <col min="15635" max="15874" width="9.140625" style="4"/>
    <col min="15875" max="15875" width="9" style="4" hidden="1" customWidth="1"/>
    <col min="15876" max="15876" width="5.7109375" style="4" customWidth="1"/>
    <col min="15877" max="15877" width="24.5703125" style="4" customWidth="1"/>
    <col min="15878" max="15878" width="9.28515625" style="4" customWidth="1"/>
    <col min="15879" max="15879" width="14.7109375" style="4" customWidth="1"/>
    <col min="15880" max="15880" width="7.42578125" style="4" customWidth="1"/>
    <col min="15881" max="15881" width="14" style="4" customWidth="1"/>
    <col min="15882" max="15882" width="9" style="4" hidden="1" customWidth="1"/>
    <col min="15883" max="15883" width="23.7109375" style="4" customWidth="1"/>
    <col min="15884" max="15884" width="10.85546875" style="4" customWidth="1"/>
    <col min="15885" max="15885" width="37.140625" style="4" customWidth="1"/>
    <col min="15886" max="15886" width="16.42578125" style="4" customWidth="1"/>
    <col min="15887" max="15887" width="9.140625" style="4"/>
    <col min="15888" max="15890" width="11" style="4" customWidth="1"/>
    <col min="15891" max="16130" width="9.140625" style="4"/>
    <col min="16131" max="16131" width="9" style="4" hidden="1" customWidth="1"/>
    <col min="16132" max="16132" width="5.7109375" style="4" customWidth="1"/>
    <col min="16133" max="16133" width="24.5703125" style="4" customWidth="1"/>
    <col min="16134" max="16134" width="9.28515625" style="4" customWidth="1"/>
    <col min="16135" max="16135" width="14.7109375" style="4" customWidth="1"/>
    <col min="16136" max="16136" width="7.42578125" style="4" customWidth="1"/>
    <col min="16137" max="16137" width="14" style="4" customWidth="1"/>
    <col min="16138" max="16138" width="9" style="4" hidden="1" customWidth="1"/>
    <col min="16139" max="16139" width="23.7109375" style="4" customWidth="1"/>
    <col min="16140" max="16140" width="10.85546875" style="4" customWidth="1"/>
    <col min="16141" max="16141" width="37.140625" style="4" customWidth="1"/>
    <col min="16142" max="16142" width="16.42578125" style="4" customWidth="1"/>
    <col min="16143" max="16143" width="9.140625" style="4"/>
    <col min="16144" max="16146" width="11" style="4" customWidth="1"/>
    <col min="16147" max="16384" width="9.140625" style="4"/>
  </cols>
  <sheetData>
    <row r="1" spans="2:14" ht="18.75">
      <c r="B1" s="5" t="s">
        <v>1</v>
      </c>
      <c r="C1" s="6"/>
      <c r="D1" s="6"/>
      <c r="E1" s="6"/>
      <c r="F1" s="6"/>
      <c r="G1" s="6"/>
      <c r="H1" s="6"/>
      <c r="I1" s="6"/>
      <c r="J1" s="6"/>
      <c r="K1" s="6"/>
      <c r="L1" s="6"/>
    </row>
    <row r="2" spans="2:14" ht="16.5">
      <c r="B2" s="2"/>
      <c r="C2" s="2"/>
      <c r="D2" s="2"/>
      <c r="E2" s="2"/>
      <c r="F2" s="2"/>
      <c r="G2" s="2"/>
      <c r="H2" s="2"/>
      <c r="I2" s="2"/>
      <c r="J2" s="2"/>
      <c r="K2" s="2"/>
      <c r="L2" s="2"/>
    </row>
    <row r="3" spans="2:14" ht="20.25">
      <c r="B3" s="836" t="s">
        <v>251</v>
      </c>
      <c r="C3" s="836"/>
      <c r="D3" s="836"/>
      <c r="E3" s="836"/>
      <c r="F3" s="836"/>
      <c r="G3" s="836"/>
      <c r="H3" s="836"/>
      <c r="I3" s="836"/>
      <c r="J3" s="836"/>
      <c r="K3" s="836"/>
      <c r="L3" s="836"/>
    </row>
    <row r="4" spans="2:14" ht="20.25">
      <c r="B4" s="691" t="s">
        <v>271</v>
      </c>
      <c r="C4" s="691"/>
      <c r="D4" s="691"/>
      <c r="E4" s="691"/>
      <c r="F4" s="691"/>
      <c r="G4" s="691"/>
      <c r="H4" s="691"/>
      <c r="I4" s="691"/>
      <c r="J4" s="691"/>
      <c r="K4" s="691"/>
      <c r="L4" s="691"/>
    </row>
    <row r="5" spans="2:14" ht="18.75" hidden="1">
      <c r="B5" s="7"/>
      <c r="C5" s="7"/>
      <c r="D5" s="7"/>
      <c r="E5" s="8"/>
      <c r="F5" s="8"/>
      <c r="G5" s="8"/>
      <c r="H5" s="8"/>
      <c r="I5" s="8"/>
      <c r="J5" s="8"/>
      <c r="K5" s="7"/>
      <c r="L5" s="7"/>
    </row>
    <row r="6" spans="2:14" ht="20.25">
      <c r="B6" s="2"/>
      <c r="C6" s="9"/>
      <c r="D6" s="9"/>
      <c r="E6" s="10"/>
      <c r="F6" s="10"/>
      <c r="G6" s="10"/>
      <c r="H6" s="10"/>
      <c r="I6" s="10"/>
      <c r="J6" s="10"/>
      <c r="K6" s="9"/>
      <c r="L6" s="29"/>
    </row>
    <row r="7" spans="2:14" s="1" customFormat="1" ht="37.5">
      <c r="B7" s="11" t="s">
        <v>223</v>
      </c>
      <c r="C7" s="12" t="s">
        <v>7</v>
      </c>
      <c r="D7" s="11" t="s">
        <v>253</v>
      </c>
      <c r="E7" s="13" t="s">
        <v>272</v>
      </c>
      <c r="F7" s="13" t="s">
        <v>255</v>
      </c>
      <c r="G7" s="13" t="s">
        <v>19</v>
      </c>
      <c r="H7" s="13" t="s">
        <v>229</v>
      </c>
      <c r="I7" s="13" t="s">
        <v>20</v>
      </c>
      <c r="J7" s="13"/>
      <c r="K7" s="12" t="s">
        <v>187</v>
      </c>
      <c r="L7" s="12" t="s">
        <v>198</v>
      </c>
      <c r="M7" s="30"/>
    </row>
    <row r="8" spans="2:14" s="1" customFormat="1" ht="18.75">
      <c r="B8" s="14">
        <v>1</v>
      </c>
      <c r="C8" s="15" t="s">
        <v>26</v>
      </c>
      <c r="D8" s="16" t="s">
        <v>273</v>
      </c>
      <c r="E8" s="17">
        <f>9920000+8680000</f>
        <v>18600000</v>
      </c>
      <c r="F8" s="18">
        <v>12</v>
      </c>
      <c r="G8" s="18">
        <f>E8/25*12</f>
        <v>8928000</v>
      </c>
      <c r="H8" s="19">
        <f>ROUND(43179583.3333333,-3)</f>
        <v>43180000</v>
      </c>
      <c r="I8" s="31">
        <f>ROUND(E8/25*F8+H8,-3)</f>
        <v>52108000</v>
      </c>
      <c r="J8" s="13"/>
      <c r="K8" s="12"/>
      <c r="L8" s="12"/>
      <c r="M8" s="30"/>
    </row>
    <row r="9" spans="2:14" s="1" customFormat="1" ht="18.75">
      <c r="B9" s="14">
        <v>2</v>
      </c>
      <c r="C9" s="20" t="s">
        <v>27</v>
      </c>
      <c r="D9" s="16" t="s">
        <v>274</v>
      </c>
      <c r="E9" s="17">
        <f>8432000+2976000</f>
        <v>11408000</v>
      </c>
      <c r="F9" s="18">
        <v>12</v>
      </c>
      <c r="G9" s="18">
        <f>E9/25*12</f>
        <v>5475840</v>
      </c>
      <c r="H9" s="19">
        <f>ROUND(16145333.3333333,-3)</f>
        <v>16145000</v>
      </c>
      <c r="I9" s="31">
        <f>ROUND(E9/25*F9+H9,-3)</f>
        <v>21621000</v>
      </c>
      <c r="J9" s="13"/>
      <c r="K9" s="12"/>
      <c r="L9" s="12"/>
      <c r="M9" s="30"/>
    </row>
    <row r="10" spans="2:14" s="2" customFormat="1" ht="18.75">
      <c r="B10" s="837" t="s">
        <v>248</v>
      </c>
      <c r="C10" s="838"/>
      <c r="D10" s="839"/>
      <c r="E10" s="21"/>
      <c r="F10" s="21"/>
      <c r="G10" s="21"/>
      <c r="H10" s="21"/>
      <c r="I10" s="32">
        <f>SUM(I8:I9)</f>
        <v>73729000</v>
      </c>
      <c r="J10" s="21"/>
      <c r="K10" s="21"/>
      <c r="L10" s="21"/>
      <c r="N10" s="33"/>
    </row>
    <row r="11" spans="2:14" s="2" customFormat="1" ht="16.5" hidden="1">
      <c r="B11" s="22"/>
      <c r="C11" s="22"/>
      <c r="D11" s="22"/>
      <c r="E11" s="23"/>
      <c r="F11" s="23"/>
      <c r="G11" s="23"/>
      <c r="H11" s="23"/>
      <c r="I11" s="23"/>
      <c r="J11" s="23"/>
      <c r="K11" s="34"/>
      <c r="L11" s="34"/>
      <c r="M11" s="33"/>
    </row>
    <row r="12" spans="2:14" s="3" customFormat="1" ht="17.25">
      <c r="B12" s="24"/>
      <c r="C12" s="25" t="s">
        <v>267</v>
      </c>
      <c r="D12" s="24" t="str">
        <f>[5]!vnd(I10,"Uni",TRUE,TRUE,FALSE)</f>
        <v>Bảy mươi ba triệu, bảy trăm hai mươi chín nghìn đồng.</v>
      </c>
      <c r="E12" s="24"/>
      <c r="F12" s="24"/>
      <c r="G12" s="24"/>
      <c r="H12" s="24"/>
      <c r="I12" s="24"/>
      <c r="J12" s="35"/>
      <c r="K12" s="35"/>
      <c r="L12" s="35"/>
    </row>
    <row r="13" spans="2:14" s="3" customFormat="1" ht="17.25">
      <c r="B13" s="24"/>
      <c r="C13" s="25"/>
      <c r="D13" s="24"/>
      <c r="E13" s="24"/>
      <c r="F13" s="24"/>
      <c r="G13" s="24"/>
      <c r="H13" s="24"/>
      <c r="I13" s="24"/>
      <c r="J13" s="35"/>
      <c r="K13" s="35"/>
      <c r="L13" s="35"/>
    </row>
    <row r="14" spans="2:14" s="2" customFormat="1" ht="16.5">
      <c r="D14" s="26"/>
      <c r="E14" s="26"/>
      <c r="F14" s="26"/>
      <c r="G14" s="26"/>
      <c r="H14" s="26"/>
      <c r="I14" s="835" t="s">
        <v>268</v>
      </c>
      <c r="J14" s="835"/>
      <c r="K14" s="835"/>
      <c r="L14" s="835"/>
      <c r="M14" s="26"/>
      <c r="N14" s="28"/>
    </row>
    <row r="15" spans="2:14" s="2" customFormat="1" ht="18.75">
      <c r="B15" s="822" t="s">
        <v>149</v>
      </c>
      <c r="C15" s="822"/>
      <c r="D15" s="822"/>
      <c r="E15" s="822"/>
      <c r="F15" s="27"/>
      <c r="G15" s="27"/>
      <c r="H15" s="27"/>
      <c r="I15" s="822" t="s">
        <v>150</v>
      </c>
      <c r="J15" s="822"/>
      <c r="K15" s="822"/>
      <c r="L15" s="822"/>
    </row>
    <row r="16" spans="2:14" s="2" customFormat="1" ht="16.5">
      <c r="B16" s="823"/>
      <c r="C16" s="823"/>
      <c r="D16" s="22"/>
    </row>
    <row r="17" spans="2:13" s="2" customFormat="1" ht="16.5">
      <c r="B17" s="22"/>
      <c r="C17" s="22"/>
      <c r="D17" s="22"/>
    </row>
    <row r="18" spans="2:13" s="2" customFormat="1" ht="16.5">
      <c r="B18" s="22"/>
      <c r="C18" s="22"/>
      <c r="D18" s="22"/>
    </row>
    <row r="19" spans="2:13" s="2" customFormat="1" ht="16.5">
      <c r="D19" s="28" t="s">
        <v>269</v>
      </c>
      <c r="K19" s="28"/>
      <c r="L19" s="28"/>
    </row>
    <row r="20" spans="2:13" s="2" customFormat="1" ht="16.5">
      <c r="E20" s="28"/>
      <c r="F20" s="28"/>
      <c r="G20" s="28"/>
      <c r="H20" s="28"/>
      <c r="I20" s="22"/>
      <c r="J20" s="22"/>
      <c r="K20" s="22"/>
      <c r="L20" s="22"/>
      <c r="M20" s="28"/>
    </row>
    <row r="21" spans="2:13" s="2" customFormat="1" ht="16.5">
      <c r="B21" s="823" t="s">
        <v>152</v>
      </c>
      <c r="C21" s="823"/>
      <c r="D21" s="823"/>
      <c r="E21" s="823"/>
      <c r="I21" s="823" t="s">
        <v>270</v>
      </c>
      <c r="J21" s="823"/>
      <c r="K21" s="823"/>
      <c r="L21" s="823"/>
    </row>
    <row r="22" spans="2:13" s="2" customFormat="1" ht="16.5"/>
    <row r="23" spans="2:13" s="2" customFormat="1" ht="16.5"/>
    <row r="24" spans="2:13" s="2" customFormat="1" ht="16.5"/>
    <row r="25" spans="2:13" s="2" customFormat="1" ht="16.5"/>
    <row r="26" spans="2:13" s="2" customFormat="1" ht="16.5"/>
  </sheetData>
  <mergeCells count="9">
    <mergeCell ref="B16:C16"/>
    <mergeCell ref="B21:E21"/>
    <mergeCell ref="I21:L21"/>
    <mergeCell ref="B3:L3"/>
    <mergeCell ref="B4:L4"/>
    <mergeCell ref="B10:D10"/>
    <mergeCell ref="I14:L14"/>
    <mergeCell ref="B15:E15"/>
    <mergeCell ref="I15:L15"/>
  </mergeCells>
  <conditionalFormatting sqref="C9">
    <cfRule type="duplicateValues" dxfId="0" priority="1" stopIfTrue="1"/>
  </conditionalFormatting>
  <pageMargins left="0" right="0" top="0.75" bottom="0.75" header="0.3" footer="0.3"/>
  <pageSetup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L</vt:lpstr>
      <vt:lpstr>BK TT</vt:lpstr>
      <vt:lpstr>132CE</vt:lpstr>
      <vt:lpstr>TT PHAN XE</vt:lpstr>
      <vt:lpstr>97BC</vt:lpstr>
      <vt:lpstr>195BSS</vt:lpstr>
      <vt:lpstr>Bảng kê GV</vt:lpstr>
      <vt:lpstr>Sheet5</vt:lpstr>
      <vt:lpstr>Danh sách GV</vt:lpstr>
      <vt:lpstr>Danh sách phép 2025</vt:lpstr>
      <vt:lpstr>Danh sách BGD</vt:lpstr>
      <vt:lpstr>'132CE'!Print_Area</vt:lpstr>
      <vt:lpstr>'195BSS'!Print_Area</vt:lpstr>
      <vt:lpstr>'97BC'!Print_Area</vt:lpstr>
      <vt:lpstr>'195BSS'!Print_Titles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Bách Việt</cp:lastModifiedBy>
  <cp:lastPrinted>2026-04-29T04:58:11Z</cp:lastPrinted>
  <dcterms:created xsi:type="dcterms:W3CDTF">2024-04-21T00:53:00Z</dcterms:created>
  <dcterms:modified xsi:type="dcterms:W3CDTF">2026-06-09T03:08:38Z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0E5926F15C684F3EA5EDDED203A68FE1_12</vt:lpwstr>
  </property>
  <property fmtid="{D5CDD505-2E9C-101B-9397-08002B2CF9AE}" pid="3" name="KSOProductBuildVer">
    <vt:lpwstr>1033-12.2.0.22549</vt:lpwstr>
  </property>
</Properties>
</file>