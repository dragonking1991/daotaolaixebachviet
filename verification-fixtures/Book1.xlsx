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ungthanh.nguyen/Downloads/"/>
    </mc:Choice>
  </mc:AlternateContent>
  <xr:revisionPtr revIDLastSave="0" documentId="8_{ED2C18EF-933A-B542-BFC2-9FB738C7E2AB}" xr6:coauthVersionLast="47" xr6:coauthVersionMax="47" xr10:uidLastSave="{00000000-0000-0000-0000-000000000000}"/>
  <bookViews>
    <workbookView xWindow="1500" yWindow="1400" windowWidth="27640" windowHeight="16680" xr2:uid="{68EBBEA5-6CD7-B748-87C6-C729A678CED8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4" i="1" l="1"/>
  <c r="AL98" i="1"/>
  <c r="AK98" i="1"/>
  <c r="AJ98" i="1"/>
  <c r="AI98" i="1"/>
  <c r="AH98" i="1"/>
  <c r="AT14" i="1" s="1"/>
  <c r="L98" i="1"/>
  <c r="Y97" i="1"/>
  <c r="S97" i="1"/>
  <c r="N97" i="1"/>
  <c r="M97" i="1"/>
  <c r="Y96" i="1"/>
  <c r="N96" i="1"/>
  <c r="M96" i="1"/>
  <c r="S96" i="1" s="1"/>
  <c r="Y95" i="1"/>
  <c r="S95" i="1"/>
  <c r="N95" i="1"/>
  <c r="M95" i="1"/>
  <c r="Y94" i="1"/>
  <c r="N94" i="1"/>
  <c r="S94" i="1" s="1"/>
  <c r="M94" i="1"/>
  <c r="Y93" i="1"/>
  <c r="N93" i="1"/>
  <c r="M93" i="1"/>
  <c r="S93" i="1" s="1"/>
  <c r="Y92" i="1"/>
  <c r="N92" i="1"/>
  <c r="M92" i="1"/>
  <c r="S92" i="1" s="1"/>
  <c r="Y91" i="1"/>
  <c r="N91" i="1"/>
  <c r="M91" i="1"/>
  <c r="S91" i="1" s="1"/>
  <c r="V91" i="1" s="1"/>
  <c r="Y90" i="1"/>
  <c r="N90" i="1"/>
  <c r="M90" i="1"/>
  <c r="S90" i="1" s="1"/>
  <c r="V90" i="1" s="1"/>
  <c r="Z90" i="1" s="1"/>
  <c r="AA90" i="1" s="1"/>
  <c r="Y89" i="1"/>
  <c r="N89" i="1"/>
  <c r="M89" i="1"/>
  <c r="S89" i="1" s="1"/>
  <c r="V89" i="1" s="1"/>
  <c r="Z89" i="1" s="1"/>
  <c r="AA89" i="1" s="1"/>
  <c r="Y88" i="1"/>
  <c r="N88" i="1"/>
  <c r="M88" i="1"/>
  <c r="S88" i="1" s="1"/>
  <c r="V88" i="1" s="1"/>
  <c r="AB88" i="1" s="1"/>
  <c r="Y87" i="1"/>
  <c r="S87" i="1"/>
  <c r="N87" i="1"/>
  <c r="M87" i="1"/>
  <c r="Y86" i="1"/>
  <c r="N86" i="1"/>
  <c r="M86" i="1"/>
  <c r="S86" i="1" s="1"/>
  <c r="Y85" i="1"/>
  <c r="S85" i="1"/>
  <c r="N85" i="1"/>
  <c r="M85" i="1"/>
  <c r="Y84" i="1"/>
  <c r="N84" i="1"/>
  <c r="S84" i="1" s="1"/>
  <c r="M84" i="1"/>
  <c r="Y83" i="1"/>
  <c r="N83" i="1"/>
  <c r="M83" i="1"/>
  <c r="S83" i="1" s="1"/>
  <c r="Y82" i="1"/>
  <c r="N82" i="1"/>
  <c r="M82" i="1"/>
  <c r="S82" i="1" s="1"/>
  <c r="Y81" i="1"/>
  <c r="N81" i="1"/>
  <c r="M81" i="1"/>
  <c r="S81" i="1" s="1"/>
  <c r="V81" i="1" s="1"/>
  <c r="Y80" i="1"/>
  <c r="N80" i="1"/>
  <c r="M80" i="1"/>
  <c r="S80" i="1" s="1"/>
  <c r="V80" i="1" s="1"/>
  <c r="Z80" i="1" s="1"/>
  <c r="AA80" i="1" s="1"/>
  <c r="Y79" i="1"/>
  <c r="N79" i="1"/>
  <c r="M79" i="1"/>
  <c r="S79" i="1" s="1"/>
  <c r="V79" i="1" s="1"/>
  <c r="Z79" i="1" s="1"/>
  <c r="AA79" i="1" s="1"/>
  <c r="AB78" i="1"/>
  <c r="AC78" i="1" s="1"/>
  <c r="AA78" i="1"/>
  <c r="Z78" i="1"/>
  <c r="Y78" i="1"/>
  <c r="V78" i="1"/>
  <c r="S78" i="1"/>
  <c r="N78" i="1"/>
  <c r="M78" i="1"/>
  <c r="Y77" i="1"/>
  <c r="S77" i="1"/>
  <c r="V77" i="1" s="1"/>
  <c r="Z77" i="1" s="1"/>
  <c r="AA77" i="1" s="1"/>
  <c r="N77" i="1"/>
  <c r="M77" i="1"/>
  <c r="Y76" i="1"/>
  <c r="N76" i="1"/>
  <c r="M76" i="1"/>
  <c r="S76" i="1" s="1"/>
  <c r="V76" i="1" s="1"/>
  <c r="Y75" i="1"/>
  <c r="Y69" i="1" s="1"/>
  <c r="Y98" i="1" s="1"/>
  <c r="S75" i="1"/>
  <c r="N75" i="1"/>
  <c r="M75" i="1"/>
  <c r="Y74" i="1"/>
  <c r="S74" i="1"/>
  <c r="V74" i="1" s="1"/>
  <c r="N74" i="1"/>
  <c r="M74" i="1"/>
  <c r="Y73" i="1"/>
  <c r="N73" i="1"/>
  <c r="M73" i="1"/>
  <c r="S73" i="1" s="1"/>
  <c r="Y72" i="1"/>
  <c r="S72" i="1"/>
  <c r="V72" i="1" s="1"/>
  <c r="N72" i="1"/>
  <c r="M72" i="1"/>
  <c r="Y71" i="1"/>
  <c r="N71" i="1"/>
  <c r="M71" i="1"/>
  <c r="M69" i="1" s="1"/>
  <c r="AC70" i="1"/>
  <c r="V70" i="1"/>
  <c r="N70" i="1"/>
  <c r="S70" i="1" s="1"/>
  <c r="AG69" i="1"/>
  <c r="X69" i="1"/>
  <c r="W69" i="1"/>
  <c r="W98" i="1" s="1"/>
  <c r="U69" i="1"/>
  <c r="U98" i="1" s="1"/>
  <c r="T69" i="1"/>
  <c r="R69" i="1"/>
  <c r="R98" i="1" s="1"/>
  <c r="Q69" i="1"/>
  <c r="P69" i="1"/>
  <c r="O69" i="1"/>
  <c r="N69" i="1"/>
  <c r="L69" i="1"/>
  <c r="K69" i="1"/>
  <c r="J69" i="1"/>
  <c r="J98" i="1" s="1"/>
  <c r="H69" i="1"/>
  <c r="H98" i="1" s="1"/>
  <c r="G69" i="1"/>
  <c r="AG68" i="1"/>
  <c r="Y68" i="1"/>
  <c r="V68" i="1"/>
  <c r="Z68" i="1" s="1"/>
  <c r="S68" i="1"/>
  <c r="N68" i="1"/>
  <c r="M68" i="1"/>
  <c r="AG67" i="1"/>
  <c r="Y67" i="1"/>
  <c r="N67" i="1"/>
  <c r="S67" i="1" s="1"/>
  <c r="M67" i="1"/>
  <c r="AG66" i="1"/>
  <c r="Y66" i="1"/>
  <c r="N66" i="1"/>
  <c r="M66" i="1"/>
  <c r="AG65" i="1"/>
  <c r="Y65" i="1"/>
  <c r="N65" i="1"/>
  <c r="M65" i="1"/>
  <c r="S65" i="1" s="1"/>
  <c r="AG64" i="1"/>
  <c r="Y64" i="1"/>
  <c r="S64" i="1"/>
  <c r="V64" i="1" s="1"/>
  <c r="Z64" i="1" s="1"/>
  <c r="N64" i="1"/>
  <c r="M64" i="1"/>
  <c r="AG63" i="1"/>
  <c r="Y63" i="1"/>
  <c r="V63" i="1"/>
  <c r="Z63" i="1" s="1"/>
  <c r="S63" i="1"/>
  <c r="AP63" i="1" s="1"/>
  <c r="AQ63" i="1" s="1"/>
  <c r="AR63" i="1" s="1"/>
  <c r="AS63" i="1" s="1"/>
  <c r="N63" i="1"/>
  <c r="M63" i="1"/>
  <c r="AG62" i="1"/>
  <c r="Y62" i="1"/>
  <c r="S62" i="1"/>
  <c r="AP62" i="1" s="1"/>
  <c r="AQ62" i="1" s="1"/>
  <c r="AR62" i="1" s="1"/>
  <c r="N62" i="1"/>
  <c r="M62" i="1"/>
  <c r="AG61" i="1"/>
  <c r="Y61" i="1"/>
  <c r="S61" i="1"/>
  <c r="N61" i="1"/>
  <c r="M61" i="1"/>
  <c r="AG60" i="1"/>
  <c r="Y60" i="1"/>
  <c r="N60" i="1"/>
  <c r="M60" i="1"/>
  <c r="S60" i="1" s="1"/>
  <c r="AG59" i="1"/>
  <c r="Y59" i="1"/>
  <c r="N59" i="1"/>
  <c r="S59" i="1" s="1"/>
  <c r="V59" i="1" s="1"/>
  <c r="AG58" i="1"/>
  <c r="Y58" i="1"/>
  <c r="N58" i="1"/>
  <c r="M58" i="1"/>
  <c r="S58" i="1" s="1"/>
  <c r="AG57" i="1"/>
  <c r="Y57" i="1"/>
  <c r="N57" i="1"/>
  <c r="M57" i="1"/>
  <c r="S57" i="1" s="1"/>
  <c r="AQ56" i="1"/>
  <c r="AR56" i="1" s="1"/>
  <c r="AP56" i="1"/>
  <c r="AG56" i="1"/>
  <c r="Y56" i="1"/>
  <c r="N56" i="1"/>
  <c r="M56" i="1"/>
  <c r="S56" i="1" s="1"/>
  <c r="AG55" i="1"/>
  <c r="Y55" i="1"/>
  <c r="N55" i="1"/>
  <c r="S55" i="1" s="1"/>
  <c r="M55" i="1"/>
  <c r="AG54" i="1"/>
  <c r="Y54" i="1"/>
  <c r="S54" i="1"/>
  <c r="N54" i="1"/>
  <c r="M54" i="1"/>
  <c r="AG53" i="1"/>
  <c r="Y53" i="1"/>
  <c r="N53" i="1"/>
  <c r="M53" i="1"/>
  <c r="S53" i="1" s="1"/>
  <c r="AG52" i="1"/>
  <c r="Y52" i="1"/>
  <c r="N52" i="1"/>
  <c r="M52" i="1"/>
  <c r="S52" i="1" s="1"/>
  <c r="AP51" i="1"/>
  <c r="AQ51" i="1" s="1"/>
  <c r="AR51" i="1" s="1"/>
  <c r="AG51" i="1"/>
  <c r="Y51" i="1"/>
  <c r="N51" i="1"/>
  <c r="M51" i="1"/>
  <c r="S51" i="1" s="1"/>
  <c r="AG50" i="1"/>
  <c r="Y50" i="1"/>
  <c r="N50" i="1"/>
  <c r="M50" i="1"/>
  <c r="S50" i="1" s="1"/>
  <c r="AG49" i="1"/>
  <c r="Y49" i="1"/>
  <c r="S49" i="1"/>
  <c r="N49" i="1"/>
  <c r="M49" i="1"/>
  <c r="AG48" i="1"/>
  <c r="Y48" i="1"/>
  <c r="N48" i="1"/>
  <c r="M48" i="1"/>
  <c r="S48" i="1" s="1"/>
  <c r="AG47" i="1"/>
  <c r="Y47" i="1"/>
  <c r="N47" i="1"/>
  <c r="M47" i="1"/>
  <c r="S47" i="1" s="1"/>
  <c r="AP46" i="1"/>
  <c r="AQ46" i="1" s="1"/>
  <c r="AR46" i="1" s="1"/>
  <c r="AG46" i="1"/>
  <c r="Y46" i="1"/>
  <c r="N46" i="1"/>
  <c r="M46" i="1"/>
  <c r="S46" i="1" s="1"/>
  <c r="AG45" i="1"/>
  <c r="Y45" i="1"/>
  <c r="N45" i="1"/>
  <c r="M45" i="1"/>
  <c r="S45" i="1" s="1"/>
  <c r="AG44" i="1"/>
  <c r="Y44" i="1"/>
  <c r="S44" i="1"/>
  <c r="N44" i="1"/>
  <c r="M44" i="1"/>
  <c r="AG43" i="1"/>
  <c r="Y43" i="1"/>
  <c r="N43" i="1"/>
  <c r="M43" i="1"/>
  <c r="S43" i="1" s="1"/>
  <c r="AG42" i="1"/>
  <c r="Y42" i="1"/>
  <c r="N42" i="1"/>
  <c r="M42" i="1"/>
  <c r="S42" i="1" s="1"/>
  <c r="AP41" i="1"/>
  <c r="AQ41" i="1" s="1"/>
  <c r="AR41" i="1" s="1"/>
  <c r="AG41" i="1"/>
  <c r="Y41" i="1"/>
  <c r="N41" i="1"/>
  <c r="M41" i="1"/>
  <c r="S41" i="1" s="1"/>
  <c r="AG40" i="1"/>
  <c r="Y40" i="1"/>
  <c r="N40" i="1"/>
  <c r="M40" i="1"/>
  <c r="S40" i="1" s="1"/>
  <c r="AG39" i="1"/>
  <c r="Y39" i="1"/>
  <c r="S39" i="1"/>
  <c r="N39" i="1"/>
  <c r="M39" i="1"/>
  <c r="AG38" i="1"/>
  <c r="Y38" i="1"/>
  <c r="N38" i="1"/>
  <c r="M38" i="1"/>
  <c r="S38" i="1" s="1"/>
  <c r="AG37" i="1"/>
  <c r="Y37" i="1"/>
  <c r="N37" i="1"/>
  <c r="M37" i="1"/>
  <c r="S37" i="1" s="1"/>
  <c r="AG36" i="1"/>
  <c r="Y36" i="1"/>
  <c r="N36" i="1"/>
  <c r="M36" i="1"/>
  <c r="S36" i="1" s="1"/>
  <c r="AG35" i="1"/>
  <c r="Y35" i="1"/>
  <c r="N35" i="1"/>
  <c r="S35" i="1" s="1"/>
  <c r="M35" i="1"/>
  <c r="AG34" i="1"/>
  <c r="Y34" i="1"/>
  <c r="S34" i="1"/>
  <c r="N34" i="1"/>
  <c r="M34" i="1"/>
  <c r="AG33" i="1"/>
  <c r="Y33" i="1"/>
  <c r="N33" i="1"/>
  <c r="S33" i="1" s="1"/>
  <c r="M33" i="1"/>
  <c r="AG32" i="1"/>
  <c r="Y32" i="1"/>
  <c r="S32" i="1"/>
  <c r="V32" i="1" s="1"/>
  <c r="Z32" i="1" s="1"/>
  <c r="N32" i="1"/>
  <c r="M32" i="1"/>
  <c r="AP31" i="1"/>
  <c r="AG31" i="1"/>
  <c r="Y31" i="1"/>
  <c r="V31" i="1"/>
  <c r="Z31" i="1" s="1"/>
  <c r="AA31" i="1" s="1"/>
  <c r="N31" i="1"/>
  <c r="M31" i="1"/>
  <c r="S31" i="1" s="1"/>
  <c r="AG30" i="1"/>
  <c r="Y30" i="1"/>
  <c r="N30" i="1"/>
  <c r="M30" i="1"/>
  <c r="S30" i="1" s="1"/>
  <c r="AG29" i="1"/>
  <c r="Y29" i="1"/>
  <c r="N29" i="1"/>
  <c r="S29" i="1" s="1"/>
  <c r="M29" i="1"/>
  <c r="AG28" i="1"/>
  <c r="Y28" i="1"/>
  <c r="N28" i="1"/>
  <c r="M28" i="1"/>
  <c r="S28" i="1" s="1"/>
  <c r="AG27" i="1"/>
  <c r="Y27" i="1"/>
  <c r="N27" i="1"/>
  <c r="M27" i="1"/>
  <c r="S27" i="1" s="1"/>
  <c r="AG26" i="1"/>
  <c r="Y26" i="1"/>
  <c r="N26" i="1"/>
  <c r="M26" i="1"/>
  <c r="S26" i="1" s="1"/>
  <c r="AG25" i="1"/>
  <c r="Y25" i="1"/>
  <c r="N25" i="1"/>
  <c r="S25" i="1" s="1"/>
  <c r="M25" i="1"/>
  <c r="AG24" i="1"/>
  <c r="Y24" i="1"/>
  <c r="S24" i="1"/>
  <c r="N24" i="1"/>
  <c r="M24" i="1"/>
  <c r="AG23" i="1"/>
  <c r="Y23" i="1"/>
  <c r="N23" i="1"/>
  <c r="S23" i="1" s="1"/>
  <c r="M23" i="1"/>
  <c r="AG22" i="1"/>
  <c r="Y22" i="1"/>
  <c r="S22" i="1"/>
  <c r="V22" i="1" s="1"/>
  <c r="Z22" i="1" s="1"/>
  <c r="N22" i="1"/>
  <c r="M22" i="1"/>
  <c r="AP21" i="1"/>
  <c r="AG21" i="1"/>
  <c r="Y21" i="1"/>
  <c r="V21" i="1"/>
  <c r="Z21" i="1" s="1"/>
  <c r="AA21" i="1" s="1"/>
  <c r="N21" i="1"/>
  <c r="M21" i="1"/>
  <c r="S21" i="1" s="1"/>
  <c r="AG20" i="1"/>
  <c r="Y20" i="1"/>
  <c r="N20" i="1"/>
  <c r="M20" i="1"/>
  <c r="S20" i="1" s="1"/>
  <c r="AG19" i="1"/>
  <c r="Y19" i="1"/>
  <c r="N19" i="1"/>
  <c r="S19" i="1" s="1"/>
  <c r="M19" i="1"/>
  <c r="AG18" i="1"/>
  <c r="Y18" i="1"/>
  <c r="N18" i="1"/>
  <c r="M18" i="1"/>
  <c r="S18" i="1" s="1"/>
  <c r="AG17" i="1"/>
  <c r="Y17" i="1"/>
  <c r="N17" i="1"/>
  <c r="S17" i="1" s="1"/>
  <c r="M17" i="1"/>
  <c r="AR16" i="1"/>
  <c r="AS16" i="1" s="1"/>
  <c r="AG16" i="1"/>
  <c r="Y16" i="1"/>
  <c r="S16" i="1"/>
  <c r="AP16" i="1" s="1"/>
  <c r="AQ16" i="1" s="1"/>
  <c r="N16" i="1"/>
  <c r="M16" i="1"/>
  <c r="AG15" i="1"/>
  <c r="N15" i="1"/>
  <c r="S15" i="1" s="1"/>
  <c r="M15" i="1"/>
  <c r="AG14" i="1"/>
  <c r="AG103" i="1" s="1"/>
  <c r="Y14" i="1"/>
  <c r="Y13" i="1" s="1"/>
  <c r="N14" i="1"/>
  <c r="N13" i="1" s="1"/>
  <c r="AO14" i="1" s="1"/>
  <c r="M14" i="1"/>
  <c r="M13" i="1" s="1"/>
  <c r="AE13" i="1"/>
  <c r="AE98" i="1" s="1"/>
  <c r="AD13" i="1"/>
  <c r="AD98" i="1" s="1"/>
  <c r="X13" i="1"/>
  <c r="W13" i="1"/>
  <c r="U13" i="1"/>
  <c r="T13" i="1"/>
  <c r="R13" i="1"/>
  <c r="Q13" i="1"/>
  <c r="P13" i="1"/>
  <c r="O13" i="1"/>
  <c r="L13" i="1"/>
  <c r="K13" i="1"/>
  <c r="J13" i="1"/>
  <c r="I13" i="1"/>
  <c r="I98" i="1" s="1"/>
  <c r="H13" i="1"/>
  <c r="G13" i="1"/>
  <c r="V40" i="1" l="1"/>
  <c r="Z40" i="1" s="1"/>
  <c r="AP40" i="1"/>
  <c r="AQ40" i="1" s="1"/>
  <c r="AR40" i="1" s="1"/>
  <c r="AS40" i="1" s="1"/>
  <c r="V82" i="1"/>
  <c r="V42" i="1"/>
  <c r="Z42" i="1" s="1"/>
  <c r="AP42" i="1"/>
  <c r="AQ42" i="1" s="1"/>
  <c r="AR42" i="1" s="1"/>
  <c r="AS42" i="1"/>
  <c r="V58" i="1"/>
  <c r="Z58" i="1" s="1"/>
  <c r="AP58" i="1"/>
  <c r="AQ58" i="1" s="1"/>
  <c r="AR58" i="1" s="1"/>
  <c r="AS58" i="1" s="1"/>
  <c r="V20" i="1"/>
  <c r="Z20" i="1" s="1"/>
  <c r="AP20" i="1"/>
  <c r="AQ20" i="1" s="1"/>
  <c r="AR20" i="1" s="1"/>
  <c r="AS20" i="1"/>
  <c r="V33" i="1"/>
  <c r="Z33" i="1" s="1"/>
  <c r="AP33" i="1"/>
  <c r="AQ33" i="1" s="1"/>
  <c r="AR33" i="1" s="1"/>
  <c r="AS33" i="1" s="1"/>
  <c r="AP67" i="1"/>
  <c r="AQ67" i="1" s="1"/>
  <c r="AR67" i="1" s="1"/>
  <c r="AS67" i="1" s="1"/>
  <c r="V67" i="1"/>
  <c r="Z67" i="1" s="1"/>
  <c r="AP29" i="1"/>
  <c r="AQ29" i="1" s="1"/>
  <c r="AR29" i="1" s="1"/>
  <c r="AS29" i="1"/>
  <c r="V29" i="1"/>
  <c r="Z29" i="1" s="1"/>
  <c r="AB22" i="1"/>
  <c r="AA22" i="1"/>
  <c r="V43" i="1"/>
  <c r="Z43" i="1" s="1"/>
  <c r="AP43" i="1"/>
  <c r="AQ43" i="1" s="1"/>
  <c r="AR43" i="1" s="1"/>
  <c r="AS43" i="1" s="1"/>
  <c r="AS61" i="1"/>
  <c r="Z72" i="1"/>
  <c r="AA72" i="1" s="1"/>
  <c r="AB72" i="1"/>
  <c r="V30" i="1"/>
  <c r="Z30" i="1" s="1"/>
  <c r="AP30" i="1"/>
  <c r="AQ30" i="1" s="1"/>
  <c r="AR30" i="1" s="1"/>
  <c r="AS30" i="1" s="1"/>
  <c r="AP25" i="1"/>
  <c r="AQ25" i="1" s="1"/>
  <c r="AR25" i="1" s="1"/>
  <c r="V25" i="1"/>
  <c r="Z25" i="1" s="1"/>
  <c r="AS25" i="1"/>
  <c r="AB76" i="1"/>
  <c r="AC76" i="1" s="1"/>
  <c r="Z76" i="1"/>
  <c r="AA76" i="1" s="1"/>
  <c r="AA64" i="1"/>
  <c r="AB64" i="1" s="1"/>
  <c r="AC64" i="1" s="1"/>
  <c r="AP35" i="1"/>
  <c r="AQ35" i="1" s="1"/>
  <c r="AR35" i="1" s="1"/>
  <c r="V35" i="1"/>
  <c r="Z35" i="1" s="1"/>
  <c r="AS35" i="1"/>
  <c r="V15" i="1"/>
  <c r="Z15" i="1" s="1"/>
  <c r="AS38" i="1"/>
  <c r="V38" i="1"/>
  <c r="Z38" i="1" s="1"/>
  <c r="AP38" i="1"/>
  <c r="AQ38" i="1" s="1"/>
  <c r="AR38" i="1" s="1"/>
  <c r="V47" i="1"/>
  <c r="Z47" i="1" s="1"/>
  <c r="AP47" i="1"/>
  <c r="AQ47" i="1" s="1"/>
  <c r="AR47" i="1" s="1"/>
  <c r="AS47" i="1"/>
  <c r="V45" i="1"/>
  <c r="Z45" i="1" s="1"/>
  <c r="AP45" i="1"/>
  <c r="AQ45" i="1" s="1"/>
  <c r="AR45" i="1" s="1"/>
  <c r="AS45" i="1" s="1"/>
  <c r="V18" i="1"/>
  <c r="Z18" i="1" s="1"/>
  <c r="AP18" i="1"/>
  <c r="AQ18" i="1" s="1"/>
  <c r="AR18" i="1" s="1"/>
  <c r="AS18" i="1" s="1"/>
  <c r="V52" i="1"/>
  <c r="Z52" i="1" s="1"/>
  <c r="AP52" i="1"/>
  <c r="AQ52" i="1" s="1"/>
  <c r="AR52" i="1" s="1"/>
  <c r="AS52" i="1"/>
  <c r="V50" i="1"/>
  <c r="Z50" i="1" s="1"/>
  <c r="AP50" i="1"/>
  <c r="AQ50" i="1" s="1"/>
  <c r="AR50" i="1" s="1"/>
  <c r="AS50" i="1" s="1"/>
  <c r="V73" i="1"/>
  <c r="V23" i="1"/>
  <c r="Z23" i="1" s="1"/>
  <c r="AP23" i="1"/>
  <c r="AQ23" i="1" s="1"/>
  <c r="AR23" i="1" s="1"/>
  <c r="AS23" i="1" s="1"/>
  <c r="AS28" i="1"/>
  <c r="V28" i="1"/>
  <c r="Z28" i="1" s="1"/>
  <c r="AP28" i="1"/>
  <c r="AQ28" i="1" s="1"/>
  <c r="AR28" i="1" s="1"/>
  <c r="AB32" i="1"/>
  <c r="AA32" i="1"/>
  <c r="V37" i="1"/>
  <c r="Z37" i="1" s="1"/>
  <c r="AP37" i="1"/>
  <c r="AQ37" i="1" s="1"/>
  <c r="AR37" i="1" s="1"/>
  <c r="AS37" i="1" s="1"/>
  <c r="AS53" i="1"/>
  <c r="V53" i="1"/>
  <c r="Z53" i="1" s="1"/>
  <c r="AP53" i="1"/>
  <c r="AQ53" i="1" s="1"/>
  <c r="AR53" i="1" s="1"/>
  <c r="AP55" i="1"/>
  <c r="AQ55" i="1" s="1"/>
  <c r="AR55" i="1" s="1"/>
  <c r="V55" i="1"/>
  <c r="Z55" i="1" s="1"/>
  <c r="AS55" i="1"/>
  <c r="AA68" i="1"/>
  <c r="AB68" i="1" s="1"/>
  <c r="AC68" i="1" s="1"/>
  <c r="V84" i="1"/>
  <c r="V94" i="1"/>
  <c r="V17" i="1"/>
  <c r="Z17" i="1" s="1"/>
  <c r="AB17" i="1" s="1"/>
  <c r="AC17" i="1" s="1"/>
  <c r="AP17" i="1"/>
  <c r="AQ17" i="1" s="1"/>
  <c r="AR17" i="1" s="1"/>
  <c r="AS17" i="1" s="1"/>
  <c r="AB74" i="1"/>
  <c r="AC74" i="1" s="1"/>
  <c r="Z74" i="1"/>
  <c r="AA74" i="1" s="1"/>
  <c r="V27" i="1"/>
  <c r="Z27" i="1" s="1"/>
  <c r="AP27" i="1"/>
  <c r="AQ27" i="1" s="1"/>
  <c r="AR27" i="1" s="1"/>
  <c r="AS27" i="1" s="1"/>
  <c r="V83" i="1"/>
  <c r="AB63" i="1"/>
  <c r="AC63" i="1" s="1"/>
  <c r="AA63" i="1"/>
  <c r="AS21" i="1"/>
  <c r="AS48" i="1"/>
  <c r="V48" i="1"/>
  <c r="Z48" i="1" s="1"/>
  <c r="AP48" i="1"/>
  <c r="AQ48" i="1" s="1"/>
  <c r="AR48" i="1" s="1"/>
  <c r="AP19" i="1"/>
  <c r="AQ19" i="1" s="1"/>
  <c r="AR19" i="1" s="1"/>
  <c r="AS19" i="1"/>
  <c r="V19" i="1"/>
  <c r="Z19" i="1" s="1"/>
  <c r="M98" i="1"/>
  <c r="AG13" i="1"/>
  <c r="AG98" i="1" s="1"/>
  <c r="AP26" i="1"/>
  <c r="AQ26" i="1" s="1"/>
  <c r="AR26" i="1" s="1"/>
  <c r="AS26" i="1" s="1"/>
  <c r="AP36" i="1"/>
  <c r="AQ36" i="1" s="1"/>
  <c r="AR36" i="1" s="1"/>
  <c r="AS36" i="1" s="1"/>
  <c r="V61" i="1"/>
  <c r="Z61" i="1" s="1"/>
  <c r="AB61" i="1" s="1"/>
  <c r="V62" i="1"/>
  <c r="Z62" i="1" s="1"/>
  <c r="T98" i="1"/>
  <c r="Z91" i="1"/>
  <c r="AA91" i="1" s="1"/>
  <c r="AB91" i="1"/>
  <c r="AC91" i="1" s="1"/>
  <c r="V96" i="1"/>
  <c r="G98" i="1"/>
  <c r="S14" i="1"/>
  <c r="AB21" i="1"/>
  <c r="AC21" i="1" s="1"/>
  <c r="AB31" i="1"/>
  <c r="AC31" i="1" s="1"/>
  <c r="AP57" i="1"/>
  <c r="AQ57" i="1" s="1"/>
  <c r="AR57" i="1" s="1"/>
  <c r="AS57" i="1" s="1"/>
  <c r="K98" i="1"/>
  <c r="V60" i="1"/>
  <c r="Z60" i="1" s="1"/>
  <c r="AC72" i="1"/>
  <c r="AP34" i="1"/>
  <c r="AQ34" i="1" s="1"/>
  <c r="AR34" i="1" s="1"/>
  <c r="AS34" i="1" s="1"/>
  <c r="V34" i="1"/>
  <c r="Z34" i="1" s="1"/>
  <c r="AS56" i="1"/>
  <c r="V56" i="1"/>
  <c r="Z56" i="1" s="1"/>
  <c r="Z59" i="1"/>
  <c r="X98" i="1"/>
  <c r="S71" i="1"/>
  <c r="AB77" i="1"/>
  <c r="AC77" i="1" s="1"/>
  <c r="AB80" i="1"/>
  <c r="AC80" i="1" s="1"/>
  <c r="AB89" i="1"/>
  <c r="V65" i="1"/>
  <c r="Z65" i="1" s="1"/>
  <c r="AP24" i="1"/>
  <c r="AQ24" i="1" s="1"/>
  <c r="AR24" i="1" s="1"/>
  <c r="AS24" i="1"/>
  <c r="V24" i="1"/>
  <c r="Z24" i="1" s="1"/>
  <c r="V86" i="1"/>
  <c r="V16" i="1"/>
  <c r="Z16" i="1" s="1"/>
  <c r="V36" i="1"/>
  <c r="Z36" i="1" s="1"/>
  <c r="V57" i="1"/>
  <c r="Z57" i="1" s="1"/>
  <c r="AC89" i="1"/>
  <c r="V92" i="1"/>
  <c r="AC22" i="1"/>
  <c r="AP64" i="1"/>
  <c r="AQ64" i="1" s="1"/>
  <c r="AR64" i="1" s="1"/>
  <c r="AS64" i="1" s="1"/>
  <c r="V26" i="1"/>
  <c r="Z26" i="1" s="1"/>
  <c r="Z81" i="1"/>
  <c r="AA81" i="1" s="1"/>
  <c r="AB81" i="1"/>
  <c r="AC32" i="1"/>
  <c r="AP32" i="1"/>
  <c r="AQ32" i="1" s="1"/>
  <c r="AR32" i="1" s="1"/>
  <c r="AS32" i="1" s="1"/>
  <c r="AS46" i="1"/>
  <c r="V46" i="1"/>
  <c r="Z46" i="1" s="1"/>
  <c r="AS51" i="1"/>
  <c r="V51" i="1"/>
  <c r="Z51" i="1" s="1"/>
  <c r="N98" i="1"/>
  <c r="Z88" i="1"/>
  <c r="AA88" i="1" s="1"/>
  <c r="AP39" i="1"/>
  <c r="AQ39" i="1" s="1"/>
  <c r="AR39" i="1" s="1"/>
  <c r="AS39" i="1"/>
  <c r="V39" i="1"/>
  <c r="Z39" i="1" s="1"/>
  <c r="AP44" i="1"/>
  <c r="AQ44" i="1" s="1"/>
  <c r="AR44" i="1" s="1"/>
  <c r="AS44" i="1" s="1"/>
  <c r="V44" i="1"/>
  <c r="Z44" i="1" s="1"/>
  <c r="AP49" i="1"/>
  <c r="AQ49" i="1" s="1"/>
  <c r="AR49" i="1" s="1"/>
  <c r="AS49" i="1"/>
  <c r="V49" i="1"/>
  <c r="Z49" i="1" s="1"/>
  <c r="AP54" i="1"/>
  <c r="AQ54" i="1" s="1"/>
  <c r="AR54" i="1" s="1"/>
  <c r="AS54" i="1" s="1"/>
  <c r="V54" i="1"/>
  <c r="Z54" i="1" s="1"/>
  <c r="AB54" i="1" s="1"/>
  <c r="AC54" i="1" s="1"/>
  <c r="AP60" i="1"/>
  <c r="AQ60" i="1" s="1"/>
  <c r="AR60" i="1" s="1"/>
  <c r="AS60" i="1" s="1"/>
  <c r="AP65" i="1"/>
  <c r="AQ65" i="1" s="1"/>
  <c r="AR65" i="1" s="1"/>
  <c r="AS65" i="1" s="1"/>
  <c r="O98" i="1"/>
  <c r="V85" i="1"/>
  <c r="AQ21" i="1"/>
  <c r="AR21" i="1" s="1"/>
  <c r="AQ31" i="1"/>
  <c r="AR31" i="1" s="1"/>
  <c r="AS31" i="1" s="1"/>
  <c r="AS62" i="1"/>
  <c r="P98" i="1"/>
  <c r="V93" i="1"/>
  <c r="V95" i="1"/>
  <c r="AP61" i="1"/>
  <c r="AQ61" i="1" s="1"/>
  <c r="AR61" i="1" s="1"/>
  <c r="AC61" i="1"/>
  <c r="AP22" i="1"/>
  <c r="AQ22" i="1" s="1"/>
  <c r="AR22" i="1" s="1"/>
  <c r="AS22" i="1" s="1"/>
  <c r="AS41" i="1"/>
  <c r="V41" i="1"/>
  <c r="Z41" i="1" s="1"/>
  <c r="S66" i="1"/>
  <c r="Q98" i="1"/>
  <c r="V75" i="1"/>
  <c r="AB79" i="1"/>
  <c r="AC79" i="1" s="1"/>
  <c r="AC81" i="1"/>
  <c r="AC88" i="1"/>
  <c r="AB90" i="1"/>
  <c r="AC90" i="1" s="1"/>
  <c r="V87" i="1"/>
  <c r="V97" i="1"/>
  <c r="S69" i="1"/>
  <c r="AA25" i="1" l="1"/>
  <c r="AB25" i="1"/>
  <c r="AC25" i="1" s="1"/>
  <c r="AA67" i="1"/>
  <c r="AB67" i="1"/>
  <c r="AC67" i="1" s="1"/>
  <c r="AA37" i="1"/>
  <c r="AB37" i="1" s="1"/>
  <c r="AC37" i="1" s="1"/>
  <c r="AA20" i="1"/>
  <c r="AB20" i="1"/>
  <c r="AC20" i="1" s="1"/>
  <c r="Z82" i="1"/>
  <c r="AA82" i="1" s="1"/>
  <c r="AB82" i="1"/>
  <c r="AC82" i="1" s="1"/>
  <c r="AA41" i="1"/>
  <c r="AB41" i="1"/>
  <c r="AC41" i="1" s="1"/>
  <c r="AB42" i="1"/>
  <c r="AC42" i="1" s="1"/>
  <c r="AA42" i="1"/>
  <c r="AB16" i="1"/>
  <c r="AC16" i="1" s="1"/>
  <c r="AA16" i="1"/>
  <c r="AA23" i="1"/>
  <c r="AB23" i="1" s="1"/>
  <c r="AC23" i="1" s="1"/>
  <c r="AB75" i="1"/>
  <c r="AC75" i="1" s="1"/>
  <c r="Z75" i="1"/>
  <c r="AA75" i="1" s="1"/>
  <c r="Z92" i="1"/>
  <c r="AA92" i="1" s="1"/>
  <c r="AB92" i="1"/>
  <c r="AC92" i="1" s="1"/>
  <c r="AA19" i="1"/>
  <c r="AB19" i="1"/>
  <c r="AC19" i="1" s="1"/>
  <c r="AB83" i="1"/>
  <c r="AC83" i="1" s="1"/>
  <c r="Z83" i="1"/>
  <c r="AA83" i="1" s="1"/>
  <c r="AB55" i="1"/>
  <c r="AC55" i="1" s="1"/>
  <c r="AA55" i="1"/>
  <c r="AA35" i="1"/>
  <c r="AB35" i="1"/>
  <c r="AC35" i="1" s="1"/>
  <c r="AB43" i="1"/>
  <c r="AC43" i="1" s="1"/>
  <c r="AA43" i="1"/>
  <c r="AA39" i="1"/>
  <c r="AB39" i="1"/>
  <c r="AC39" i="1" s="1"/>
  <c r="AB45" i="1"/>
  <c r="AC45" i="1" s="1"/>
  <c r="AA45" i="1"/>
  <c r="AB73" i="1"/>
  <c r="AC73" i="1" s="1"/>
  <c r="Z73" i="1"/>
  <c r="AA73" i="1" s="1"/>
  <c r="AB96" i="1"/>
  <c r="AC96" i="1" s="1"/>
  <c r="Z96" i="1"/>
  <c r="AA96" i="1" s="1"/>
  <c r="AB86" i="1"/>
  <c r="AC86" i="1" s="1"/>
  <c r="Z86" i="1"/>
  <c r="AA86" i="1" s="1"/>
  <c r="AA52" i="1"/>
  <c r="AB52" i="1" s="1"/>
  <c r="AC52" i="1" s="1"/>
  <c r="AB59" i="1"/>
  <c r="AC59" i="1" s="1"/>
  <c r="AA59" i="1"/>
  <c r="AA56" i="1"/>
  <c r="AB56" i="1"/>
  <c r="AC56" i="1" s="1"/>
  <c r="AB47" i="1"/>
  <c r="AC47" i="1" s="1"/>
  <c r="AA47" i="1"/>
  <c r="AB93" i="1"/>
  <c r="AC93" i="1" s="1"/>
  <c r="Z93" i="1"/>
  <c r="AA93" i="1" s="1"/>
  <c r="AB34" i="1"/>
  <c r="AC34" i="1" s="1"/>
  <c r="AA34" i="1"/>
  <c r="AB94" i="1"/>
  <c r="AC94" i="1" s="1"/>
  <c r="Z94" i="1"/>
  <c r="AA94" i="1" s="1"/>
  <c r="AA18" i="1"/>
  <c r="AB18" i="1" s="1"/>
  <c r="AC18" i="1" s="1"/>
  <c r="AB40" i="1"/>
  <c r="AC40" i="1" s="1"/>
  <c r="AA40" i="1"/>
  <c r="AA49" i="1"/>
  <c r="AB49" i="1"/>
  <c r="AC49" i="1" s="1"/>
  <c r="AA65" i="1"/>
  <c r="AB65" i="1"/>
  <c r="AC65" i="1" s="1"/>
  <c r="S98" i="1"/>
  <c r="AA51" i="1"/>
  <c r="AB51" i="1"/>
  <c r="AC51" i="1" s="1"/>
  <c r="AB97" i="1"/>
  <c r="AC97" i="1" s="1"/>
  <c r="Z97" i="1"/>
  <c r="AA97" i="1" s="1"/>
  <c r="AB85" i="1"/>
  <c r="AC85" i="1" s="1"/>
  <c r="Z85" i="1"/>
  <c r="AA85" i="1" s="1"/>
  <c r="AB26" i="1"/>
  <c r="AC26" i="1" s="1"/>
  <c r="AA26" i="1"/>
  <c r="S13" i="1"/>
  <c r="V14" i="1"/>
  <c r="AP14" i="1"/>
  <c r="AQ14" i="1" s="1"/>
  <c r="AR14" i="1" s="1"/>
  <c r="AS14" i="1"/>
  <c r="AA30" i="1"/>
  <c r="AB30" i="1"/>
  <c r="AC30" i="1" s="1"/>
  <c r="AB33" i="1"/>
  <c r="AC33" i="1" s="1"/>
  <c r="AA33" i="1"/>
  <c r="AB36" i="1"/>
  <c r="AC36" i="1" s="1"/>
  <c r="AA36" i="1"/>
  <c r="AB50" i="1"/>
  <c r="AC50" i="1" s="1"/>
  <c r="AA50" i="1"/>
  <c r="AB60" i="1"/>
  <c r="AC60" i="1" s="1"/>
  <c r="AA60" i="1"/>
  <c r="V71" i="1"/>
  <c r="AB15" i="1"/>
  <c r="AC15" i="1" s="1"/>
  <c r="AA15" i="1"/>
  <c r="AB24" i="1"/>
  <c r="AC24" i="1" s="1"/>
  <c r="AA24" i="1"/>
  <c r="AB95" i="1"/>
  <c r="AC95" i="1" s="1"/>
  <c r="Z95" i="1"/>
  <c r="AA95" i="1" s="1"/>
  <c r="AA62" i="1"/>
  <c r="AB62" i="1"/>
  <c r="AC62" i="1" s="1"/>
  <c r="AP66" i="1"/>
  <c r="AQ66" i="1" s="1"/>
  <c r="AR66" i="1" s="1"/>
  <c r="AS66" i="1" s="1"/>
  <c r="V66" i="1"/>
  <c r="Z66" i="1" s="1"/>
  <c r="AA58" i="1"/>
  <c r="AB58" i="1"/>
  <c r="AC58" i="1" s="1"/>
  <c r="AA44" i="1"/>
  <c r="AB44" i="1"/>
  <c r="AC44" i="1" s="1"/>
  <c r="AB87" i="1"/>
  <c r="AC87" i="1" s="1"/>
  <c r="Z87" i="1"/>
  <c r="AA87" i="1" s="1"/>
  <c r="AA46" i="1"/>
  <c r="AB46" i="1"/>
  <c r="AC46" i="1" s="1"/>
  <c r="AB57" i="1"/>
  <c r="AC57" i="1" s="1"/>
  <c r="AA57" i="1"/>
  <c r="AB48" i="1"/>
  <c r="AC48" i="1" s="1"/>
  <c r="AA48" i="1"/>
  <c r="AB27" i="1"/>
  <c r="AC27" i="1" s="1"/>
  <c r="AA27" i="1"/>
  <c r="AB84" i="1"/>
  <c r="AC84" i="1" s="1"/>
  <c r="Z84" i="1"/>
  <c r="AA84" i="1" s="1"/>
  <c r="AA53" i="1"/>
  <c r="AB53" i="1" s="1"/>
  <c r="AC53" i="1" s="1"/>
  <c r="AB28" i="1"/>
  <c r="AC28" i="1" s="1"/>
  <c r="AA28" i="1"/>
  <c r="AB38" i="1"/>
  <c r="AC38" i="1" s="1"/>
  <c r="AA38" i="1"/>
  <c r="AB29" i="1"/>
  <c r="AC29" i="1" s="1"/>
  <c r="AA29" i="1"/>
  <c r="Z71" i="1" l="1"/>
  <c r="AB71" i="1"/>
  <c r="V69" i="1"/>
  <c r="AB66" i="1"/>
  <c r="AC66" i="1" s="1"/>
  <c r="AA66" i="1"/>
  <c r="Z14" i="1"/>
  <c r="V13" i="1"/>
  <c r="AA14" i="1" l="1"/>
  <c r="AA13" i="1" s="1"/>
  <c r="Z13" i="1"/>
  <c r="AB14" i="1"/>
  <c r="AB69" i="1"/>
  <c r="AC71" i="1"/>
  <c r="AC69" i="1" s="1"/>
  <c r="V98" i="1"/>
  <c r="AA71" i="1"/>
  <c r="AA69" i="1" s="1"/>
  <c r="AA98" i="1" s="1"/>
  <c r="Z69" i="1"/>
  <c r="Z98" i="1" s="1"/>
  <c r="AB13" i="1" l="1"/>
  <c r="AC14" i="1"/>
  <c r="AC13" i="1" s="1"/>
  <c r="AC98" i="1" s="1"/>
  <c r="AB9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C53" authorId="0" shapeId="0" xr:uid="{CA747F89-6F0C-614F-8339-B2F4617F1319}">
      <text>
        <r>
          <rPr>
            <b/>
            <sz val="9"/>
            <rFont val="Tahoma"/>
            <family val="2"/>
          </rPr>
          <t>admin:</t>
        </r>
        <r>
          <rPr>
            <sz val="9"/>
            <rFont val="Tahoma"/>
            <family val="2"/>
          </rPr>
          <t xml:space="preserve">
Chuyển khoản xong
- GV có trách nhiệm mang tiền tới trung tâm.
- GV ko tới trung tâm -&gt; GV nhờ người thân ck cho Trần Huyền -&gt; tk Trung tâm ck lại</t>
        </r>
      </text>
    </comment>
  </commentList>
</comments>
</file>

<file path=xl/sharedStrings.xml><?xml version="1.0" encoding="utf-8"?>
<sst xmlns="http://schemas.openxmlformats.org/spreadsheetml/2006/main" count="293" uniqueCount="243">
  <si>
    <t>BẢNG CẤP LƯƠNG, PHỤ CẤP THÁNG 05 NĂM 2026</t>
  </si>
  <si>
    <r>
      <rPr>
        <b/>
        <sz val="14"/>
        <color rgb="FFFF0000"/>
        <rFont val="Times New Roman"/>
        <family val="1"/>
      </rPr>
      <t xml:space="preserve">CHỐT NGÀY 30 HÀNG THÁNG - CK NGÀY 5 HÀNG THÁNG 
</t>
    </r>
    <r>
      <rPr>
        <b/>
        <sz val="14"/>
        <color rgb="FF00B0F0"/>
        <rFont val="Times New Roman"/>
        <family val="1"/>
      </rPr>
      <t>(THEO SỐ LƯỢNG HỌC VIÊN DANH SÁCH PHÂN XE THANH TOÁN)</t>
    </r>
  </si>
  <si>
    <t>NPT</t>
  </si>
  <si>
    <t>XD</t>
  </si>
  <si>
    <t>B,C1</t>
  </si>
  <si>
    <t>NHÂN VIÊN TRUNG TÂM</t>
  </si>
  <si>
    <t>được trừ</t>
  </si>
  <si>
    <t>STT</t>
  </si>
  <si>
    <t>Họ và tên</t>
  </si>
  <si>
    <t>Chức vụ</t>
  </si>
  <si>
    <t xml:space="preserve">Số ngày 
làm việc </t>
  </si>
  <si>
    <t>Lương
 chính</t>
  </si>
  <si>
    <t>Thưởng lễ tết</t>
  </si>
  <si>
    <t xml:space="preserve">Tiền cơm
</t>
  </si>
  <si>
    <t>Phụ cấp xăng xe</t>
  </si>
  <si>
    <t>Dạy LT
Sát hạch</t>
  </si>
  <si>
    <t xml:space="preserve">Chiêu sinh
TTTN </t>
  </si>
  <si>
    <t>Khác
(DT - Khác)</t>
  </si>
  <si>
    <t>Làm thêm
giờ</t>
  </si>
  <si>
    <t>Điện thoại</t>
  </si>
  <si>
    <t>Tổng thu nhập</t>
  </si>
  <si>
    <t>NLD Nộp BHXH 10.5%</t>
  </si>
  <si>
    <t>TT Nộp BHXH 
21.5%</t>
  </si>
  <si>
    <t>Thu nhập chịu thuế</t>
  </si>
  <si>
    <t>Giảm trừ gia cảnh</t>
  </si>
  <si>
    <t>Số NPT</t>
  </si>
  <si>
    <t>Người 
phụ thuộc</t>
  </si>
  <si>
    <t>Thu nhập tính thuế</t>
  </si>
  <si>
    <t>Bậc</t>
  </si>
  <si>
    <t>Thuế 
TNCN</t>
  </si>
  <si>
    <t>Lương thực nhận</t>
  </si>
  <si>
    <t>chênh lêch chuyển thêm</t>
  </si>
  <si>
    <t>Lương đã CK</t>
  </si>
  <si>
    <t>Nghĩa vụ
GV</t>
  </si>
  <si>
    <t>Bộ phận giáo viên</t>
  </si>
  <si>
    <t>Vũ Giang Nam</t>
  </si>
  <si>
    <t>C</t>
  </si>
  <si>
    <t>Dương Tuấn Anh</t>
  </si>
  <si>
    <t>Phạm Vũ Đức Bảo</t>
  </si>
  <si>
    <t>Cao Đình Bắc</t>
  </si>
  <si>
    <t>B2</t>
  </si>
  <si>
    <t>Lê Trung Cường</t>
  </si>
  <si>
    <t>Vũ Đức Diện</t>
  </si>
  <si>
    <t>Nguyễn Cao Dũng</t>
  </si>
  <si>
    <t>Nguyễn Hữu Dương</t>
  </si>
  <si>
    <t>Trần Trung Đạo</t>
  </si>
  <si>
    <t>Nguyễn Phương Đông</t>
  </si>
  <si>
    <t>Nguyễn Vĩnh Hạ</t>
  </si>
  <si>
    <t>Tống Nam Hải</t>
  </si>
  <si>
    <t>Trần Đức Hải</t>
  </si>
  <si>
    <t>Lê Hữu Hạnh</t>
  </si>
  <si>
    <t>D</t>
  </si>
  <si>
    <t>Nguyễn Vĩnh Hậu</t>
  </si>
  <si>
    <t>Nguyễn Vĩnh Hiệp</t>
  </si>
  <si>
    <t>Nguyễn Hoàng Hiếu</t>
  </si>
  <si>
    <t>Lưu Văn Huy</t>
  </si>
  <si>
    <t>Đặng Quốc Khánh</t>
  </si>
  <si>
    <t>Phạm Đăng Khoa</t>
  </si>
  <si>
    <t>Nguyễn Tiến Khôi</t>
  </si>
  <si>
    <t>Lưu Phúc Kính</t>
  </si>
  <si>
    <t>Đặng Trường Kỳ</t>
  </si>
  <si>
    <t>Lê Văn Lộc</t>
  </si>
  <si>
    <t>E</t>
  </si>
  <si>
    <t>Đặng Hoàng Minh</t>
  </si>
  <si>
    <t>Nguyễn Thanh Nam</t>
  </si>
  <si>
    <t>Nguyễn Văn Ngoan</t>
  </si>
  <si>
    <t>Huỳnh Văn Nguyên</t>
  </si>
  <si>
    <t>Lê Ngọc Nhân</t>
  </si>
  <si>
    <t>Dương Quang Quyết</t>
  </si>
  <si>
    <t>Nguyễn Duy Sang</t>
  </si>
  <si>
    <t>Đỗ Trung Thành</t>
  </si>
  <si>
    <t>Nguyễn Công Thành</t>
  </si>
  <si>
    <t>Nguyễn Trung Thành</t>
  </si>
  <si>
    <t>Nguyễn Quốc Thạnh</t>
  </si>
  <si>
    <t>Vũ Văn Thạo</t>
  </si>
  <si>
    <t>Nguyễn Văn Thật</t>
  </si>
  <si>
    <t>Huỳnh Văn Thêu</t>
  </si>
  <si>
    <t>Võ Duy Thiện</t>
  </si>
  <si>
    <t>Nguyễn Đình Trọng</t>
  </si>
  <si>
    <t>Ngô Quang Trơn</t>
  </si>
  <si>
    <t>Trương Chí Trung</t>
  </si>
  <si>
    <t>Lê Minh Tú</t>
  </si>
  <si>
    <t>Bùi Anh Tuấn</t>
  </si>
  <si>
    <t>Trần Nguyễn Xuân Vũ</t>
  </si>
  <si>
    <t>Nguyễn Hữu Phúc</t>
  </si>
  <si>
    <t>Nguyễn Thanh Bình</t>
  </si>
  <si>
    <t>Hoàng Danh Dũng</t>
  </si>
  <si>
    <t>D,CE</t>
  </si>
  <si>
    <t>Đoàn Quang Đình</t>
  </si>
  <si>
    <t>CE</t>
  </si>
  <si>
    <t>Nguyễn Văn Huy</t>
  </si>
  <si>
    <t>Phạm Sỹ Nguyên</t>
  </si>
  <si>
    <t>Lê Văn Thành</t>
  </si>
  <si>
    <t>Vũ Văn Thành</t>
  </si>
  <si>
    <t>Vũ Văn Thỏa</t>
  </si>
  <si>
    <t>Nguyễn Ngọc Vọng</t>
  </si>
  <si>
    <t xml:space="preserve">Bộ phận giáo viên tổ 2  </t>
  </si>
  <si>
    <t>Nguyễn Ngũ Phúc</t>
  </si>
  <si>
    <t>Dương Hoàng An</t>
  </si>
  <si>
    <t>Bùi Văn Bay</t>
  </si>
  <si>
    <t>Hoàng Quang Cường</t>
  </si>
  <si>
    <t>CTCP ĐẦU TƯ TRÂM ANH GROUP</t>
  </si>
  <si>
    <t>TRUNG TÂM GDNN BÁCH VIỆT</t>
  </si>
  <si>
    <t>Trung Tín Thành tính lại</t>
  </si>
  <si>
    <t>TĐ</t>
  </si>
  <si>
    <t>SS</t>
  </si>
  <si>
    <t>C1</t>
  </si>
  <si>
    <t>Xăng dầu</t>
  </si>
  <si>
    <t>VU GIANG NAM</t>
  </si>
  <si>
    <t>DUONG TUAN ANH</t>
  </si>
  <si>
    <t>PHAM VU DUC BAO</t>
  </si>
  <si>
    <t>CAO DINH BAC</t>
  </si>
  <si>
    <t>LE TRUNG CUONG</t>
  </si>
  <si>
    <t>VU DUC DIEN</t>
  </si>
  <si>
    <t>NGUYEN CAO DUNG</t>
  </si>
  <si>
    <t>NGUYEN HUU DUONG</t>
  </si>
  <si>
    <t>TRAN TRUNG DAO</t>
  </si>
  <si>
    <t>NGUYEN PHUONG DONG</t>
  </si>
  <si>
    <t>NGUYEN VINH HA</t>
  </si>
  <si>
    <t>TONG NAM HAI</t>
  </si>
  <si>
    <t>TRAN DUC HAI</t>
  </si>
  <si>
    <t>LE HUU HANH</t>
  </si>
  <si>
    <t>NGUYEN VINH HAU</t>
  </si>
  <si>
    <t>NGUYEN VINH HIEP</t>
  </si>
  <si>
    <t>NGUYEN HOANG HIEU</t>
  </si>
  <si>
    <t>LUU VAN HUY</t>
  </si>
  <si>
    <t>DANG QUOC KHANH</t>
  </si>
  <si>
    <t>PHAM DANG KHOA</t>
  </si>
  <si>
    <t>NGUYEN TIEN KHOI</t>
  </si>
  <si>
    <t>LUU PHUC KINH</t>
  </si>
  <si>
    <t>DANG TRUONG KY</t>
  </si>
  <si>
    <t>LE VAN LOC</t>
  </si>
  <si>
    <t>DANG HOANG MINH</t>
  </si>
  <si>
    <t>NGUYEN THANH NAM</t>
  </si>
  <si>
    <t>NGUYEN VAN NGOAN</t>
  </si>
  <si>
    <t>HUYNH VAN NGUYEN</t>
  </si>
  <si>
    <t>LE NGOC NHAN</t>
  </si>
  <si>
    <t>DUONG QUANG QUYET</t>
  </si>
  <si>
    <t>NGUYEN DUY SANG</t>
  </si>
  <si>
    <t>DO TRUNG THANH</t>
  </si>
  <si>
    <t>NGUYEN CONG THANH</t>
  </si>
  <si>
    <t>bổ sung npt</t>
  </si>
  <si>
    <t>NGUYEN TRUNG THANH</t>
  </si>
  <si>
    <t>NGUYEN QUOC THANH</t>
  </si>
  <si>
    <t>VU VAN THAO</t>
  </si>
  <si>
    <t>NGUYEN VAN THAT</t>
  </si>
  <si>
    <t>HUYNH VAN THEU</t>
  </si>
  <si>
    <t>VO DUY THIEN</t>
  </si>
  <si>
    <t>NGUYEN DINH TRONG</t>
  </si>
  <si>
    <t>NGO QUANG TRON</t>
  </si>
  <si>
    <t>TRUONG CHI TRUNG</t>
  </si>
  <si>
    <t>LE MINH TU</t>
  </si>
  <si>
    <t>BUI ANH TUAN</t>
  </si>
  <si>
    <t>TRAN NGUYEN XUAN VU</t>
  </si>
  <si>
    <t>NGUYEN THANH BINH</t>
  </si>
  <si>
    <t>HOANG DANH DUNG</t>
  </si>
  <si>
    <t>DOAN QUANG DINH</t>
  </si>
  <si>
    <t>NGUYEN VAN HUY</t>
  </si>
  <si>
    <t>PHAM SY NGUYEN</t>
  </si>
  <si>
    <t>LE VAN THANH</t>
  </si>
  <si>
    <t>VU VAN THANH</t>
  </si>
  <si>
    <t>VU VAN THOA</t>
  </si>
  <si>
    <t>NGUYEN NGOC VONG</t>
  </si>
  <si>
    <t>Trừ vào công nợ</t>
  </si>
  <si>
    <t>DUONG HOANG AN</t>
  </si>
  <si>
    <t>BUI VAN BAY</t>
  </si>
  <si>
    <t>HOANG QUANG CUONG</t>
  </si>
  <si>
    <t>Vũ Văn Duân</t>
  </si>
  <si>
    <t>VU VAN DUAN</t>
  </si>
  <si>
    <t>Bùi Minh Đức</t>
  </si>
  <si>
    <t>BUI MINH DUC</t>
  </si>
  <si>
    <t>Nguyễn Đức Duy</t>
  </si>
  <si>
    <t>NGUYEN DUC DUY</t>
  </si>
  <si>
    <t>Nông Văn Đường</t>
  </si>
  <si>
    <t>NONG VAN DUONG</t>
  </si>
  <si>
    <t>Đỗ Danh Hiển</t>
  </si>
  <si>
    <t>DO DANH HANH</t>
  </si>
  <si>
    <t>Nguyễn Văn Hiếu</t>
  </si>
  <si>
    <t>NGUYEN VAN HIEU</t>
  </si>
  <si>
    <t>Trần Minh Hiếu</t>
  </si>
  <si>
    <t>TRAN MINH HIEU</t>
  </si>
  <si>
    <t>Nguyễn Đình Khẩn</t>
  </si>
  <si>
    <t>NGUYEN DINH KHAN</t>
  </si>
  <si>
    <t>Nguyễn Đức Linh</t>
  </si>
  <si>
    <t>NGUYEN DUC LINH</t>
  </si>
  <si>
    <t>Lê Tất Mạnh</t>
  </si>
  <si>
    <t>LE TAT MANH</t>
  </si>
  <si>
    <t>Võ Duy Minh</t>
  </si>
  <si>
    <t>VO DUY MINH</t>
  </si>
  <si>
    <t>Lê Hoài Nam</t>
  </si>
  <si>
    <t>LE HOAI NAM</t>
  </si>
  <si>
    <t>Đỗ Chí Nghĩa</t>
  </si>
  <si>
    <t>DO CHI NGHIA</t>
  </si>
  <si>
    <t>Nghiêm Hải Ngọc</t>
  </si>
  <si>
    <t>NGHIEM HAI NGOC</t>
  </si>
  <si>
    <t>Đặng Đình Nhân</t>
  </si>
  <si>
    <t>chuyển cho hiếu</t>
  </si>
  <si>
    <t>DANG DINH NHAN</t>
  </si>
  <si>
    <t>Nguyễn Đông Nhựt</t>
  </si>
  <si>
    <t>chuyển cho lan</t>
  </si>
  <si>
    <t>NGUYEN DONG NHUT</t>
  </si>
  <si>
    <t>Huỳnh Quốc Phong</t>
  </si>
  <si>
    <t>HUYNH QUOC PHONG</t>
  </si>
  <si>
    <t>Trần Phạm Ân Phước</t>
  </si>
  <si>
    <t>TRAN PHAM AN PHUOC</t>
  </si>
  <si>
    <t>Trần Ánh Sáng</t>
  </si>
  <si>
    <t>TRAN ANH SANG</t>
  </si>
  <si>
    <t>Nguyễn Trường Sơn</t>
  </si>
  <si>
    <t>NGUYEN TRUONG SON</t>
  </si>
  <si>
    <t>Nguyễn Minh Tiến</t>
  </si>
  <si>
    <t>NGUYEN MINH TIEN</t>
  </si>
  <si>
    <t>Hứa Nguyễn Quốc Thái</t>
  </si>
  <si>
    <t>HUA NGUYEN QUOC THAI</t>
  </si>
  <si>
    <t>Lê Trung Thành</t>
  </si>
  <si>
    <t>LE TRUNG THANH</t>
  </si>
  <si>
    <t>Lê Công Viên</t>
  </si>
  <si>
    <t>LE CONG VIEN</t>
  </si>
  <si>
    <t>tiền gv</t>
  </si>
  <si>
    <t>chưa ap</t>
  </si>
  <si>
    <t>đã áp</t>
  </si>
  <si>
    <t>Ngày      tháng         năm 2026</t>
  </si>
  <si>
    <t>GIÁM ĐỐC</t>
  </si>
  <si>
    <t>KẾ TOÁN</t>
  </si>
  <si>
    <t>Người lập</t>
  </si>
  <si>
    <t>NGUYỄN QUANG HUY</t>
  </si>
  <si>
    <t>Trần Thị Thanh Nhã</t>
  </si>
  <si>
    <t>Phan Thị Như Quỳnh</t>
  </si>
  <si>
    <t>Quy trình nộp hồ sơ</t>
  </si>
  <si>
    <t>Lương khoán hv tự quản hạng B.01 :</t>
  </si>
  <si>
    <t>Lương khoán hv tự quản hạng B :</t>
  </si>
  <si>
    <t>Người lao động nộp 10.5% BHXH</t>
  </si>
  <si>
    <t>Lương khoán hv tự quản hạng C1 :</t>
  </si>
  <si>
    <r>
      <rPr>
        <sz val="12"/>
        <color theme="1"/>
        <rFont val="Times New Roman"/>
        <family val="1"/>
      </rPr>
      <t>1.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Giáo viên nộp học phí tự quản lần 1 và trung tâm tạm ứng thanh toán theo bảng 1</t>
    </r>
  </si>
  <si>
    <t>Lương khoán hv hạng CE :</t>
  </si>
  <si>
    <r>
      <rPr>
        <sz val="12"/>
        <color theme="1"/>
        <rFont val="Times New Roman"/>
        <family val="1"/>
      </rP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 xml:space="preserve">Khi GV tổng hợp HĐ XD về + danh sách TN - nộp học phí theo bảng 2 (đã bao gồm 1.2 HĐ XD)  </t>
    </r>
  </si>
  <si>
    <t>Lương cơ bản học viên hạng B-C :</t>
  </si>
  <si>
    <t>Bảng thanh toán 
của Trung tâm</t>
  </si>
  <si>
    <r>
      <rPr>
        <sz val="12"/>
        <color theme="1"/>
        <rFont val="Times New Roman"/>
        <family val="1"/>
      </rPr>
      <t>3.</t>
    </r>
    <r>
      <rPr>
        <sz val="7"/>
        <color theme="1"/>
        <rFont val="Times New Roman"/>
        <family val="1"/>
      </rPr>
      <t>  </t>
    </r>
    <r>
      <rPr>
        <sz val="12"/>
        <color theme="1"/>
        <rFont val="Times New Roman"/>
        <family val="1"/>
      </rPr>
      <t> Trung tâm sẽ ck L cho GV tính trong bảng L (đã trừ BHXH và thuế TNCN nếu có của NLĐ)</t>
    </r>
  </si>
  <si>
    <t>Lương cơ bản 1 học viên hạng B.01 :</t>
  </si>
  <si>
    <t>4. Có thể phân bổ cho GV đều từng tháng để tránh phát sinh thuế TNCN</t>
  </si>
  <si>
    <t>Lương cơ bản 1 học viên hạng B :</t>
  </si>
  <si>
    <t>Tạm ứng 1t5/hv đối với CE</t>
  </si>
  <si>
    <t>Lương cơ bản 1 học viên hạng C1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</si>
</sst>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#,##0;[Red]#,##0"/>
    <numFmt numFmtId="167" formatCode="dd\/mm\/yyyy"/>
    <numFmt numFmtId="168" formatCode="_-* #,##0_-;\-* #,##0_-;_-* &quot;-&quot;??_-;_-@_-"/>
  </numFmts>
  <fonts count="3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name val="Times New Roman"/>
      <family val="1"/>
    </font>
    <font>
      <b/>
      <sz val="14"/>
      <color rgb="FFFF0000"/>
      <name val="Times New Roman"/>
      <family val="1"/>
    </font>
    <font>
      <b/>
      <sz val="14"/>
      <color rgb="FF00B0F0"/>
      <name val="Times New Roman"/>
      <family val="1"/>
    </font>
    <font>
      <sz val="12"/>
      <name val="Times New Roman"/>
      <family val="1"/>
    </font>
    <font>
      <b/>
      <sz val="8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9"/>
      <name val="Times New Roman"/>
      <family val="1"/>
    </font>
    <font>
      <b/>
      <sz val="10"/>
      <name val="Times New Roman"/>
      <family val="1"/>
    </font>
    <font>
      <sz val="11"/>
      <color indexed="8"/>
      <name val="Calibri"/>
      <family val="2"/>
    </font>
    <font>
      <b/>
      <sz val="12"/>
      <color rgb="FFC00000"/>
      <name val="Times New Roman"/>
      <family val="1"/>
    </font>
    <font>
      <sz val="13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2"/>
      <color rgb="FFFF0000"/>
      <name val="Times New Roman"/>
      <family val="1"/>
    </font>
    <font>
      <b/>
      <sz val="12"/>
      <color rgb="FFED0000"/>
      <name val="Times New Roman"/>
      <family val="1"/>
    </font>
    <font>
      <b/>
      <sz val="9"/>
      <name val="Tahoma"/>
      <family val="2"/>
    </font>
    <font>
      <sz val="9"/>
      <name val="Tahoma"/>
      <family val="2"/>
    </font>
    <font>
      <sz val="14"/>
      <name val="Times New Roman"/>
      <family val="1"/>
    </font>
    <font>
      <b/>
      <sz val="14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3"/>
      <color theme="1"/>
      <name val="Times New Roman"/>
      <family val="1"/>
    </font>
    <font>
      <sz val="13"/>
      <color rgb="FFFF0000"/>
      <name val="Times New Roman"/>
      <family val="1"/>
    </font>
    <font>
      <sz val="13"/>
      <color rgb="FFED0000"/>
      <name val="Times New Roman"/>
      <family val="1"/>
    </font>
    <font>
      <sz val="12"/>
      <color rgb="FFED0000"/>
      <name val="Times New Roman"/>
      <family val="1"/>
    </font>
    <font>
      <sz val="12"/>
      <color theme="0"/>
      <name val="Times New Roman"/>
      <family val="1"/>
    </font>
    <font>
      <b/>
      <sz val="12"/>
      <color rgb="FFFF0000"/>
      <name val="Times New Roman"/>
      <family val="1"/>
    </font>
    <font>
      <b/>
      <sz val="9"/>
      <color rgb="FFFF0000"/>
      <name val="Times New Roman"/>
      <family val="1"/>
    </font>
    <font>
      <b/>
      <sz val="8"/>
      <color rgb="FFFF0000"/>
      <name val="Times New Roman"/>
      <family val="1"/>
    </font>
    <font>
      <b/>
      <sz val="13"/>
      <color rgb="FFFF0000"/>
      <name val="Times New Roman"/>
      <family val="1"/>
    </font>
    <font>
      <b/>
      <sz val="10"/>
      <color rgb="FFFF0000"/>
      <name val="Times New Roman"/>
      <family val="1"/>
    </font>
    <font>
      <i/>
      <sz val="14"/>
      <name val="Times New Roman"/>
      <family val="1"/>
    </font>
    <font>
      <i/>
      <sz val="12"/>
      <name val="Times New Roman"/>
      <family val="1"/>
    </font>
    <font>
      <sz val="11"/>
      <color indexed="8"/>
      <name val="Arial"/>
      <family val="2"/>
    </font>
    <font>
      <sz val="7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5117038483843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37" fillId="0" borderId="0"/>
  </cellStyleXfs>
  <cellXfs count="323">
    <xf numFmtId="0" fontId="0" fillId="0" borderId="0" xfId="0"/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164" fontId="2" fillId="0" borderId="0" xfId="0" applyNumberFormat="1" applyFont="1" applyProtection="1">
      <protection locked="0"/>
    </xf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5" fillId="2" borderId="0" xfId="0" applyFont="1" applyFill="1"/>
    <xf numFmtId="49" fontId="5" fillId="2" borderId="0" xfId="0" applyNumberFormat="1" applyFont="1" applyFill="1"/>
    <xf numFmtId="0" fontId="5" fillId="4" borderId="0" xfId="0" applyFont="1" applyFill="1"/>
    <xf numFmtId="0" fontId="5" fillId="3" borderId="0" xfId="0" applyFont="1" applyFill="1"/>
    <xf numFmtId="0" fontId="5" fillId="0" borderId="0" xfId="0" applyFont="1"/>
    <xf numFmtId="164" fontId="6" fillId="2" borderId="0" xfId="1" applyNumberFormat="1" applyFont="1" applyFill="1"/>
    <xf numFmtId="164" fontId="6" fillId="3" borderId="0" xfId="1" applyNumberFormat="1" applyFont="1" applyFill="1"/>
    <xf numFmtId="0" fontId="7" fillId="2" borderId="0" xfId="0" applyFont="1" applyFill="1" applyAlignment="1">
      <alignment vertical="center"/>
    </xf>
    <xf numFmtId="49" fontId="7" fillId="2" borderId="0" xfId="0" applyNumberFormat="1" applyFont="1" applyFill="1" applyAlignment="1">
      <alignment vertical="center"/>
    </xf>
    <xf numFmtId="0" fontId="7" fillId="4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 wrapText="1"/>
    </xf>
    <xf numFmtId="0" fontId="8" fillId="3" borderId="0" xfId="0" applyFont="1" applyFill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164" fontId="6" fillId="2" borderId="0" xfId="1" applyNumberFormat="1" applyFont="1" applyFill="1" applyBorder="1" applyAlignment="1">
      <alignment vertical="center" wrapText="1"/>
    </xf>
    <xf numFmtId="164" fontId="6" fillId="3" borderId="0" xfId="1" applyNumberFormat="1" applyFont="1" applyFill="1" applyAlignment="1">
      <alignment vertical="center" wrapText="1"/>
    </xf>
    <xf numFmtId="0" fontId="2" fillId="0" borderId="0" xfId="0" applyFont="1" applyAlignment="1">
      <alignment horizontal="center" vertical="center"/>
    </xf>
    <xf numFmtId="164" fontId="6" fillId="0" borderId="0" xfId="1" applyNumberFormat="1" applyFont="1" applyFill="1" applyBorder="1" applyAlignment="1">
      <alignment vertical="center" wrapText="1"/>
    </xf>
    <xf numFmtId="164" fontId="6" fillId="0" borderId="0" xfId="1" applyNumberFormat="1" applyFont="1" applyFill="1" applyAlignment="1">
      <alignment vertical="center" wrapText="1"/>
    </xf>
    <xf numFmtId="0" fontId="7" fillId="0" borderId="0" xfId="0" applyFont="1" applyAlignment="1">
      <alignment vertical="center"/>
    </xf>
    <xf numFmtId="49" fontId="7" fillId="0" borderId="0" xfId="0" applyNumberFormat="1" applyFont="1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3" borderId="0" xfId="0" applyFont="1" applyFill="1" applyAlignment="1">
      <alignment vertical="center"/>
    </xf>
    <xf numFmtId="164" fontId="6" fillId="0" borderId="0" xfId="1" applyNumberFormat="1" applyFont="1" applyFill="1" applyBorder="1" applyAlignment="1" applyProtection="1">
      <alignment vertical="center" wrapText="1"/>
      <protection locked="0"/>
    </xf>
    <xf numFmtId="164" fontId="6" fillId="0" borderId="0" xfId="1" applyNumberFormat="1" applyFont="1" applyFill="1" applyAlignment="1" applyProtection="1">
      <alignment vertical="center" wrapText="1"/>
      <protection locked="0"/>
    </xf>
    <xf numFmtId="0" fontId="7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wrapText="1"/>
    </xf>
    <xf numFmtId="0" fontId="8" fillId="0" borderId="2" xfId="0" applyFont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/>
    </xf>
    <xf numFmtId="164" fontId="8" fillId="0" borderId="4" xfId="1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 applyProtection="1">
      <alignment horizontal="center" vertical="center"/>
      <protection locked="0"/>
    </xf>
    <xf numFmtId="49" fontId="12" fillId="2" borderId="2" xfId="2" applyNumberFormat="1" applyFont="1" applyFill="1" applyBorder="1" applyAlignment="1" applyProtection="1">
      <alignment vertical="center" shrinkToFit="1"/>
      <protection locked="0"/>
    </xf>
    <xf numFmtId="166" fontId="5" fillId="2" borderId="2" xfId="0" applyNumberFormat="1" applyFont="1" applyFill="1" applyBorder="1" applyAlignment="1" applyProtection="1">
      <alignment horizontal="right"/>
      <protection locked="0"/>
    </xf>
    <xf numFmtId="166" fontId="8" fillId="2" borderId="2" xfId="0" applyNumberFormat="1" applyFont="1" applyFill="1" applyBorder="1" applyAlignment="1" applyProtection="1">
      <alignment horizontal="right" vertical="center"/>
      <protection locked="0"/>
    </xf>
    <xf numFmtId="166" fontId="8" fillId="2" borderId="2" xfId="0" applyNumberFormat="1" applyFont="1" applyFill="1" applyBorder="1" applyAlignment="1" applyProtection="1">
      <alignment horizontal="center" vertical="center"/>
      <protection locked="0"/>
    </xf>
    <xf numFmtId="0" fontId="5" fillId="0" borderId="6" xfId="0" applyFont="1" applyBorder="1" applyAlignment="1">
      <alignment horizontal="center" vertical="center"/>
    </xf>
    <xf numFmtId="49" fontId="13" fillId="3" borderId="6" xfId="0" applyNumberFormat="1" applyFont="1" applyFill="1" applyBorder="1" applyAlignment="1" applyProtection="1">
      <alignment vertical="center"/>
      <protection locked="0"/>
    </xf>
    <xf numFmtId="14" fontId="5" fillId="6" borderId="6" xfId="0" applyNumberFormat="1" applyFont="1" applyFill="1" applyBorder="1" applyAlignment="1" applyProtection="1">
      <alignment horizontal="center" vertical="center"/>
      <protection locked="0"/>
    </xf>
    <xf numFmtId="166" fontId="5" fillId="6" borderId="6" xfId="0" applyNumberFormat="1" applyFont="1" applyFill="1" applyBorder="1" applyAlignment="1">
      <alignment horizontal="right"/>
    </xf>
    <xf numFmtId="166" fontId="14" fillId="0" borderId="6" xfId="0" applyNumberFormat="1" applyFont="1" applyBorder="1" applyAlignment="1" applyProtection="1">
      <alignment horizontal="right" vertical="center"/>
      <protection locked="0"/>
    </xf>
    <xf numFmtId="166" fontId="14" fillId="6" borderId="6" xfId="0" applyNumberFormat="1" applyFont="1" applyFill="1" applyBorder="1" applyAlignment="1">
      <alignment horizontal="right" vertical="center"/>
    </xf>
    <xf numFmtId="3" fontId="14" fillId="0" borderId="7" xfId="0" applyNumberFormat="1" applyFont="1" applyBorder="1" applyAlignment="1" applyProtection="1">
      <alignment horizontal="right" vertical="center"/>
      <protection locked="0"/>
    </xf>
    <xf numFmtId="166" fontId="14" fillId="0" borderId="7" xfId="0" applyNumberFormat="1" applyFont="1" applyBorder="1" applyAlignment="1" applyProtection="1">
      <alignment horizontal="right" vertical="center"/>
      <protection locked="0"/>
    </xf>
    <xf numFmtId="166" fontId="14" fillId="6" borderId="7" xfId="0" applyNumberFormat="1" applyFont="1" applyFill="1" applyBorder="1" applyAlignment="1" applyProtection="1">
      <alignment horizontal="right" vertical="center"/>
      <protection locked="0"/>
    </xf>
    <xf numFmtId="166" fontId="14" fillId="3" borderId="8" xfId="0" applyNumberFormat="1" applyFont="1" applyFill="1" applyBorder="1" applyAlignment="1" applyProtection="1">
      <alignment horizontal="right" vertical="center"/>
      <protection hidden="1"/>
    </xf>
    <xf numFmtId="166" fontId="14" fillId="0" borderId="8" xfId="0" applyNumberFormat="1" applyFont="1" applyBorder="1" applyAlignment="1" applyProtection="1">
      <alignment horizontal="right" vertical="center"/>
      <protection hidden="1"/>
    </xf>
    <xf numFmtId="166" fontId="14" fillId="6" borderId="7" xfId="0" applyNumberFormat="1" applyFont="1" applyFill="1" applyBorder="1" applyAlignment="1">
      <alignment horizontal="right" vertical="center"/>
    </xf>
    <xf numFmtId="166" fontId="5" fillId="0" borderId="7" xfId="0" applyNumberFormat="1" applyFont="1" applyBorder="1"/>
    <xf numFmtId="166" fontId="14" fillId="0" borderId="6" xfId="0" applyNumberFormat="1" applyFont="1" applyBorder="1" applyAlignment="1" applyProtection="1">
      <alignment horizontal="right" vertical="center"/>
      <protection hidden="1"/>
    </xf>
    <xf numFmtId="166" fontId="15" fillId="3" borderId="6" xfId="0" applyNumberFormat="1" applyFont="1" applyFill="1" applyBorder="1" applyAlignment="1" applyProtection="1">
      <alignment horizontal="right" vertical="center"/>
      <protection hidden="1"/>
    </xf>
    <xf numFmtId="166" fontId="14" fillId="3" borderId="6" xfId="0" applyNumberFormat="1" applyFont="1" applyFill="1" applyBorder="1" applyAlignment="1" applyProtection="1">
      <alignment horizontal="right" vertical="center"/>
      <protection hidden="1"/>
    </xf>
    <xf numFmtId="166" fontId="14" fillId="3" borderId="6" xfId="0" applyNumberFormat="1" applyFont="1" applyFill="1" applyBorder="1" applyAlignment="1" applyProtection="1">
      <alignment horizontal="right" vertical="center"/>
      <protection locked="0"/>
    </xf>
    <xf numFmtId="3" fontId="5" fillId="3" borderId="8" xfId="0" applyNumberFormat="1" applyFont="1" applyFill="1" applyBorder="1"/>
    <xf numFmtId="166" fontId="14" fillId="6" borderId="8" xfId="0" applyNumberFormat="1" applyFont="1" applyFill="1" applyBorder="1" applyAlignment="1" applyProtection="1">
      <alignment horizontal="right" vertical="center"/>
      <protection hidden="1"/>
    </xf>
    <xf numFmtId="166" fontId="14" fillId="6" borderId="6" xfId="0" applyNumberFormat="1" applyFont="1" applyFill="1" applyBorder="1" applyAlignment="1" applyProtection="1">
      <alignment horizontal="right" vertical="center"/>
      <protection hidden="1"/>
    </xf>
    <xf numFmtId="0" fontId="5" fillId="3" borderId="6" xfId="0" applyFont="1" applyFill="1" applyBorder="1" applyAlignment="1">
      <alignment horizontal="center" vertical="center"/>
    </xf>
    <xf numFmtId="14" fontId="5" fillId="3" borderId="6" xfId="0" applyNumberFormat="1" applyFont="1" applyFill="1" applyBorder="1" applyAlignment="1" applyProtection="1">
      <alignment horizontal="center" vertical="center"/>
      <protection locked="0"/>
    </xf>
    <xf numFmtId="166" fontId="5" fillId="3" borderId="6" xfId="0" applyNumberFormat="1" applyFont="1" applyFill="1" applyBorder="1" applyAlignment="1">
      <alignment horizontal="right"/>
    </xf>
    <xf numFmtId="166" fontId="14" fillId="4" borderId="6" xfId="0" applyNumberFormat="1" applyFont="1" applyFill="1" applyBorder="1" applyAlignment="1" applyProtection="1">
      <alignment horizontal="right" vertical="center"/>
      <protection locked="0"/>
    </xf>
    <xf numFmtId="166" fontId="14" fillId="3" borderId="6" xfId="0" applyNumberFormat="1" applyFont="1" applyFill="1" applyBorder="1" applyAlignment="1">
      <alignment horizontal="right" vertical="center"/>
    </xf>
    <xf numFmtId="3" fontId="14" fillId="3" borderId="6" xfId="0" applyNumberFormat="1" applyFont="1" applyFill="1" applyBorder="1" applyAlignment="1" applyProtection="1">
      <alignment horizontal="right" vertical="center"/>
      <protection locked="0"/>
    </xf>
    <xf numFmtId="166" fontId="14" fillId="0" borderId="6" xfId="0" applyNumberFormat="1" applyFont="1" applyBorder="1" applyAlignment="1">
      <alignment horizontal="right" vertical="center"/>
    </xf>
    <xf numFmtId="166" fontId="5" fillId="0" borderId="8" xfId="0" applyNumberFormat="1" applyFont="1" applyBorder="1"/>
    <xf numFmtId="166" fontId="14" fillId="2" borderId="6" xfId="0" applyNumberFormat="1" applyFont="1" applyFill="1" applyBorder="1" applyAlignment="1" applyProtection="1">
      <alignment horizontal="right" vertical="center"/>
      <protection hidden="1"/>
    </xf>
    <xf numFmtId="49" fontId="13" fillId="3" borderId="8" xfId="0" applyNumberFormat="1" applyFont="1" applyFill="1" applyBorder="1" applyAlignment="1" applyProtection="1">
      <alignment vertical="center"/>
      <protection locked="0"/>
    </xf>
    <xf numFmtId="14" fontId="5" fillId="3" borderId="8" xfId="0" applyNumberFormat="1" applyFont="1" applyFill="1" applyBorder="1" applyAlignment="1" applyProtection="1">
      <alignment horizontal="center" vertical="center"/>
      <protection locked="0"/>
    </xf>
    <xf numFmtId="166" fontId="5" fillId="3" borderId="8" xfId="0" applyNumberFormat="1" applyFont="1" applyFill="1" applyBorder="1" applyAlignment="1">
      <alignment horizontal="right"/>
    </xf>
    <xf numFmtId="166" fontId="14" fillId="4" borderId="8" xfId="0" applyNumberFormat="1" applyFont="1" applyFill="1" applyBorder="1" applyAlignment="1" applyProtection="1">
      <alignment horizontal="right" vertical="center"/>
      <protection locked="0"/>
    </xf>
    <xf numFmtId="166" fontId="14" fillId="3" borderId="8" xfId="0" applyNumberFormat="1" applyFont="1" applyFill="1" applyBorder="1" applyAlignment="1">
      <alignment horizontal="right" vertical="center"/>
    </xf>
    <xf numFmtId="3" fontId="14" fillId="3" borderId="8" xfId="0" applyNumberFormat="1" applyFont="1" applyFill="1" applyBorder="1" applyAlignment="1" applyProtection="1">
      <alignment horizontal="right" vertical="center"/>
      <protection locked="0"/>
    </xf>
    <xf numFmtId="166" fontId="14" fillId="3" borderId="8" xfId="0" applyNumberFormat="1" applyFont="1" applyFill="1" applyBorder="1" applyAlignment="1" applyProtection="1">
      <alignment horizontal="right" vertical="center"/>
      <protection locked="0"/>
    </xf>
    <xf numFmtId="166" fontId="14" fillId="0" borderId="8" xfId="0" applyNumberFormat="1" applyFont="1" applyBorder="1" applyAlignment="1">
      <alignment horizontal="right" vertical="center"/>
    </xf>
    <xf numFmtId="166" fontId="15" fillId="3" borderId="8" xfId="0" applyNumberFormat="1" applyFont="1" applyFill="1" applyBorder="1" applyAlignment="1" applyProtection="1">
      <alignment horizontal="right" vertical="center"/>
      <protection hidden="1"/>
    </xf>
    <xf numFmtId="167" fontId="5" fillId="3" borderId="8" xfId="0" applyNumberFormat="1" applyFont="1" applyFill="1" applyBorder="1" applyAlignment="1" applyProtection="1">
      <alignment horizontal="center" vertical="center"/>
      <protection locked="0"/>
    </xf>
    <xf numFmtId="0" fontId="5" fillId="3" borderId="8" xfId="0" applyFont="1" applyFill="1" applyBorder="1" applyAlignment="1" applyProtection="1">
      <alignment horizontal="center" vertical="center"/>
      <protection locked="0"/>
    </xf>
    <xf numFmtId="167" fontId="5" fillId="3" borderId="8" xfId="0" applyNumberFormat="1" applyFont="1" applyFill="1" applyBorder="1" applyAlignment="1" applyProtection="1">
      <alignment horizontal="center" vertical="center" wrapText="1"/>
      <protection locked="0"/>
    </xf>
    <xf numFmtId="49" fontId="5" fillId="3" borderId="8" xfId="0" applyNumberFormat="1" applyFont="1" applyFill="1" applyBorder="1" applyAlignment="1" applyProtection="1">
      <alignment vertical="center"/>
      <protection locked="0"/>
    </xf>
    <xf numFmtId="166" fontId="5" fillId="3" borderId="8" xfId="0" applyNumberFormat="1" applyFont="1" applyFill="1" applyBorder="1" applyAlignment="1">
      <alignment horizontal="right" vertical="center"/>
    </xf>
    <xf numFmtId="166" fontId="8" fillId="3" borderId="8" xfId="0" applyNumberFormat="1" applyFont="1" applyFill="1" applyBorder="1" applyAlignment="1" applyProtection="1">
      <alignment horizontal="right" vertical="center"/>
      <protection locked="0"/>
    </xf>
    <xf numFmtId="166" fontId="16" fillId="2" borderId="6" xfId="0" applyNumberFormat="1" applyFont="1" applyFill="1" applyBorder="1" applyAlignment="1" applyProtection="1">
      <alignment horizontal="right" vertical="center"/>
      <protection hidden="1"/>
    </xf>
    <xf numFmtId="168" fontId="17" fillId="3" borderId="8" xfId="2" applyNumberFormat="1" applyFont="1" applyFill="1" applyBorder="1" applyAlignment="1" applyProtection="1">
      <alignment horizontal="right" vertical="center" shrinkToFit="1"/>
      <protection locked="0"/>
    </xf>
    <xf numFmtId="168" fontId="16" fillId="4" borderId="8" xfId="2" applyNumberFormat="1" applyFont="1" applyFill="1" applyBorder="1" applyAlignment="1" applyProtection="1">
      <alignment horizontal="right" vertical="center" shrinkToFit="1"/>
      <protection locked="0"/>
    </xf>
    <xf numFmtId="166" fontId="17" fillId="0" borderId="8" xfId="0" applyNumberFormat="1" applyFont="1" applyBorder="1"/>
    <xf numFmtId="0" fontId="7" fillId="2" borderId="8" xfId="0" applyFont="1" applyFill="1" applyBorder="1" applyAlignment="1">
      <alignment horizontal="center" vertical="center"/>
    </xf>
    <xf numFmtId="49" fontId="18" fillId="2" borderId="8" xfId="0" applyNumberFormat="1" applyFont="1" applyFill="1" applyBorder="1" applyAlignment="1" applyProtection="1">
      <alignment vertical="center"/>
      <protection locked="0"/>
    </xf>
    <xf numFmtId="14" fontId="7" fillId="2" borderId="8" xfId="0" applyNumberFormat="1" applyFont="1" applyFill="1" applyBorder="1" applyAlignment="1" applyProtection="1">
      <alignment horizontal="center" vertical="center"/>
      <protection locked="0"/>
    </xf>
    <xf numFmtId="166" fontId="7" fillId="2" borderId="8" xfId="0" applyNumberFormat="1" applyFont="1" applyFill="1" applyBorder="1" applyAlignment="1">
      <alignment horizontal="right"/>
    </xf>
    <xf numFmtId="166" fontId="8" fillId="2" borderId="8" xfId="0" applyNumberFormat="1" applyFont="1" applyFill="1" applyBorder="1" applyAlignment="1" applyProtection="1">
      <alignment horizontal="right" vertical="center"/>
      <protection locked="0"/>
    </xf>
    <xf numFmtId="3" fontId="8" fillId="2" borderId="8" xfId="0" applyNumberFormat="1" applyFont="1" applyFill="1" applyBorder="1" applyAlignment="1" applyProtection="1">
      <alignment horizontal="right" vertical="center"/>
      <protection locked="0"/>
    </xf>
    <xf numFmtId="166" fontId="14" fillId="2" borderId="8" xfId="0" applyNumberFormat="1" applyFont="1" applyFill="1" applyBorder="1" applyAlignment="1" applyProtection="1">
      <alignment horizontal="right" vertical="center"/>
      <protection hidden="1"/>
    </xf>
    <xf numFmtId="166" fontId="8" fillId="2" borderId="6" xfId="0" applyNumberFormat="1" applyFont="1" applyFill="1" applyBorder="1" applyAlignment="1" applyProtection="1">
      <alignment horizontal="right" vertical="center"/>
      <protection hidden="1"/>
    </xf>
    <xf numFmtId="166" fontId="8" fillId="2" borderId="8" xfId="0" applyNumberFormat="1" applyFont="1" applyFill="1" applyBorder="1" applyAlignment="1" applyProtection="1">
      <alignment horizontal="right" vertical="center"/>
      <protection hidden="1"/>
    </xf>
    <xf numFmtId="0" fontId="5" fillId="7" borderId="8" xfId="0" applyFont="1" applyFill="1" applyBorder="1" applyAlignment="1">
      <alignment horizontal="center" vertical="center"/>
    </xf>
    <xf numFmtId="49" fontId="13" fillId="7" borderId="8" xfId="0" applyNumberFormat="1" applyFont="1" applyFill="1" applyBorder="1" applyAlignment="1" applyProtection="1">
      <alignment vertical="center"/>
      <protection locked="0"/>
    </xf>
    <xf numFmtId="14" fontId="5" fillId="7" borderId="8" xfId="0" applyNumberFormat="1" applyFont="1" applyFill="1" applyBorder="1" applyAlignment="1" applyProtection="1">
      <alignment horizontal="center" vertical="center"/>
      <protection locked="0"/>
    </xf>
    <xf numFmtId="166" fontId="5" fillId="7" borderId="8" xfId="0" applyNumberFormat="1" applyFont="1" applyFill="1" applyBorder="1" applyAlignment="1">
      <alignment horizontal="right"/>
    </xf>
    <xf numFmtId="166" fontId="14" fillId="7" borderId="8" xfId="0" applyNumberFormat="1" applyFont="1" applyFill="1" applyBorder="1" applyAlignment="1" applyProtection="1">
      <alignment horizontal="right" vertical="center"/>
      <protection locked="0"/>
    </xf>
    <xf numFmtId="3" fontId="14" fillId="7" borderId="8" xfId="0" applyNumberFormat="1" applyFont="1" applyFill="1" applyBorder="1" applyAlignment="1" applyProtection="1">
      <alignment horizontal="right" vertical="center"/>
      <protection locked="0"/>
    </xf>
    <xf numFmtId="166" fontId="14" fillId="7" borderId="8" xfId="0" applyNumberFormat="1" applyFont="1" applyFill="1" applyBorder="1" applyAlignment="1" applyProtection="1">
      <alignment horizontal="right" vertical="center"/>
      <protection hidden="1"/>
    </xf>
    <xf numFmtId="166" fontId="14" fillId="7" borderId="6" xfId="0" applyNumberFormat="1" applyFont="1" applyFill="1" applyBorder="1" applyAlignment="1" applyProtection="1">
      <alignment horizontal="right" vertical="center"/>
      <protection hidden="1"/>
    </xf>
    <xf numFmtId="166" fontId="14" fillId="7" borderId="6" xfId="0" applyNumberFormat="1" applyFont="1" applyFill="1" applyBorder="1" applyAlignment="1" applyProtection="1">
      <alignment horizontal="right" vertical="center"/>
      <protection locked="0"/>
    </xf>
    <xf numFmtId="0" fontId="5" fillId="3" borderId="8" xfId="0" applyFont="1" applyFill="1" applyBorder="1" applyAlignment="1">
      <alignment horizontal="center" vertical="center"/>
    </xf>
    <xf numFmtId="166" fontId="14" fillId="4" borderId="8" xfId="0" applyNumberFormat="1" applyFont="1" applyFill="1" applyBorder="1" applyAlignment="1" applyProtection="1">
      <alignment horizontal="right" vertical="center"/>
      <protection hidden="1"/>
    </xf>
    <xf numFmtId="0" fontId="5" fillId="0" borderId="8" xfId="0" applyFont="1" applyBorder="1" applyAlignment="1">
      <alignment horizontal="center" vertical="center"/>
    </xf>
    <xf numFmtId="49" fontId="5" fillId="0" borderId="0" xfId="0" applyNumberFormat="1" applyFont="1"/>
    <xf numFmtId="3" fontId="5" fillId="0" borderId="0" xfId="0" applyNumberFormat="1" applyFont="1"/>
    <xf numFmtId="3" fontId="5" fillId="0" borderId="0" xfId="1" applyNumberFormat="1" applyFont="1" applyFill="1"/>
    <xf numFmtId="164" fontId="5" fillId="0" borderId="0" xfId="1" applyNumberFormat="1" applyFont="1" applyFill="1"/>
    <xf numFmtId="0" fontId="21" fillId="0" borderId="0" xfId="0" applyFont="1" applyAlignment="1">
      <alignment horizontal="center"/>
    </xf>
    <xf numFmtId="0" fontId="7" fillId="0" borderId="0" xfId="0" applyFont="1"/>
    <xf numFmtId="0" fontId="7" fillId="3" borderId="0" xfId="0" applyFont="1" applyFill="1"/>
    <xf numFmtId="0" fontId="22" fillId="0" borderId="0" xfId="0" applyFont="1" applyAlignment="1">
      <alignment horizontal="center"/>
    </xf>
    <xf numFmtId="166" fontId="7" fillId="0" borderId="0" xfId="0" applyNumberFormat="1" applyFont="1"/>
    <xf numFmtId="164" fontId="7" fillId="0" borderId="0" xfId="0" applyNumberFormat="1" applyFont="1"/>
    <xf numFmtId="3" fontId="7" fillId="0" borderId="0" xfId="0" applyNumberFormat="1" applyFont="1"/>
    <xf numFmtId="3" fontId="7" fillId="0" borderId="0" xfId="1" applyNumberFormat="1" applyFont="1" applyFill="1"/>
    <xf numFmtId="164" fontId="7" fillId="0" borderId="0" xfId="1" applyNumberFormat="1" applyFont="1" applyFill="1"/>
    <xf numFmtId="49" fontId="7" fillId="0" borderId="0" xfId="0" applyNumberFormat="1" applyFont="1"/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3" fontId="7" fillId="3" borderId="0" xfId="0" applyNumberFormat="1" applyFont="1" applyFill="1"/>
    <xf numFmtId="164" fontId="7" fillId="3" borderId="0" xfId="1" applyNumberFormat="1" applyFont="1" applyFill="1" applyBorder="1"/>
    <xf numFmtId="164" fontId="7" fillId="3" borderId="0" xfId="1" applyNumberFormat="1" applyFont="1" applyFill="1"/>
    <xf numFmtId="3" fontId="7" fillId="3" borderId="0" xfId="1" applyNumberFormat="1" applyFont="1" applyFill="1"/>
    <xf numFmtId="3" fontId="5" fillId="3" borderId="0" xfId="0" applyNumberFormat="1" applyFont="1" applyFill="1"/>
    <xf numFmtId="3" fontId="5" fillId="3" borderId="0" xfId="1" applyNumberFormat="1" applyFont="1" applyFill="1"/>
    <xf numFmtId="0" fontId="7" fillId="3" borderId="0" xfId="0" applyFont="1" applyFill="1" applyAlignment="1">
      <alignment vertical="center"/>
    </xf>
    <xf numFmtId="3" fontId="5" fillId="0" borderId="0" xfId="0" applyNumberFormat="1" applyFont="1" applyAlignment="1">
      <alignment horizontal="center"/>
    </xf>
    <xf numFmtId="0" fontId="7" fillId="0" borderId="2" xfId="0" applyFont="1" applyBorder="1" applyAlignment="1">
      <alignment vertical="center"/>
    </xf>
    <xf numFmtId="0" fontId="5" fillId="0" borderId="2" xfId="0" applyFont="1" applyBorder="1"/>
    <xf numFmtId="3" fontId="5" fillId="0" borderId="2" xfId="0" applyNumberFormat="1" applyFont="1" applyBorder="1" applyAlignment="1">
      <alignment horizontal="center"/>
    </xf>
    <xf numFmtId="164" fontId="5" fillId="0" borderId="0" xfId="0" applyNumberFormat="1" applyFont="1"/>
    <xf numFmtId="3" fontId="7" fillId="3" borderId="0" xfId="0" applyNumberFormat="1" applyFont="1" applyFill="1" applyAlignment="1">
      <alignment horizontal="center"/>
    </xf>
    <xf numFmtId="0" fontId="23" fillId="7" borderId="2" xfId="0" applyFont="1" applyFill="1" applyBorder="1" applyAlignment="1" applyProtection="1">
      <alignment horizontal="center" vertical="center" wrapText="1"/>
      <protection locked="0"/>
    </xf>
    <xf numFmtId="0" fontId="24" fillId="7" borderId="2" xfId="0" applyFont="1" applyFill="1" applyBorder="1" applyAlignment="1" applyProtection="1">
      <alignment horizontal="center" vertical="center"/>
      <protection locked="0"/>
    </xf>
    <xf numFmtId="3" fontId="5" fillId="2" borderId="2" xfId="0" applyNumberFormat="1" applyFont="1" applyFill="1" applyBorder="1" applyAlignment="1" applyProtection="1">
      <alignment horizontal="right" vertical="center"/>
      <protection locked="0"/>
    </xf>
    <xf numFmtId="168" fontId="5" fillId="2" borderId="9" xfId="2" applyNumberFormat="1" applyFont="1" applyFill="1" applyBorder="1" applyAlignment="1" applyProtection="1">
      <alignment horizontal="right" vertical="center" shrinkToFit="1"/>
      <protection locked="0"/>
    </xf>
    <xf numFmtId="0" fontId="5" fillId="2" borderId="9" xfId="0" applyFont="1" applyFill="1" applyBorder="1" applyAlignment="1" applyProtection="1">
      <alignment horizontal="right" vertical="center"/>
      <protection locked="0"/>
    </xf>
    <xf numFmtId="0" fontId="17" fillId="2" borderId="0" xfId="0" applyFont="1" applyFill="1" applyProtection="1">
      <protection locked="0"/>
    </xf>
    <xf numFmtId="3" fontId="5" fillId="2" borderId="0" xfId="0" applyNumberFormat="1" applyFont="1" applyFill="1"/>
    <xf numFmtId="3" fontId="5" fillId="2" borderId="0" xfId="1" applyNumberFormat="1" applyFont="1" applyFill="1"/>
    <xf numFmtId="0" fontId="5" fillId="2" borderId="0" xfId="0" applyFont="1" applyFill="1" applyProtection="1">
      <protection locked="0"/>
    </xf>
    <xf numFmtId="168" fontId="12" fillId="2" borderId="2" xfId="2" applyNumberFormat="1" applyFont="1" applyFill="1" applyBorder="1" applyAlignment="1" applyProtection="1">
      <alignment vertical="center" shrinkToFit="1"/>
      <protection locked="0"/>
    </xf>
    <xf numFmtId="164" fontId="5" fillId="3" borderId="0" xfId="1" applyNumberFormat="1" applyFont="1" applyFill="1"/>
    <xf numFmtId="166" fontId="5" fillId="5" borderId="6" xfId="0" applyNumberFormat="1" applyFont="1" applyFill="1" applyBorder="1" applyAlignment="1" applyProtection="1">
      <alignment horizontal="right" vertical="center"/>
      <protection locked="0"/>
    </xf>
    <xf numFmtId="166" fontId="5" fillId="0" borderId="6" xfId="0" applyNumberFormat="1" applyFont="1" applyBorder="1" applyAlignment="1" applyProtection="1">
      <alignment horizontal="right" vertical="center"/>
      <protection locked="0"/>
    </xf>
    <xf numFmtId="0" fontId="5" fillId="5" borderId="6" xfId="0" applyFont="1" applyFill="1" applyBorder="1" applyAlignment="1" applyProtection="1">
      <alignment horizontal="right" vertical="center"/>
      <protection locked="0"/>
    </xf>
    <xf numFmtId="0" fontId="5" fillId="0" borderId="6" xfId="0" applyFont="1" applyBorder="1" applyAlignment="1" applyProtection="1">
      <alignment horizontal="right" vertical="center"/>
      <protection locked="0"/>
    </xf>
    <xf numFmtId="3" fontId="5" fillId="0" borderId="6" xfId="0" applyNumberFormat="1" applyFont="1" applyBorder="1" applyAlignment="1" applyProtection="1">
      <alignment horizontal="right" vertical="center"/>
      <protection locked="0"/>
    </xf>
    <xf numFmtId="168" fontId="5" fillId="0" borderId="10" xfId="2" applyNumberFormat="1" applyFont="1" applyFill="1" applyBorder="1" applyAlignment="1" applyProtection="1">
      <alignment horizontal="right" vertical="center" shrinkToFit="1"/>
    </xf>
    <xf numFmtId="0" fontId="5" fillId="0" borderId="7" xfId="0" applyFont="1" applyBorder="1" applyAlignment="1">
      <alignment horizontal="right" vertical="center"/>
    </xf>
    <xf numFmtId="166" fontId="5" fillId="0" borderId="0" xfId="0" applyNumberFormat="1" applyFont="1" applyAlignment="1" applyProtection="1">
      <alignment horizontal="center"/>
      <protection locked="0"/>
    </xf>
    <xf numFmtId="3" fontId="5" fillId="6" borderId="0" xfId="0" applyNumberFormat="1" applyFont="1" applyFill="1"/>
    <xf numFmtId="3" fontId="5" fillId="6" borderId="0" xfId="1" applyNumberFormat="1" applyFont="1" applyFill="1"/>
    <xf numFmtId="164" fontId="5" fillId="0" borderId="0" xfId="1" applyNumberFormat="1" applyFont="1"/>
    <xf numFmtId="0" fontId="25" fillId="0" borderId="6" xfId="0" applyFont="1" applyBorder="1" applyAlignment="1" applyProtection="1">
      <alignment vertical="center"/>
      <protection locked="0"/>
    </xf>
    <xf numFmtId="0" fontId="5" fillId="4" borderId="6" xfId="0" applyFont="1" applyFill="1" applyBorder="1" applyAlignment="1" applyProtection="1">
      <alignment horizontal="right" vertical="center"/>
      <protection locked="0"/>
    </xf>
    <xf numFmtId="3" fontId="5" fillId="7" borderId="6" xfId="0" applyNumberFormat="1" applyFont="1" applyFill="1" applyBorder="1" applyAlignment="1" applyProtection="1">
      <alignment horizontal="right" vertical="center"/>
      <protection locked="0"/>
    </xf>
    <xf numFmtId="168" fontId="5" fillId="3" borderId="11" xfId="2" applyNumberFormat="1" applyFont="1" applyFill="1" applyBorder="1" applyAlignment="1" applyProtection="1">
      <alignment horizontal="right" vertical="center" shrinkToFit="1"/>
    </xf>
    <xf numFmtId="0" fontId="5" fillId="3" borderId="6" xfId="0" applyFont="1" applyFill="1" applyBorder="1" applyAlignment="1">
      <alignment horizontal="right" vertical="center"/>
    </xf>
    <xf numFmtId="0" fontId="5" fillId="3" borderId="0" xfId="0" applyFont="1" applyFill="1" applyAlignment="1" applyProtection="1">
      <alignment horizontal="center"/>
      <protection locked="0"/>
    </xf>
    <xf numFmtId="166" fontId="5" fillId="5" borderId="8" xfId="0" applyNumberFormat="1" applyFont="1" applyFill="1" applyBorder="1" applyAlignment="1" applyProtection="1">
      <alignment horizontal="right" vertical="center"/>
      <protection locked="0"/>
    </xf>
    <xf numFmtId="166" fontId="5" fillId="0" borderId="8" xfId="0" applyNumberFormat="1" applyFont="1" applyBorder="1" applyAlignment="1" applyProtection="1">
      <alignment horizontal="right" vertical="center"/>
      <protection locked="0"/>
    </xf>
    <xf numFmtId="0" fontId="5" fillId="5" borderId="8" xfId="0" applyFont="1" applyFill="1" applyBorder="1" applyAlignment="1" applyProtection="1">
      <alignment horizontal="right" vertical="center"/>
      <protection locked="0"/>
    </xf>
    <xf numFmtId="0" fontId="5" fillId="4" borderId="8" xfId="0" applyFont="1" applyFill="1" applyBorder="1" applyAlignment="1" applyProtection="1">
      <alignment horizontal="right" vertical="center"/>
      <protection locked="0"/>
    </xf>
    <xf numFmtId="3" fontId="5" fillId="7" borderId="8" xfId="0" applyNumberFormat="1" applyFont="1" applyFill="1" applyBorder="1" applyAlignment="1" applyProtection="1">
      <alignment horizontal="right" vertical="center"/>
      <protection locked="0"/>
    </xf>
    <xf numFmtId="168" fontId="5" fillId="3" borderId="12" xfId="2" applyNumberFormat="1" applyFont="1" applyFill="1" applyBorder="1" applyAlignment="1" applyProtection="1">
      <alignment horizontal="right" vertical="center" shrinkToFit="1"/>
    </xf>
    <xf numFmtId="0" fontId="5" fillId="3" borderId="8" xfId="0" applyFont="1" applyFill="1" applyBorder="1" applyAlignment="1">
      <alignment horizontal="right" vertical="center"/>
    </xf>
    <xf numFmtId="166" fontId="5" fillId="3" borderId="0" xfId="0" applyNumberFormat="1" applyFont="1" applyFill="1" applyProtection="1">
      <protection locked="0"/>
    </xf>
    <xf numFmtId="0" fontId="25" fillId="0" borderId="8" xfId="0" applyFont="1" applyBorder="1" applyAlignment="1" applyProtection="1">
      <alignment vertical="center"/>
      <protection locked="0"/>
    </xf>
    <xf numFmtId="166" fontId="17" fillId="3" borderId="0" xfId="0" applyNumberFormat="1" applyFont="1" applyFill="1" applyProtection="1">
      <protection locked="0"/>
    </xf>
    <xf numFmtId="0" fontId="26" fillId="2" borderId="8" xfId="0" applyFont="1" applyFill="1" applyBorder="1" applyAlignment="1" applyProtection="1">
      <alignment vertical="center"/>
      <protection locked="0"/>
    </xf>
    <xf numFmtId="0" fontId="27" fillId="2" borderId="8" xfId="0" applyFont="1" applyFill="1" applyBorder="1" applyAlignment="1" applyProtection="1">
      <alignment vertical="center"/>
      <protection locked="0"/>
    </xf>
    <xf numFmtId="0" fontId="27" fillId="0" borderId="8" xfId="0" applyFont="1" applyBorder="1" applyAlignment="1" applyProtection="1">
      <alignment vertical="center"/>
      <protection locked="0"/>
    </xf>
    <xf numFmtId="0" fontId="28" fillId="0" borderId="8" xfId="0" applyFont="1" applyBorder="1" applyAlignment="1" applyProtection="1">
      <alignment vertical="center"/>
      <protection locked="0"/>
    </xf>
    <xf numFmtId="0" fontId="27" fillId="3" borderId="8" xfId="0" applyFont="1" applyFill="1" applyBorder="1" applyAlignment="1" applyProtection="1">
      <alignment vertical="center"/>
      <protection locked="0"/>
    </xf>
    <xf numFmtId="0" fontId="26" fillId="0" borderId="8" xfId="0" applyFont="1" applyBorder="1" applyAlignment="1" applyProtection="1">
      <alignment vertical="center"/>
      <protection locked="0"/>
    </xf>
    <xf numFmtId="0" fontId="25" fillId="3" borderId="8" xfId="0" applyFont="1" applyFill="1" applyBorder="1" applyAlignment="1" applyProtection="1">
      <alignment vertical="center"/>
      <protection locked="0"/>
    </xf>
    <xf numFmtId="0" fontId="5" fillId="3" borderId="0" xfId="0" applyFont="1" applyFill="1" applyAlignment="1">
      <alignment vertical="center"/>
    </xf>
    <xf numFmtId="0" fontId="17" fillId="5" borderId="8" xfId="0" applyFont="1" applyFill="1" applyBorder="1" applyAlignment="1" applyProtection="1">
      <alignment horizontal="right" vertical="center"/>
      <protection locked="0"/>
    </xf>
    <xf numFmtId="1" fontId="5" fillId="3" borderId="8" xfId="0" applyNumberFormat="1" applyFont="1" applyFill="1" applyBorder="1" applyAlignment="1" applyProtection="1">
      <alignment vertical="center"/>
      <protection locked="0"/>
    </xf>
    <xf numFmtId="166" fontId="29" fillId="3" borderId="12" xfId="0" applyNumberFormat="1" applyFont="1" applyFill="1" applyBorder="1" applyAlignment="1">
      <alignment horizontal="right" vertical="center"/>
    </xf>
    <xf numFmtId="166" fontId="29" fillId="3" borderId="8" xfId="0" applyNumberFormat="1" applyFont="1" applyFill="1" applyBorder="1" applyAlignment="1">
      <alignment horizontal="right" vertical="center"/>
    </xf>
    <xf numFmtId="0" fontId="29" fillId="3" borderId="8" xfId="0" applyFont="1" applyFill="1" applyBorder="1" applyAlignment="1">
      <alignment horizontal="right" vertical="center"/>
    </xf>
    <xf numFmtId="1" fontId="28" fillId="3" borderId="8" xfId="0" applyNumberFormat="1" applyFont="1" applyFill="1" applyBorder="1" applyAlignment="1" applyProtection="1">
      <alignment vertical="center"/>
      <protection locked="0"/>
    </xf>
    <xf numFmtId="166" fontId="5" fillId="3" borderId="12" xfId="0" applyNumberFormat="1" applyFont="1" applyFill="1" applyBorder="1" applyAlignment="1">
      <alignment horizontal="right" vertical="center"/>
    </xf>
    <xf numFmtId="166" fontId="5" fillId="3" borderId="0" xfId="0" applyNumberFormat="1" applyFont="1" applyFill="1" applyAlignment="1">
      <alignment horizontal="right" vertical="center"/>
    </xf>
    <xf numFmtId="0" fontId="5" fillId="3" borderId="0" xfId="0" applyFont="1" applyFill="1" applyAlignment="1">
      <alignment horizontal="right" vertical="center"/>
    </xf>
    <xf numFmtId="166" fontId="8" fillId="5" borderId="8" xfId="0" applyNumberFormat="1" applyFont="1" applyFill="1" applyBorder="1" applyAlignment="1" applyProtection="1">
      <alignment horizontal="right" vertical="center"/>
      <protection locked="0"/>
    </xf>
    <xf numFmtId="166" fontId="8" fillId="8" borderId="8" xfId="0" applyNumberFormat="1" applyFont="1" applyFill="1" applyBorder="1" applyAlignment="1" applyProtection="1">
      <alignment horizontal="right" vertical="center"/>
      <protection locked="0"/>
    </xf>
    <xf numFmtId="166" fontId="8" fillId="8" borderId="8" xfId="0" applyNumberFormat="1" applyFont="1" applyFill="1" applyBorder="1" applyAlignment="1" applyProtection="1">
      <alignment horizontal="right" vertical="center"/>
      <protection hidden="1"/>
    </xf>
    <xf numFmtId="166" fontId="7" fillId="8" borderId="0" xfId="0" applyNumberFormat="1" applyFont="1" applyFill="1" applyAlignment="1">
      <alignment horizontal="right" vertical="center"/>
    </xf>
    <xf numFmtId="0" fontId="7" fillId="8" borderId="0" xfId="0" applyFont="1" applyFill="1" applyAlignment="1">
      <alignment horizontal="right" vertical="center"/>
    </xf>
    <xf numFmtId="166" fontId="7" fillId="8" borderId="0" xfId="0" applyNumberFormat="1" applyFont="1" applyFill="1" applyProtection="1">
      <protection locked="0"/>
    </xf>
    <xf numFmtId="3" fontId="7" fillId="8" borderId="0" xfId="0" applyNumberFormat="1" applyFont="1" applyFill="1"/>
    <xf numFmtId="3" fontId="7" fillId="8" borderId="0" xfId="1" applyNumberFormat="1" applyFont="1" applyFill="1"/>
    <xf numFmtId="0" fontId="7" fillId="8" borderId="0" xfId="0" applyFont="1" applyFill="1" applyAlignment="1">
      <alignment vertical="center"/>
    </xf>
    <xf numFmtId="1" fontId="18" fillId="8" borderId="8" xfId="0" applyNumberFormat="1" applyFont="1" applyFill="1" applyBorder="1" applyAlignment="1" applyProtection="1">
      <alignment vertical="center"/>
      <protection locked="0"/>
    </xf>
    <xf numFmtId="164" fontId="7" fillId="8" borderId="0" xfId="1" applyNumberFormat="1" applyFont="1" applyFill="1"/>
    <xf numFmtId="166" fontId="14" fillId="5" borderId="8" xfId="0" applyNumberFormat="1" applyFont="1" applyFill="1" applyBorder="1" applyAlignment="1" applyProtection="1">
      <alignment horizontal="right" vertical="center"/>
      <protection locked="0"/>
    </xf>
    <xf numFmtId="166" fontId="5" fillId="7" borderId="13" xfId="0" applyNumberFormat="1" applyFont="1" applyFill="1" applyBorder="1" applyAlignment="1">
      <alignment horizontal="center" vertical="center"/>
    </xf>
    <xf numFmtId="166" fontId="5" fillId="7" borderId="0" xfId="0" applyNumberFormat="1" applyFont="1" applyFill="1" applyAlignment="1">
      <alignment horizontal="center" vertical="center"/>
    </xf>
    <xf numFmtId="3" fontId="5" fillId="7" borderId="0" xfId="0" applyNumberFormat="1" applyFont="1" applyFill="1"/>
    <xf numFmtId="3" fontId="5" fillId="7" borderId="0" xfId="1" applyNumberFormat="1" applyFont="1" applyFill="1"/>
    <xf numFmtId="0" fontId="5" fillId="7" borderId="0" xfId="0" applyFont="1" applyFill="1" applyAlignment="1">
      <alignment vertical="center"/>
    </xf>
    <xf numFmtId="1" fontId="28" fillId="7" borderId="8" xfId="0" applyNumberFormat="1" applyFont="1" applyFill="1" applyBorder="1" applyAlignment="1" applyProtection="1">
      <alignment vertical="center"/>
      <protection locked="0"/>
    </xf>
    <xf numFmtId="0" fontId="5" fillId="7" borderId="0" xfId="0" applyFont="1" applyFill="1"/>
    <xf numFmtId="14" fontId="5" fillId="0" borderId="8" xfId="0" applyNumberFormat="1" applyFont="1" applyBorder="1" applyAlignment="1" applyProtection="1">
      <alignment horizontal="center" vertical="center"/>
      <protection locked="0"/>
    </xf>
    <xf numFmtId="166" fontId="5" fillId="0" borderId="8" xfId="0" applyNumberFormat="1" applyFont="1" applyBorder="1" applyAlignment="1">
      <alignment horizontal="right"/>
    </xf>
    <xf numFmtId="166" fontId="14" fillId="0" borderId="8" xfId="0" applyNumberFormat="1" applyFont="1" applyBorder="1" applyAlignment="1" applyProtection="1">
      <alignment horizontal="right" vertical="center"/>
      <protection locked="0"/>
    </xf>
    <xf numFmtId="0" fontId="5" fillId="0" borderId="8" xfId="0" applyFont="1" applyBorder="1" applyAlignment="1" applyProtection="1">
      <alignment horizontal="right" vertical="center"/>
      <protection locked="0"/>
    </xf>
    <xf numFmtId="3" fontId="5" fillId="0" borderId="8" xfId="0" applyNumberFormat="1" applyFont="1" applyBorder="1" applyAlignment="1" applyProtection="1">
      <alignment horizontal="right" vertical="center"/>
      <protection locked="0"/>
    </xf>
    <xf numFmtId="166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166" fontId="5" fillId="0" borderId="0" xfId="0" applyNumberFormat="1" applyFont="1" applyProtection="1">
      <protection locked="0"/>
    </xf>
    <xf numFmtId="0" fontId="5" fillId="0" borderId="0" xfId="0" applyFont="1" applyAlignment="1">
      <alignment vertical="center"/>
    </xf>
    <xf numFmtId="1" fontId="28" fillId="0" borderId="8" xfId="0" applyNumberFormat="1" applyFont="1" applyBorder="1" applyAlignment="1" applyProtection="1">
      <alignment vertical="center"/>
      <protection locked="0"/>
    </xf>
    <xf numFmtId="49" fontId="5" fillId="3" borderId="14" xfId="0" applyNumberFormat="1" applyFont="1" applyFill="1" applyBorder="1" applyAlignment="1" applyProtection="1">
      <alignment vertical="center"/>
      <protection locked="0"/>
    </xf>
    <xf numFmtId="14" fontId="5" fillId="3" borderId="14" xfId="0" applyNumberFormat="1" applyFont="1" applyFill="1" applyBorder="1" applyAlignment="1" applyProtection="1">
      <alignment horizontal="center" vertical="center"/>
      <protection locked="0"/>
    </xf>
    <xf numFmtId="166" fontId="5" fillId="3" borderId="14" xfId="0" applyNumberFormat="1" applyFont="1" applyFill="1" applyBorder="1" applyAlignment="1">
      <alignment horizontal="right"/>
    </xf>
    <xf numFmtId="166" fontId="14" fillId="4" borderId="14" xfId="0" applyNumberFormat="1" applyFont="1" applyFill="1" applyBorder="1" applyAlignment="1" applyProtection="1">
      <alignment horizontal="right" vertical="center"/>
      <protection locked="0"/>
    </xf>
    <xf numFmtId="166" fontId="14" fillId="3" borderId="14" xfId="0" applyNumberFormat="1" applyFont="1" applyFill="1" applyBorder="1" applyAlignment="1">
      <alignment horizontal="right" vertical="center"/>
    </xf>
    <xf numFmtId="166" fontId="14" fillId="3" borderId="14" xfId="0" applyNumberFormat="1" applyFont="1" applyFill="1" applyBorder="1" applyAlignment="1" applyProtection="1">
      <alignment horizontal="right" vertical="center"/>
      <protection locked="0"/>
    </xf>
    <xf numFmtId="166" fontId="8" fillId="3" borderId="14" xfId="0" applyNumberFormat="1" applyFont="1" applyFill="1" applyBorder="1" applyAlignment="1" applyProtection="1">
      <alignment horizontal="right" vertical="center"/>
      <protection locked="0"/>
    </xf>
    <xf numFmtId="166" fontId="14" fillId="0" borderId="14" xfId="0" applyNumberFormat="1" applyFont="1" applyBorder="1" applyAlignment="1">
      <alignment horizontal="right" vertical="center"/>
    </xf>
    <xf numFmtId="166" fontId="14" fillId="3" borderId="14" xfId="0" applyNumberFormat="1" applyFont="1" applyFill="1" applyBorder="1" applyAlignment="1" applyProtection="1">
      <alignment horizontal="right" vertical="center"/>
      <protection hidden="1"/>
    </xf>
    <xf numFmtId="3" fontId="5" fillId="3" borderId="14" xfId="0" applyNumberFormat="1" applyFont="1" applyFill="1" applyBorder="1"/>
    <xf numFmtId="166" fontId="5" fillId="5" borderId="14" xfId="0" applyNumberFormat="1" applyFont="1" applyFill="1" applyBorder="1" applyAlignment="1" applyProtection="1">
      <alignment horizontal="right" vertical="center"/>
      <protection locked="0"/>
    </xf>
    <xf numFmtId="166" fontId="5" fillId="0" borderId="14" xfId="0" applyNumberFormat="1" applyFont="1" applyBorder="1" applyAlignment="1" applyProtection="1">
      <alignment horizontal="right" vertical="center"/>
      <protection locked="0"/>
    </xf>
    <xf numFmtId="0" fontId="5" fillId="5" borderId="14" xfId="0" applyFont="1" applyFill="1" applyBorder="1" applyAlignment="1" applyProtection="1">
      <alignment horizontal="right" vertical="center"/>
      <protection locked="0"/>
    </xf>
    <xf numFmtId="0" fontId="5" fillId="4" borderId="14" xfId="0" applyFont="1" applyFill="1" applyBorder="1" applyAlignment="1" applyProtection="1">
      <alignment horizontal="right" vertical="center"/>
      <protection locked="0"/>
    </xf>
    <xf numFmtId="3" fontId="5" fillId="7" borderId="14" xfId="0" applyNumberFormat="1" applyFont="1" applyFill="1" applyBorder="1" applyAlignment="1" applyProtection="1">
      <alignment horizontal="right" vertical="center"/>
      <protection locked="0"/>
    </xf>
    <xf numFmtId="1" fontId="28" fillId="3" borderId="14" xfId="0" applyNumberFormat="1" applyFont="1" applyFill="1" applyBorder="1" applyAlignment="1" applyProtection="1">
      <alignment vertical="center"/>
      <protection locked="0"/>
    </xf>
    <xf numFmtId="0" fontId="5" fillId="2" borderId="2" xfId="0" applyFont="1" applyFill="1" applyBorder="1" applyAlignment="1">
      <alignment horizontal="center" vertical="center"/>
    </xf>
    <xf numFmtId="49" fontId="28" fillId="2" borderId="2" xfId="0" applyNumberFormat="1" applyFont="1" applyFill="1" applyBorder="1" applyAlignment="1" applyProtection="1">
      <alignment vertical="center"/>
      <protection locked="0"/>
    </xf>
    <xf numFmtId="14" fontId="5" fillId="2" borderId="2" xfId="0" applyNumberFormat="1" applyFont="1" applyFill="1" applyBorder="1" applyAlignment="1" applyProtection="1">
      <alignment horizontal="center" vertical="center"/>
      <protection locked="0"/>
    </xf>
    <xf numFmtId="166" fontId="5" fillId="2" borderId="2" xfId="0" applyNumberFormat="1" applyFont="1" applyFill="1" applyBorder="1" applyAlignment="1">
      <alignment horizontal="right"/>
    </xf>
    <xf numFmtId="166" fontId="14" fillId="0" borderId="2" xfId="0" applyNumberFormat="1" applyFont="1" applyBorder="1" applyAlignment="1" applyProtection="1">
      <alignment horizontal="right" vertical="center"/>
      <protection locked="0"/>
    </xf>
    <xf numFmtId="166" fontId="14" fillId="2" borderId="2" xfId="0" applyNumberFormat="1" applyFont="1" applyFill="1" applyBorder="1" applyAlignment="1" applyProtection="1">
      <alignment horizontal="right" vertical="center"/>
      <protection locked="0"/>
    </xf>
    <xf numFmtId="166" fontId="14" fillId="3" borderId="2" xfId="0" applyNumberFormat="1" applyFont="1" applyFill="1" applyBorder="1" applyAlignment="1" applyProtection="1">
      <alignment horizontal="right" vertical="center"/>
      <protection locked="0"/>
    </xf>
    <xf numFmtId="166" fontId="14" fillId="9" borderId="2" xfId="0" applyNumberFormat="1" applyFont="1" applyFill="1" applyBorder="1" applyAlignment="1" applyProtection="1">
      <alignment horizontal="right" vertical="center"/>
      <protection locked="0"/>
    </xf>
    <xf numFmtId="166" fontId="14" fillId="4" borderId="2" xfId="0" applyNumberFormat="1" applyFont="1" applyFill="1" applyBorder="1" applyAlignment="1" applyProtection="1">
      <alignment horizontal="right" vertical="center"/>
      <protection locked="0"/>
    </xf>
    <xf numFmtId="166" fontId="15" fillId="2" borderId="2" xfId="0" applyNumberFormat="1" applyFont="1" applyFill="1" applyBorder="1" applyAlignment="1" applyProtection="1">
      <alignment horizontal="right" vertical="center"/>
      <protection locked="0"/>
    </xf>
    <xf numFmtId="166" fontId="5" fillId="2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166" fontId="5" fillId="2" borderId="0" xfId="0" applyNumberFormat="1" applyFont="1" applyFill="1" applyProtection="1">
      <protection locked="0"/>
    </xf>
    <xf numFmtId="0" fontId="5" fillId="2" borderId="0" xfId="0" applyFont="1" applyFill="1" applyAlignment="1">
      <alignment vertical="center"/>
    </xf>
    <xf numFmtId="1" fontId="28" fillId="2" borderId="2" xfId="0" applyNumberFormat="1" applyFont="1" applyFill="1" applyBorder="1" applyAlignment="1" applyProtection="1">
      <alignment vertical="center"/>
      <protection locked="0"/>
    </xf>
    <xf numFmtId="164" fontId="5" fillId="2" borderId="0" xfId="1" applyNumberFormat="1" applyFont="1" applyFill="1" applyAlignment="1">
      <alignment vertical="center"/>
    </xf>
    <xf numFmtId="0" fontId="30" fillId="0" borderId="0" xfId="0" applyFont="1" applyAlignment="1">
      <alignment horizontal="center" vertical="center"/>
    </xf>
    <xf numFmtId="49" fontId="30" fillId="0" borderId="0" xfId="0" applyNumberFormat="1" applyFont="1" applyAlignment="1">
      <alignment horizontal="center" vertical="center"/>
    </xf>
    <xf numFmtId="166" fontId="31" fillId="0" borderId="0" xfId="0" applyNumberFormat="1" applyFont="1" applyAlignment="1">
      <alignment horizontal="right" vertical="center"/>
    </xf>
    <xf numFmtId="166" fontId="32" fillId="0" borderId="0" xfId="0" applyNumberFormat="1" applyFont="1" applyAlignment="1">
      <alignment horizontal="right" vertical="center"/>
    </xf>
    <xf numFmtId="166" fontId="14" fillId="0" borderId="0" xfId="0" applyNumberFormat="1" applyFont="1" applyAlignment="1" applyProtection="1">
      <alignment horizontal="right" vertical="center"/>
      <protection locked="0"/>
    </xf>
    <xf numFmtId="166" fontId="33" fillId="0" borderId="0" xfId="0" applyNumberFormat="1" applyFont="1" applyAlignment="1" applyProtection="1">
      <alignment horizontal="right" vertical="center"/>
      <protection locked="0"/>
    </xf>
    <xf numFmtId="166" fontId="31" fillId="3" borderId="0" xfId="0" applyNumberFormat="1" applyFont="1" applyFill="1" applyAlignment="1">
      <alignment horizontal="right" vertical="center"/>
    </xf>
    <xf numFmtId="166" fontId="31" fillId="9" borderId="0" xfId="0" applyNumberFormat="1" applyFont="1" applyFill="1" applyAlignment="1">
      <alignment horizontal="center" vertical="center"/>
    </xf>
    <xf numFmtId="166" fontId="31" fillId="4" borderId="0" xfId="0" applyNumberFormat="1" applyFont="1" applyFill="1" applyAlignment="1">
      <alignment horizontal="right" vertical="center"/>
    </xf>
    <xf numFmtId="166" fontId="14" fillId="0" borderId="0" xfId="0" applyNumberFormat="1" applyFont="1" applyAlignment="1" applyProtection="1">
      <alignment horizontal="right" vertical="center"/>
      <protection hidden="1"/>
    </xf>
    <xf numFmtId="166" fontId="34" fillId="3" borderId="0" xfId="0" applyNumberFormat="1" applyFont="1" applyFill="1" applyAlignment="1">
      <alignment horizontal="right" vertical="center"/>
    </xf>
    <xf numFmtId="166" fontId="34" fillId="0" borderId="0" xfId="0" applyNumberFormat="1" applyFont="1" applyAlignment="1">
      <alignment horizontal="right" vertical="center"/>
    </xf>
    <xf numFmtId="49" fontId="21" fillId="0" borderId="0" xfId="0" applyNumberFormat="1" applyFont="1"/>
    <xf numFmtId="0" fontId="21" fillId="0" borderId="0" xfId="0" applyFont="1"/>
    <xf numFmtId="0" fontId="21" fillId="3" borderId="0" xfId="0" applyFont="1" applyFill="1"/>
    <xf numFmtId="0" fontId="21" fillId="9" borderId="0" xfId="0" applyFont="1" applyFill="1"/>
    <xf numFmtId="0" fontId="35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166" fontId="35" fillId="0" borderId="0" xfId="0" applyNumberFormat="1" applyFont="1"/>
    <xf numFmtId="0" fontId="35" fillId="0" borderId="0" xfId="0" applyFont="1"/>
    <xf numFmtId="0" fontId="36" fillId="3" borderId="0" xfId="0" applyFont="1" applyFill="1" applyAlignment="1">
      <alignment horizontal="center"/>
    </xf>
    <xf numFmtId="0" fontId="36" fillId="0" borderId="0" xfId="0" applyFont="1" applyAlignment="1">
      <alignment horizontal="center"/>
    </xf>
    <xf numFmtId="0" fontId="22" fillId="0" borderId="0" xfId="3" applyFont="1" applyAlignment="1" applyProtection="1">
      <alignment horizontal="center"/>
      <protection locked="0"/>
    </xf>
    <xf numFmtId="166" fontId="14" fillId="3" borderId="0" xfId="0" applyNumberFormat="1" applyFont="1" applyFill="1" applyAlignment="1" applyProtection="1">
      <alignment horizontal="right" vertical="center"/>
      <protection locked="0"/>
    </xf>
    <xf numFmtId="166" fontId="14" fillId="4" borderId="0" xfId="0" applyNumberFormat="1" applyFont="1" applyFill="1" applyAlignment="1" applyProtection="1">
      <alignment horizontal="right" vertical="center"/>
      <protection locked="0"/>
    </xf>
    <xf numFmtId="0" fontId="22" fillId="4" borderId="0" xfId="3" applyFont="1" applyFill="1" applyProtection="1">
      <protection locked="0"/>
    </xf>
    <xf numFmtId="0" fontId="22" fillId="0" borderId="0" xfId="3" applyFont="1" applyProtection="1">
      <protection locked="0"/>
    </xf>
    <xf numFmtId="0" fontId="22" fillId="3" borderId="0" xfId="3" applyFont="1" applyFill="1" applyProtection="1">
      <protection locked="0"/>
    </xf>
    <xf numFmtId="0" fontId="22" fillId="9" borderId="0" xfId="3" applyFont="1" applyFill="1" applyProtection="1">
      <protection locked="0"/>
    </xf>
    <xf numFmtId="0" fontId="22" fillId="0" borderId="0" xfId="0" applyFont="1" applyAlignment="1">
      <alignment horizontal="center"/>
    </xf>
    <xf numFmtId="0" fontId="22" fillId="0" borderId="0" xfId="0" applyFont="1"/>
    <xf numFmtId="0" fontId="7" fillId="3" borderId="0" xfId="0" applyFont="1" applyFill="1" applyAlignment="1">
      <alignment horizontal="center"/>
    </xf>
    <xf numFmtId="166" fontId="5" fillId="5" borderId="0" xfId="0" applyNumberFormat="1" applyFont="1" applyFill="1"/>
    <xf numFmtId="166" fontId="5" fillId="0" borderId="0" xfId="0" applyNumberFormat="1" applyFont="1"/>
    <xf numFmtId="49" fontId="5" fillId="3" borderId="0" xfId="0" applyNumberFormat="1" applyFont="1" applyFill="1"/>
    <xf numFmtId="0" fontId="5" fillId="9" borderId="0" xfId="0" applyFont="1" applyFill="1"/>
    <xf numFmtId="164" fontId="21" fillId="3" borderId="0" xfId="1" applyNumberFormat="1" applyFont="1" applyFill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64" fontId="21" fillId="0" borderId="0" xfId="1" applyNumberFormat="1" applyFont="1" applyFill="1" applyAlignment="1">
      <alignment horizontal="center"/>
    </xf>
    <xf numFmtId="0" fontId="5" fillId="3" borderId="0" xfId="0" applyFont="1" applyFill="1" applyAlignment="1">
      <alignment horizontal="left"/>
    </xf>
    <xf numFmtId="164" fontId="21" fillId="3" borderId="0" xfId="1" applyNumberFormat="1" applyFont="1" applyFill="1" applyAlignment="1">
      <alignment horizontal="center"/>
    </xf>
    <xf numFmtId="0" fontId="24" fillId="0" borderId="0" xfId="0" applyFont="1" applyAlignment="1">
      <alignment horizontal="left" vertical="center"/>
    </xf>
    <xf numFmtId="0" fontId="5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4">
    <cellStyle name="Comma" xfId="1" builtinId="3"/>
    <cellStyle name="Comma 4" xfId="2" xr:uid="{3E19A95A-E1F5-E84D-A1F2-54DD657B57D3}"/>
    <cellStyle name="Normal" xfId="0" builtinId="0"/>
    <cellStyle name="Normal 18" xfId="3" xr:uid="{3335085A-D22B-B746-AC59-8B2916D80A66}"/>
  </cellStyles>
  <dxfs count="14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</font>
      <fill>
        <patternFill patternType="solid">
          <bgColor theme="6" tint="0.59996337778862885"/>
        </patternFill>
      </fill>
    </dxf>
    <dxf>
      <font>
        <b/>
        <i val="0"/>
        <color auto="1"/>
      </font>
      <fill>
        <patternFill patternType="solid">
          <bgColor theme="6" tint="0.59996337778862885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  <u val="none"/>
        <color rgb="FF00B050"/>
      </font>
      <fill>
        <patternFill patternType="solid">
          <bgColor rgb="FF00B050"/>
        </patternFill>
      </fill>
    </dxf>
    <dxf>
      <font>
        <b/>
        <i val="0"/>
      </font>
      <fill>
        <patternFill patternType="solid">
          <bgColor theme="6" tint="0.59996337778862885"/>
        </patternFill>
      </fill>
    </dxf>
    <dxf>
      <font>
        <b/>
        <i val="0"/>
        <color auto="1"/>
      </font>
      <fill>
        <patternFill patternType="solid">
          <bgColor theme="6" tint="0.59996337778862885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  <u val="none"/>
        <color rgb="FF00B050"/>
      </font>
      <fill>
        <patternFill patternType="solid">
          <bgColor rgb="FF00B050"/>
        </patternFill>
      </fill>
    </dxf>
    <dxf>
      <font>
        <b/>
        <i val="0"/>
        <color auto="1"/>
      </font>
      <fill>
        <patternFill patternType="solid">
          <bgColor theme="6" tint="0.59996337778862885"/>
        </patternFill>
      </fill>
    </dxf>
    <dxf>
      <font>
        <b/>
        <i val="0"/>
      </font>
      <fill>
        <patternFill patternType="solid">
          <bgColor theme="6" tint="0.59996337778862885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  <u val="none"/>
        <color rgb="FF00B050"/>
      </font>
      <fill>
        <patternFill patternType="solid">
          <bgColor rgb="FF00B050"/>
        </patternFill>
      </fill>
    </dxf>
    <dxf>
      <font>
        <b/>
        <i val="0"/>
      </font>
      <fill>
        <patternFill patternType="solid"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u val="none"/>
        <color rgb="FF00B050"/>
      </font>
      <fill>
        <patternFill patternType="solid">
          <bgColor rgb="FF00B050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  <color auto="1"/>
      </font>
      <fill>
        <patternFill patternType="solid">
          <bgColor theme="6" tint="0.59996337778862885"/>
        </patternFill>
      </fill>
    </dxf>
    <dxf>
      <font>
        <b/>
        <i val="0"/>
      </font>
      <fill>
        <patternFill patternType="solid">
          <bgColor theme="6" tint="0.59996337778862885"/>
        </patternFill>
      </fill>
    </dxf>
    <dxf>
      <font>
        <b/>
        <i val="0"/>
        <u val="none"/>
        <color rgb="FF00B050"/>
      </font>
      <fill>
        <patternFill patternType="solid">
          <bgColor rgb="FF00B050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  <color auto="1"/>
      </font>
      <fill>
        <patternFill patternType="solid">
          <bgColor theme="6" tint="0.59996337778862885"/>
        </patternFill>
      </fill>
    </dxf>
    <dxf>
      <font>
        <b/>
        <i val="0"/>
      </font>
      <fill>
        <patternFill patternType="solid">
          <bgColor theme="6" tint="0.59996337778862885"/>
        </patternFill>
      </fill>
    </dxf>
    <dxf>
      <font>
        <b/>
        <i val="0"/>
      </font>
      <fill>
        <patternFill patternType="solid">
          <bgColor theme="6" tint="0.59996337778862885"/>
        </patternFill>
      </fill>
    </dxf>
    <dxf>
      <font>
        <b/>
        <i val="0"/>
        <u val="none"/>
        <color rgb="FF00B050"/>
      </font>
      <fill>
        <patternFill patternType="solid">
          <bgColor rgb="FF00B050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  <color auto="1"/>
      </font>
      <fill>
        <patternFill patternType="solid">
          <bgColor theme="6" tint="0.59996337778862885"/>
        </patternFill>
      </fill>
    </dxf>
    <dxf>
      <font>
        <b/>
        <i val="0"/>
      </font>
      <fill>
        <patternFill patternType="solid"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u val="none"/>
        <color rgb="FF00B050"/>
      </font>
      <fill>
        <patternFill patternType="solid">
          <bgColor rgb="FF00B050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  <color auto="1"/>
      </font>
      <fill>
        <patternFill patternType="solid">
          <bgColor theme="6" tint="0.59996337778862885"/>
        </patternFill>
      </fill>
    </dxf>
    <dxf>
      <font>
        <b/>
        <i val="0"/>
      </font>
      <fill>
        <patternFill patternType="solid">
          <bgColor theme="6" tint="0.59996337778862885"/>
        </patternFill>
      </fill>
    </dxf>
    <dxf>
      <font>
        <b/>
        <i val="0"/>
        <u val="none"/>
        <color rgb="FF00B050"/>
      </font>
      <fill>
        <patternFill patternType="solid">
          <bgColor rgb="FF00B050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  <color auto="1"/>
      </font>
      <fill>
        <patternFill patternType="solid">
          <bgColor theme="6" tint="0.59996337778862885"/>
        </patternFill>
      </fill>
    </dxf>
    <dxf>
      <font>
        <b/>
        <i val="0"/>
      </font>
      <fill>
        <patternFill patternType="solid">
          <bgColor theme="6" tint="0.59996337778862885"/>
        </patternFill>
      </fill>
    </dxf>
    <dxf>
      <font>
        <b/>
        <i val="0"/>
      </font>
      <fill>
        <patternFill patternType="solid">
          <bgColor theme="6" tint="0.59996337778862885"/>
        </patternFill>
      </fill>
    </dxf>
    <dxf>
      <font>
        <b/>
        <i val="0"/>
        <u val="none"/>
        <color rgb="FF00B050"/>
      </font>
      <fill>
        <patternFill patternType="solid">
          <bgColor rgb="FF00B050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  <color auto="1"/>
      </font>
      <fill>
        <patternFill patternType="solid">
          <bgColor theme="6" tint="0.59996337778862885"/>
        </patternFill>
      </fill>
    </dxf>
    <dxf>
      <font>
        <b/>
        <i val="0"/>
      </font>
      <fill>
        <patternFill patternType="solid"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u val="none"/>
        <color rgb="FF00B050"/>
      </font>
      <fill>
        <patternFill patternType="solid">
          <bgColor rgb="FF00B050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  <color auto="1"/>
      </font>
      <fill>
        <patternFill patternType="solid">
          <bgColor theme="6" tint="0.59996337778862885"/>
        </patternFill>
      </fill>
    </dxf>
    <dxf>
      <font>
        <b/>
        <i val="0"/>
      </font>
      <fill>
        <patternFill patternType="solid">
          <bgColor theme="6" tint="0.59996337778862885"/>
        </patternFill>
      </fill>
    </dxf>
    <dxf>
      <font>
        <b/>
        <i val="0"/>
        <u val="none"/>
        <color rgb="FF00B050"/>
      </font>
      <fill>
        <patternFill patternType="solid">
          <bgColor rgb="FF00B050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  <color auto="1"/>
      </font>
      <fill>
        <patternFill patternType="solid">
          <bgColor theme="6" tint="0.59996337778862885"/>
        </patternFill>
      </fill>
    </dxf>
    <dxf>
      <font>
        <b/>
        <i val="0"/>
      </font>
      <fill>
        <patternFill patternType="solid">
          <bgColor theme="6" tint="0.59996337778862885"/>
        </patternFill>
      </fill>
    </dxf>
    <dxf>
      <font>
        <b/>
        <i val="0"/>
      </font>
      <fill>
        <patternFill patternType="solid">
          <bgColor theme="6" tint="0.59996337778862885"/>
        </patternFill>
      </fill>
    </dxf>
    <dxf>
      <font>
        <b/>
        <i val="0"/>
        <u val="none"/>
        <color rgb="FF00B050"/>
      </font>
      <fill>
        <patternFill patternType="solid">
          <bgColor rgb="FF00B050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  <color auto="1"/>
      </font>
      <fill>
        <patternFill patternType="solid">
          <bgColor theme="6" tint="0.59996337778862885"/>
        </patternFill>
      </fill>
    </dxf>
    <dxf>
      <font>
        <b/>
        <i val="0"/>
      </font>
      <fill>
        <patternFill patternType="solid"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trungthanh.nguyen/Downloads/LUONG%20MA&#770;&#771;U.xlsm" TargetMode="External"/><Relationship Id="rId1" Type="http://schemas.openxmlformats.org/officeDocument/2006/relationships/externalLinkPath" Target="LUONG%20MA&#770;&#771;U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"/>
      <sheetName val="BK TT"/>
      <sheetName val="132CE"/>
      <sheetName val="TT PHAN XE"/>
      <sheetName val="97BC"/>
      <sheetName val="195BSS"/>
      <sheetName val="Bảng kê GV"/>
      <sheetName val="Sheet5"/>
      <sheetName val="Danh sách GV"/>
      <sheetName val="Danh sách phép 2025"/>
      <sheetName val="Danh sách BGD"/>
    </sheetNames>
    <sheetDataSet>
      <sheetData sheetId="0"/>
      <sheetData sheetId="1">
        <row r="6">
          <cell r="B6" t="str">
            <v>Nguyễn Quang Huy</v>
          </cell>
          <cell r="H6">
            <v>0</v>
          </cell>
          <cell r="I6">
            <v>0</v>
          </cell>
        </row>
        <row r="7">
          <cell r="B7" t="str">
            <v>Phạm Viết Phú</v>
          </cell>
          <cell r="F7">
            <v>5</v>
          </cell>
          <cell r="G7">
            <v>4</v>
          </cell>
          <cell r="H7">
            <v>4500000</v>
          </cell>
          <cell r="I7">
            <v>4500000</v>
          </cell>
        </row>
        <row r="8">
          <cell r="B8" t="str">
            <v>Trần Văn Thơ</v>
          </cell>
          <cell r="H8">
            <v>0</v>
          </cell>
          <cell r="I8">
            <v>0</v>
          </cell>
        </row>
        <row r="9">
          <cell r="B9" t="str">
            <v>Bộ phận văn phòng</v>
          </cell>
          <cell r="H9">
            <v>0</v>
          </cell>
          <cell r="I9">
            <v>0</v>
          </cell>
        </row>
        <row r="10">
          <cell r="B10" t="str">
            <v>Trần Thị Huyền</v>
          </cell>
          <cell r="H10">
            <v>0</v>
          </cell>
          <cell r="I10">
            <v>0</v>
          </cell>
        </row>
        <row r="11">
          <cell r="B11" t="str">
            <v>Nguyễn Thị Thu Hà</v>
          </cell>
          <cell r="H11">
            <v>0</v>
          </cell>
          <cell r="I11">
            <v>0</v>
          </cell>
        </row>
        <row r="12">
          <cell r="B12" t="str">
            <v>Nguyễn Việt Hùng</v>
          </cell>
          <cell r="H12">
            <v>0</v>
          </cell>
          <cell r="I12">
            <v>0</v>
          </cell>
        </row>
        <row r="13">
          <cell r="B13" t="str">
            <v>Nguyễn Ngọc Chính</v>
          </cell>
          <cell r="G13">
            <v>1</v>
          </cell>
          <cell r="H13">
            <v>500000</v>
          </cell>
          <cell r="I13">
            <v>500000</v>
          </cell>
        </row>
        <row r="14">
          <cell r="B14" t="str">
            <v>Phan Thị Như Quỳnh</v>
          </cell>
          <cell r="I14">
            <v>0</v>
          </cell>
        </row>
        <row r="15">
          <cell r="B15" t="str">
            <v>Trần Thị Thanh Nhã</v>
          </cell>
          <cell r="H15">
            <v>0</v>
          </cell>
          <cell r="I15">
            <v>0</v>
          </cell>
        </row>
        <row r="16">
          <cell r="B16" t="str">
            <v>Nguyễn Thị Kim Tuyền</v>
          </cell>
          <cell r="D16">
            <v>5500000</v>
          </cell>
          <cell r="H16">
            <v>0</v>
          </cell>
          <cell r="I16">
            <v>5500000</v>
          </cell>
        </row>
        <row r="17">
          <cell r="B17" t="str">
            <v>Mai Thanh Lan</v>
          </cell>
          <cell r="G17">
            <v>2</v>
          </cell>
          <cell r="H17">
            <v>1000000</v>
          </cell>
          <cell r="I17">
            <v>1000000</v>
          </cell>
        </row>
        <row r="18">
          <cell r="B18" t="str">
            <v>Nguyễn Thành Tài</v>
          </cell>
          <cell r="H18">
            <v>0</v>
          </cell>
          <cell r="I18">
            <v>0</v>
          </cell>
        </row>
        <row r="19">
          <cell r="B19" t="str">
            <v>Phạm Thị Kim Loan</v>
          </cell>
          <cell r="H19">
            <v>0</v>
          </cell>
          <cell r="I19">
            <v>0</v>
          </cell>
        </row>
        <row r="20">
          <cell r="B20" t="str">
            <v>Bộ phận giáo viên</v>
          </cell>
          <cell r="H20">
            <v>0</v>
          </cell>
          <cell r="I20">
            <v>0</v>
          </cell>
        </row>
        <row r="21">
          <cell r="B21" t="str">
            <v>Vũ Giang Nam</v>
          </cell>
          <cell r="F21">
            <v>2</v>
          </cell>
          <cell r="G21">
            <v>1</v>
          </cell>
          <cell r="H21">
            <v>1500000</v>
          </cell>
          <cell r="I21">
            <v>1500000</v>
          </cell>
        </row>
        <row r="22">
          <cell r="B22" t="str">
            <v>Dương Tuấn Anh</v>
          </cell>
          <cell r="H22">
            <v>0</v>
          </cell>
          <cell r="I22">
            <v>0</v>
          </cell>
        </row>
        <row r="23">
          <cell r="B23" t="str">
            <v>Phạm Vũ Đức Bảo</v>
          </cell>
          <cell r="H23">
            <v>0</v>
          </cell>
          <cell r="I23">
            <v>0</v>
          </cell>
        </row>
        <row r="24">
          <cell r="B24" t="str">
            <v>Cao Đình Bắc</v>
          </cell>
          <cell r="H24">
            <v>0</v>
          </cell>
          <cell r="I24">
            <v>0</v>
          </cell>
        </row>
        <row r="25">
          <cell r="B25" t="str">
            <v>Lê Trung Cường</v>
          </cell>
          <cell r="H25">
            <v>0</v>
          </cell>
          <cell r="I25">
            <v>0</v>
          </cell>
        </row>
        <row r="26">
          <cell r="B26" t="str">
            <v>Vũ Đức Diện</v>
          </cell>
          <cell r="H26">
            <v>0</v>
          </cell>
          <cell r="I26">
            <v>0</v>
          </cell>
        </row>
        <row r="27">
          <cell r="B27" t="str">
            <v>Nguyễn Cao Dũng</v>
          </cell>
          <cell r="H27">
            <v>0</v>
          </cell>
          <cell r="I27">
            <v>0</v>
          </cell>
        </row>
        <row r="28">
          <cell r="B28" t="str">
            <v>Nguyễn Hữu Dương</v>
          </cell>
          <cell r="H28">
            <v>0</v>
          </cell>
          <cell r="I28">
            <v>0</v>
          </cell>
        </row>
        <row r="29">
          <cell r="B29" t="str">
            <v>Trần Trung Đạo</v>
          </cell>
          <cell r="H29">
            <v>0</v>
          </cell>
          <cell r="I29">
            <v>0</v>
          </cell>
        </row>
        <row r="30">
          <cell r="B30" t="str">
            <v>Nguyễn Phương Đông</v>
          </cell>
          <cell r="H30">
            <v>0</v>
          </cell>
          <cell r="I30">
            <v>0</v>
          </cell>
        </row>
        <row r="31">
          <cell r="B31" t="str">
            <v>Nguyễn Vĩnh Hạ</v>
          </cell>
          <cell r="H31">
            <v>0</v>
          </cell>
          <cell r="I31">
            <v>0</v>
          </cell>
        </row>
        <row r="32">
          <cell r="B32" t="str">
            <v>Tống Nam Hải</v>
          </cell>
          <cell r="H32">
            <v>0</v>
          </cell>
          <cell r="I32">
            <v>0</v>
          </cell>
        </row>
        <row r="33">
          <cell r="B33" t="str">
            <v>Trần Đức Hải</v>
          </cell>
          <cell r="H33">
            <v>0</v>
          </cell>
          <cell r="I33">
            <v>0</v>
          </cell>
        </row>
        <row r="34">
          <cell r="B34" t="str">
            <v>Lê Hữu Hạnh</v>
          </cell>
          <cell r="F34">
            <v>2</v>
          </cell>
          <cell r="G34">
            <v>3</v>
          </cell>
          <cell r="H34">
            <v>2500000</v>
          </cell>
          <cell r="I34">
            <v>2500000</v>
          </cell>
        </row>
        <row r="35">
          <cell r="B35" t="str">
            <v>Nguyễn Vĩnh Hậu</v>
          </cell>
          <cell r="H35">
            <v>0</v>
          </cell>
          <cell r="I35">
            <v>0</v>
          </cell>
        </row>
        <row r="36">
          <cell r="B36" t="str">
            <v>Đỗ Danh Hiển</v>
          </cell>
          <cell r="H36">
            <v>0</v>
          </cell>
          <cell r="I36">
            <v>0</v>
          </cell>
        </row>
        <row r="37">
          <cell r="B37" t="str">
            <v>Nguyễn Vĩnh Hiệp</v>
          </cell>
          <cell r="H37">
            <v>0</v>
          </cell>
          <cell r="I37">
            <v>0</v>
          </cell>
        </row>
        <row r="38">
          <cell r="B38" t="str">
            <v>Nguyễn Hoàng Hiếu</v>
          </cell>
          <cell r="H38">
            <v>0</v>
          </cell>
          <cell r="I38">
            <v>0</v>
          </cell>
        </row>
        <row r="39">
          <cell r="B39" t="str">
            <v>Lưu Văn Huy</v>
          </cell>
          <cell r="H39">
            <v>0</v>
          </cell>
          <cell r="I39">
            <v>0</v>
          </cell>
        </row>
        <row r="40">
          <cell r="B40" t="str">
            <v>Đặng Quốc Khánh</v>
          </cell>
          <cell r="H40">
            <v>0</v>
          </cell>
          <cell r="I40">
            <v>0</v>
          </cell>
        </row>
        <row r="41">
          <cell r="B41" t="str">
            <v>Phạm Đăng Khoa</v>
          </cell>
          <cell r="H41">
            <v>0</v>
          </cell>
          <cell r="I41">
            <v>0</v>
          </cell>
        </row>
        <row r="42">
          <cell r="B42" t="str">
            <v>Nguyễn Tiến Khôi</v>
          </cell>
          <cell r="H42">
            <v>0</v>
          </cell>
          <cell r="I42">
            <v>0</v>
          </cell>
        </row>
        <row r="43">
          <cell r="B43" t="str">
            <v>Lưu Phúc Kính</v>
          </cell>
          <cell r="H43">
            <v>0</v>
          </cell>
          <cell r="I43">
            <v>0</v>
          </cell>
        </row>
        <row r="44">
          <cell r="B44" t="str">
            <v>Đặng Trường Kỳ</v>
          </cell>
          <cell r="H44">
            <v>0</v>
          </cell>
          <cell r="I44">
            <v>0</v>
          </cell>
        </row>
        <row r="45">
          <cell r="B45" t="str">
            <v>Lê Văn Lộc</v>
          </cell>
          <cell r="H45">
            <v>0</v>
          </cell>
          <cell r="I45">
            <v>0</v>
          </cell>
        </row>
        <row r="46">
          <cell r="B46" t="str">
            <v>Nguyễn Thanh Nam</v>
          </cell>
          <cell r="H46">
            <v>0</v>
          </cell>
          <cell r="I46">
            <v>0</v>
          </cell>
        </row>
        <row r="47">
          <cell r="B47" t="str">
            <v>Nguyễn Văn Ngoan</v>
          </cell>
          <cell r="H47">
            <v>0</v>
          </cell>
          <cell r="I47">
            <v>0</v>
          </cell>
        </row>
        <row r="48">
          <cell r="B48" t="str">
            <v>Huỳnh Văn Nguyên</v>
          </cell>
          <cell r="H48">
            <v>0</v>
          </cell>
          <cell r="I48">
            <v>0</v>
          </cell>
        </row>
        <row r="49">
          <cell r="B49" t="str">
            <v>Lê Ngọc Nhân</v>
          </cell>
          <cell r="H49">
            <v>0</v>
          </cell>
          <cell r="I49">
            <v>0</v>
          </cell>
        </row>
        <row r="50">
          <cell r="B50" t="str">
            <v>Nguyễn Hữu Phúc</v>
          </cell>
          <cell r="H50">
            <v>0</v>
          </cell>
          <cell r="I50">
            <v>0</v>
          </cell>
        </row>
        <row r="51">
          <cell r="B51" t="str">
            <v>Nguyễn Ngũ Phúc</v>
          </cell>
          <cell r="H51">
            <v>0</v>
          </cell>
          <cell r="I51">
            <v>0</v>
          </cell>
        </row>
        <row r="52">
          <cell r="B52" t="str">
            <v>Dương Quang Quyết</v>
          </cell>
          <cell r="H52">
            <v>0</v>
          </cell>
          <cell r="I52">
            <v>0</v>
          </cell>
        </row>
        <row r="53">
          <cell r="B53" t="str">
            <v>Nguyễn Duy Sang</v>
          </cell>
          <cell r="H53">
            <v>0</v>
          </cell>
          <cell r="I53">
            <v>0</v>
          </cell>
        </row>
        <row r="54">
          <cell r="B54" t="str">
            <v>Đỗ Trung Thành</v>
          </cell>
          <cell r="H54">
            <v>0</v>
          </cell>
          <cell r="I54">
            <v>0</v>
          </cell>
        </row>
        <row r="55">
          <cell r="B55" t="str">
            <v>Nguyễn Công Thành</v>
          </cell>
          <cell r="H55">
            <v>0</v>
          </cell>
          <cell r="I55">
            <v>0</v>
          </cell>
        </row>
        <row r="56">
          <cell r="B56" t="str">
            <v>Nguyễn Trung Thành</v>
          </cell>
          <cell r="C56">
            <v>4112000</v>
          </cell>
          <cell r="H56">
            <v>0</v>
          </cell>
          <cell r="I56">
            <v>4112000</v>
          </cell>
        </row>
        <row r="57">
          <cell r="B57" t="str">
            <v>Nguyễn Quốc Thạnh</v>
          </cell>
          <cell r="H57">
            <v>0</v>
          </cell>
          <cell r="I57">
            <v>0</v>
          </cell>
        </row>
        <row r="58">
          <cell r="B58" t="str">
            <v>Vũ Văn Thạo</v>
          </cell>
          <cell r="H58">
            <v>0</v>
          </cell>
          <cell r="I58">
            <v>0</v>
          </cell>
        </row>
        <row r="59">
          <cell r="B59" t="str">
            <v>Nguyễn Văn Thật</v>
          </cell>
          <cell r="H59">
            <v>0</v>
          </cell>
          <cell r="I59">
            <v>0</v>
          </cell>
        </row>
        <row r="60">
          <cell r="B60" t="str">
            <v>Huỳnh Văn Thêu</v>
          </cell>
          <cell r="H60">
            <v>0</v>
          </cell>
          <cell r="I60">
            <v>0</v>
          </cell>
        </row>
        <row r="61">
          <cell r="B61" t="str">
            <v>Võ Duy Thiện</v>
          </cell>
          <cell r="C61">
            <v>12448246</v>
          </cell>
          <cell r="H61">
            <v>0</v>
          </cell>
          <cell r="I61">
            <v>12448246</v>
          </cell>
        </row>
        <row r="62">
          <cell r="B62" t="str">
            <v>Nguyễn Đình Trọng</v>
          </cell>
          <cell r="H62">
            <v>0</v>
          </cell>
          <cell r="I62">
            <v>0</v>
          </cell>
        </row>
        <row r="63">
          <cell r="B63" t="str">
            <v>Ngô Quang Trơn</v>
          </cell>
          <cell r="H63">
            <v>0</v>
          </cell>
          <cell r="I63">
            <v>0</v>
          </cell>
        </row>
        <row r="64">
          <cell r="B64" t="str">
            <v>Trương Chí Trung</v>
          </cell>
          <cell r="H64">
            <v>0</v>
          </cell>
          <cell r="I64">
            <v>0</v>
          </cell>
        </row>
        <row r="65">
          <cell r="B65" t="str">
            <v>Lê Minh Tú</v>
          </cell>
          <cell r="H65">
            <v>0</v>
          </cell>
          <cell r="I65">
            <v>0</v>
          </cell>
        </row>
        <row r="66">
          <cell r="B66" t="str">
            <v>Bùi Anh Tuấn</v>
          </cell>
          <cell r="H66">
            <v>0</v>
          </cell>
          <cell r="I66">
            <v>0</v>
          </cell>
        </row>
        <row r="67">
          <cell r="B67" t="str">
            <v>Trần Nguyễn Xuân Vũ</v>
          </cell>
          <cell r="H67">
            <v>0</v>
          </cell>
          <cell r="I67">
            <v>0</v>
          </cell>
        </row>
        <row r="68">
          <cell r="B68" t="str">
            <v>Nguyễn Thanh Bình</v>
          </cell>
          <cell r="H68">
            <v>0</v>
          </cell>
          <cell r="I68">
            <v>0</v>
          </cell>
        </row>
        <row r="69">
          <cell r="B69" t="str">
            <v>Hoàng Danh Dũng</v>
          </cell>
          <cell r="F69">
            <v>7</v>
          </cell>
          <cell r="G69">
            <v>4</v>
          </cell>
          <cell r="H69">
            <v>5500000</v>
          </cell>
          <cell r="I69">
            <v>5500000</v>
          </cell>
        </row>
        <row r="70">
          <cell r="B70" t="str">
            <v>Đoàn Quang Đình</v>
          </cell>
          <cell r="H70">
            <v>0</v>
          </cell>
          <cell r="I70">
            <v>0</v>
          </cell>
        </row>
        <row r="71">
          <cell r="B71" t="str">
            <v>Nguyễn Văn Huy</v>
          </cell>
          <cell r="H71">
            <v>0</v>
          </cell>
          <cell r="I71">
            <v>0</v>
          </cell>
        </row>
        <row r="72">
          <cell r="B72" t="str">
            <v>Phạm Sỹ Nguyên</v>
          </cell>
          <cell r="F72">
            <v>19</v>
          </cell>
          <cell r="G72">
            <v>8</v>
          </cell>
          <cell r="H72">
            <v>13500000</v>
          </cell>
          <cell r="I72">
            <v>13500000</v>
          </cell>
        </row>
        <row r="73">
          <cell r="B73" t="str">
            <v>Lê Văn Thành</v>
          </cell>
          <cell r="H73">
            <v>0</v>
          </cell>
          <cell r="I73">
            <v>0</v>
          </cell>
        </row>
        <row r="74">
          <cell r="B74" t="str">
            <v>Vũ Văn Thành</v>
          </cell>
          <cell r="H74">
            <v>0</v>
          </cell>
          <cell r="I74">
            <v>0</v>
          </cell>
        </row>
        <row r="75">
          <cell r="B75" t="str">
            <v>Vũ Văn Thỏa</v>
          </cell>
          <cell r="H75">
            <v>0</v>
          </cell>
          <cell r="I75">
            <v>0</v>
          </cell>
        </row>
        <row r="76">
          <cell r="B76" t="str">
            <v>Nguyễn Ngọc Vọng</v>
          </cell>
          <cell r="H76">
            <v>0</v>
          </cell>
          <cell r="I76">
            <v>0</v>
          </cell>
        </row>
        <row r="77">
          <cell r="B77" t="str">
            <v>Dương Hoàng An</v>
          </cell>
          <cell r="H77">
            <v>0</v>
          </cell>
          <cell r="I77">
            <v>0</v>
          </cell>
        </row>
        <row r="78">
          <cell r="B78" t="str">
            <v>Bùi Văn Bay</v>
          </cell>
          <cell r="H78">
            <v>0</v>
          </cell>
          <cell r="I78">
            <v>0</v>
          </cell>
        </row>
        <row r="79">
          <cell r="B79" t="str">
            <v>Hoàng Quang Cường</v>
          </cell>
          <cell r="H79">
            <v>0</v>
          </cell>
          <cell r="I79">
            <v>0</v>
          </cell>
        </row>
        <row r="80">
          <cell r="B80" t="str">
            <v>Vũ Văn Duân</v>
          </cell>
          <cell r="H80">
            <v>0</v>
          </cell>
          <cell r="I80">
            <v>0</v>
          </cell>
        </row>
        <row r="81">
          <cell r="B81" t="str">
            <v>Bùi Minh Đức</v>
          </cell>
          <cell r="H81">
            <v>0</v>
          </cell>
          <cell r="I81">
            <v>0</v>
          </cell>
        </row>
        <row r="82">
          <cell r="B82" t="str">
            <v>Nguyễn Đức Duy</v>
          </cell>
          <cell r="H82">
            <v>0</v>
          </cell>
          <cell r="I82">
            <v>0</v>
          </cell>
        </row>
        <row r="83">
          <cell r="B83" t="str">
            <v>Nông Văn Đường</v>
          </cell>
          <cell r="H83">
            <v>0</v>
          </cell>
          <cell r="I83">
            <v>0</v>
          </cell>
        </row>
        <row r="84">
          <cell r="B84" t="str">
            <v>Nguyễn Văn Hiếu</v>
          </cell>
          <cell r="H84">
            <v>0</v>
          </cell>
          <cell r="I84">
            <v>0</v>
          </cell>
        </row>
        <row r="85">
          <cell r="B85" t="str">
            <v>Trần Minh Hiếu</v>
          </cell>
          <cell r="H85">
            <v>0</v>
          </cell>
          <cell r="I85">
            <v>0</v>
          </cell>
        </row>
        <row r="86">
          <cell r="B86" t="str">
            <v>Nguyễn Đình Khẩn</v>
          </cell>
          <cell r="H86">
            <v>0</v>
          </cell>
          <cell r="I86">
            <v>0</v>
          </cell>
        </row>
        <row r="87">
          <cell r="B87" t="str">
            <v>Nguyễn Đức Linh</v>
          </cell>
          <cell r="H87">
            <v>0</v>
          </cell>
          <cell r="I87">
            <v>0</v>
          </cell>
        </row>
        <row r="88">
          <cell r="B88" t="str">
            <v>Lê Tất Mạnh</v>
          </cell>
          <cell r="H88">
            <v>0</v>
          </cell>
          <cell r="I88">
            <v>0</v>
          </cell>
        </row>
        <row r="89">
          <cell r="B89" t="str">
            <v>Đặng Hoàng Minh</v>
          </cell>
          <cell r="H89">
            <v>0</v>
          </cell>
          <cell r="I89">
            <v>0</v>
          </cell>
        </row>
        <row r="90">
          <cell r="B90" t="str">
            <v>Võ Duy Minh</v>
          </cell>
          <cell r="H90">
            <v>0</v>
          </cell>
          <cell r="I90">
            <v>0</v>
          </cell>
        </row>
        <row r="91">
          <cell r="B91" t="str">
            <v>Lê Hoài Nam</v>
          </cell>
          <cell r="H91">
            <v>0</v>
          </cell>
          <cell r="I91">
            <v>0</v>
          </cell>
        </row>
        <row r="92">
          <cell r="B92" t="str">
            <v>Đỗ Chí Nghĩa</v>
          </cell>
          <cell r="H92">
            <v>0</v>
          </cell>
          <cell r="I92">
            <v>0</v>
          </cell>
        </row>
        <row r="93">
          <cell r="B93" t="str">
            <v>Nghiêm Hải Ngọc</v>
          </cell>
          <cell r="H93">
            <v>0</v>
          </cell>
          <cell r="I93">
            <v>0</v>
          </cell>
        </row>
        <row r="94">
          <cell r="B94" t="str">
            <v>Đặng Đình Nhân</v>
          </cell>
          <cell r="H94">
            <v>0</v>
          </cell>
          <cell r="I94">
            <v>0</v>
          </cell>
        </row>
        <row r="95">
          <cell r="B95" t="str">
            <v>Nguyễn Đông Nhựt</v>
          </cell>
          <cell r="H95">
            <v>0</v>
          </cell>
          <cell r="I95">
            <v>0</v>
          </cell>
        </row>
        <row r="96">
          <cell r="B96" t="str">
            <v>Huỳnh Quốc Phong</v>
          </cell>
          <cell r="H96">
            <v>0</v>
          </cell>
          <cell r="I96">
            <v>0</v>
          </cell>
        </row>
        <row r="97">
          <cell r="B97" t="str">
            <v>Trần Phạm Ân Phước</v>
          </cell>
          <cell r="H97">
            <v>0</v>
          </cell>
          <cell r="I97">
            <v>0</v>
          </cell>
        </row>
        <row r="98">
          <cell r="B98" t="str">
            <v>Trần Ánh Sáng</v>
          </cell>
          <cell r="H98">
            <v>0</v>
          </cell>
          <cell r="I98">
            <v>0</v>
          </cell>
        </row>
        <row r="99">
          <cell r="B99" t="str">
            <v>Nguyễn Trường Sơn</v>
          </cell>
          <cell r="H99">
            <v>0</v>
          </cell>
          <cell r="I99">
            <v>0</v>
          </cell>
        </row>
        <row r="100">
          <cell r="B100" t="str">
            <v>Nguyễn Minh Tiến</v>
          </cell>
          <cell r="H100">
            <v>0</v>
          </cell>
          <cell r="I100">
            <v>0</v>
          </cell>
        </row>
        <row r="101">
          <cell r="B101" t="str">
            <v>Hứa Nguyễn Quốc Thái</v>
          </cell>
          <cell r="H101">
            <v>0</v>
          </cell>
          <cell r="I101">
            <v>0</v>
          </cell>
        </row>
        <row r="102">
          <cell r="B102" t="str">
            <v>Lê Trung Thành</v>
          </cell>
          <cell r="H102">
            <v>0</v>
          </cell>
          <cell r="I102">
            <v>0</v>
          </cell>
        </row>
        <row r="103">
          <cell r="B103" t="str">
            <v>Lê Công Viên</v>
          </cell>
          <cell r="H103">
            <v>0</v>
          </cell>
          <cell r="I103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D4CA7-3357-6A4C-85FE-CA7CF4242980}">
  <dimension ref="A1:AV168"/>
  <sheetViews>
    <sheetView tabSelected="1" topLeftCell="N1" workbookViewId="0">
      <selection activeCell="AH12" sqref="AH12:AO28"/>
    </sheetView>
  </sheetViews>
  <sheetFormatPr baseColWidth="10" defaultColWidth="9.1640625" defaultRowHeight="16" x14ac:dyDescent="0.2"/>
  <cols>
    <col min="1" max="1" width="5.1640625" style="12" customWidth="1"/>
    <col min="2" max="2" width="21.1640625" style="132" bestFit="1" customWidth="1"/>
    <col min="3" max="3" width="8.33203125" style="11" bestFit="1" customWidth="1"/>
    <col min="4" max="4" width="5" style="11" customWidth="1"/>
    <col min="5" max="5" width="3.33203125" style="11" customWidth="1"/>
    <col min="6" max="6" width="5" style="11" customWidth="1"/>
    <col min="7" max="8" width="13.5" style="12" bestFit="1" customWidth="1"/>
    <col min="9" max="9" width="11.33203125" style="12" customWidth="1"/>
    <col min="10" max="10" width="13.5" style="12" bestFit="1" customWidth="1"/>
    <col min="11" max="11" width="12.33203125" style="12" bestFit="1" customWidth="1"/>
    <col min="12" max="12" width="11.6640625" style="12" customWidth="1"/>
    <col min="13" max="13" width="12.1640625" style="11" customWidth="1"/>
    <col min="14" max="14" width="13.5" style="12" bestFit="1" customWidth="1"/>
    <col min="15" max="15" width="4.33203125" style="12" hidden="1" customWidth="1"/>
    <col min="16" max="16" width="8.6640625" style="12" hidden="1" customWidth="1"/>
    <col min="17" max="17" width="12.5" style="12" bestFit="1" customWidth="1"/>
    <col min="18" max="18" width="12.33203125" style="12" bestFit="1" customWidth="1"/>
    <col min="19" max="19" width="14.1640625" style="12" customWidth="1"/>
    <col min="20" max="20" width="12.33203125" style="12" bestFit="1" customWidth="1"/>
    <col min="21" max="21" width="13.5" style="12" bestFit="1" customWidth="1"/>
    <col min="22" max="22" width="14.33203125" style="12" bestFit="1" customWidth="1"/>
    <col min="23" max="23" width="14.83203125" style="12" bestFit="1" customWidth="1"/>
    <col min="24" max="24" width="4.1640625" style="12" bestFit="1" customWidth="1"/>
    <col min="25" max="25" width="13.33203125" style="12" customWidth="1"/>
    <col min="26" max="26" width="13" style="12" bestFit="1" customWidth="1"/>
    <col min="27" max="27" width="5.5" style="12" customWidth="1"/>
    <col min="28" max="28" width="11.83203125" style="12" bestFit="1" customWidth="1"/>
    <col min="29" max="29" width="17.6640625" style="12" customWidth="1"/>
    <col min="30" max="30" width="12" style="12" hidden="1" customWidth="1"/>
    <col min="31" max="31" width="13.1640625" style="12" hidden="1" customWidth="1"/>
    <col min="32" max="32" width="9.83203125" style="12" hidden="1" customWidth="1"/>
    <col min="33" max="33" width="13.33203125" style="12" bestFit="1" customWidth="1"/>
    <col min="34" max="34" width="8.6640625" style="12" customWidth="1"/>
    <col min="35" max="35" width="10.6640625" style="12" customWidth="1"/>
    <col min="36" max="36" width="8.6640625" style="12" bestFit="1" customWidth="1"/>
    <col min="37" max="37" width="8.33203125" style="12" customWidth="1"/>
    <col min="38" max="38" width="11.5" style="133" bestFit="1" customWidth="1"/>
    <col min="39" max="40" width="5.6640625" style="12" customWidth="1"/>
    <col min="41" max="41" width="15.5" style="12" customWidth="1"/>
    <col min="42" max="42" width="20" style="152" hidden="1" customWidth="1"/>
    <col min="43" max="43" width="19.5" style="152" hidden="1" customWidth="1"/>
    <col min="44" max="44" width="16.6640625" style="153" hidden="1" customWidth="1"/>
    <col min="45" max="45" width="15.1640625" style="152" hidden="1" customWidth="1"/>
    <col min="46" max="46" width="15.5" style="12" customWidth="1"/>
    <col min="47" max="47" width="32.5" style="12" customWidth="1"/>
    <col min="48" max="48" width="22.33203125" style="135" customWidth="1"/>
    <col min="49" max="16384" width="9.1640625" style="12"/>
  </cols>
  <sheetData>
    <row r="1" spans="1:48" x14ac:dyDescent="0.2">
      <c r="C1" s="12"/>
      <c r="D1" s="12"/>
      <c r="E1" s="12"/>
      <c r="F1" s="12"/>
      <c r="AP1" s="133"/>
      <c r="AQ1" s="133"/>
      <c r="AR1" s="134"/>
      <c r="AS1" s="133"/>
    </row>
    <row r="2" spans="1:48" ht="18" x14ac:dyDescent="0.2">
      <c r="A2" s="136" t="s">
        <v>101</v>
      </c>
      <c r="B2" s="136"/>
      <c r="C2" s="136"/>
      <c r="D2" s="136"/>
      <c r="E2" s="136"/>
      <c r="F2" s="136"/>
      <c r="K2" s="137"/>
      <c r="L2" s="137"/>
      <c r="M2" s="138"/>
      <c r="N2" s="137"/>
      <c r="O2" s="137"/>
      <c r="AP2" s="133"/>
      <c r="AQ2" s="133"/>
      <c r="AR2" s="134"/>
      <c r="AS2" s="133"/>
    </row>
    <row r="3" spans="1:48" s="137" customFormat="1" ht="18" x14ac:dyDescent="0.2">
      <c r="A3" s="139" t="s">
        <v>102</v>
      </c>
      <c r="B3" s="139"/>
      <c r="C3" s="139"/>
      <c r="D3" s="139"/>
      <c r="E3" s="139"/>
      <c r="F3" s="139"/>
      <c r="M3" s="138"/>
      <c r="V3" s="140"/>
      <c r="AC3" s="141"/>
      <c r="AL3" s="142"/>
      <c r="AP3" s="142"/>
      <c r="AQ3" s="142"/>
      <c r="AR3" s="143"/>
      <c r="AS3" s="142"/>
      <c r="AV3" s="144"/>
    </row>
    <row r="4" spans="1:48" s="137" customFormat="1" ht="1" customHeight="1" x14ac:dyDescent="0.2">
      <c r="B4" s="145"/>
      <c r="M4" s="138"/>
      <c r="AL4" s="142"/>
      <c r="AP4" s="142"/>
      <c r="AQ4" s="142"/>
      <c r="AR4" s="143"/>
      <c r="AS4" s="142"/>
      <c r="AV4" s="144"/>
    </row>
    <row r="5" spans="1:48" s="137" customFormat="1" ht="20" x14ac:dyDescent="0.2">
      <c r="A5" s="1" t="s">
        <v>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2"/>
      <c r="AE5" s="2"/>
      <c r="AF5" s="2"/>
      <c r="AG5" s="3"/>
      <c r="AH5" s="146"/>
      <c r="AI5" s="146"/>
      <c r="AL5" s="142"/>
      <c r="AP5" s="142"/>
      <c r="AQ5" s="142"/>
      <c r="AR5" s="143"/>
      <c r="AS5" s="142"/>
      <c r="AV5" s="144"/>
    </row>
    <row r="6" spans="1:48" s="138" customFormat="1" ht="18" hidden="1" x14ac:dyDescent="0.2">
      <c r="A6" s="4" t="s">
        <v>1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6"/>
      <c r="AF6" s="6"/>
      <c r="AG6" s="7"/>
      <c r="AH6" s="7"/>
      <c r="AI6" s="147"/>
      <c r="AL6" s="148"/>
      <c r="AM6" s="149"/>
      <c r="AN6" s="150"/>
      <c r="AP6" s="148"/>
      <c r="AQ6" s="148"/>
      <c r="AR6" s="151"/>
      <c r="AS6" s="148"/>
    </row>
    <row r="7" spans="1:48" s="11" customFormat="1" hidden="1" x14ac:dyDescent="0.2">
      <c r="A7" s="8"/>
      <c r="B7" s="9"/>
      <c r="C7" s="8"/>
      <c r="D7" s="8"/>
      <c r="E7" s="8"/>
      <c r="F7" s="8"/>
      <c r="G7" s="10"/>
      <c r="H7" s="8"/>
      <c r="I7" s="8"/>
      <c r="J7" s="10"/>
      <c r="K7" s="10"/>
      <c r="L7" s="8"/>
      <c r="N7" s="8"/>
      <c r="O7" s="8"/>
      <c r="P7" s="8"/>
      <c r="Q7" s="8"/>
      <c r="R7" s="8"/>
      <c r="S7" s="8"/>
      <c r="T7" s="10"/>
      <c r="U7" s="8"/>
      <c r="V7" s="8"/>
      <c r="W7" s="8"/>
      <c r="X7" s="8"/>
      <c r="Y7" s="12"/>
      <c r="Z7" s="8"/>
      <c r="AA7" s="8"/>
      <c r="AB7" s="8"/>
      <c r="AC7" s="8">
        <v>5307200</v>
      </c>
      <c r="AD7" s="13">
        <v>700000</v>
      </c>
      <c r="AE7" s="13"/>
      <c r="AF7" s="13"/>
      <c r="AG7" s="14"/>
      <c r="AI7" s="12"/>
      <c r="AL7" s="152"/>
      <c r="AP7" s="152"/>
      <c r="AQ7" s="152"/>
      <c r="AR7" s="153"/>
      <c r="AS7" s="152"/>
    </row>
    <row r="8" spans="1:48" s="11" customFormat="1" ht="17" hidden="1" x14ac:dyDescent="0.2">
      <c r="A8" s="15"/>
      <c r="B8" s="16"/>
      <c r="C8" s="15"/>
      <c r="D8" s="15"/>
      <c r="E8" s="15"/>
      <c r="F8" s="15"/>
      <c r="G8" s="17"/>
      <c r="H8" s="18"/>
      <c r="I8" s="18"/>
      <c r="J8" s="17"/>
      <c r="K8" s="17"/>
      <c r="L8" s="19"/>
      <c r="M8" s="20"/>
      <c r="N8" s="19"/>
      <c r="O8" s="19"/>
      <c r="P8" s="19"/>
      <c r="Q8" s="19"/>
      <c r="R8" s="21"/>
      <c r="S8" s="21"/>
      <c r="T8" s="22"/>
      <c r="U8" s="21"/>
      <c r="V8" s="21"/>
      <c r="W8" s="21"/>
      <c r="X8" s="21"/>
      <c r="Y8" s="23"/>
      <c r="Z8" s="21"/>
      <c r="AA8" s="21"/>
      <c r="AB8" s="21"/>
      <c r="AC8" s="21" t="s">
        <v>2</v>
      </c>
      <c r="AD8" s="24">
        <v>6200000</v>
      </c>
      <c r="AE8" s="24"/>
      <c r="AF8" s="24"/>
      <c r="AG8" s="25"/>
      <c r="AH8" s="154"/>
      <c r="AI8" s="29"/>
      <c r="AL8" s="152"/>
      <c r="AP8" s="152"/>
      <c r="AQ8" s="152"/>
      <c r="AR8" s="153"/>
      <c r="AS8" s="152"/>
    </row>
    <row r="9" spans="1:48" s="11" customFormat="1" ht="17" hidden="1" x14ac:dyDescent="0.2">
      <c r="A9" s="15"/>
      <c r="B9" s="16"/>
      <c r="C9" s="15"/>
      <c r="D9" s="15">
        <v>25</v>
      </c>
      <c r="E9" s="15"/>
      <c r="F9" s="15"/>
      <c r="G9" s="17"/>
      <c r="H9" s="18"/>
      <c r="I9" s="18"/>
      <c r="J9" s="17"/>
      <c r="K9" s="17"/>
      <c r="L9" s="19"/>
      <c r="M9" s="20"/>
      <c r="N9" s="19">
        <v>1175000</v>
      </c>
      <c r="O9" s="19"/>
      <c r="P9" s="19"/>
      <c r="Q9" s="19"/>
      <c r="R9" s="21"/>
      <c r="S9" s="21"/>
      <c r="T9" s="22"/>
      <c r="U9" s="21"/>
      <c r="V9" s="21"/>
      <c r="W9" s="21"/>
      <c r="X9" s="21"/>
      <c r="Y9" s="23"/>
      <c r="Z9" s="21"/>
      <c r="AA9" s="21"/>
      <c r="AB9" s="21" t="s">
        <v>3</v>
      </c>
      <c r="AC9" s="21" t="s">
        <v>4</v>
      </c>
      <c r="AD9" s="24">
        <v>1200000</v>
      </c>
      <c r="AE9" s="24"/>
      <c r="AF9" s="24"/>
      <c r="AG9" s="25"/>
      <c r="AH9" s="154"/>
      <c r="AI9" s="29"/>
      <c r="AL9" s="152"/>
      <c r="AP9" s="152"/>
      <c r="AQ9" s="152"/>
      <c r="AR9" s="153"/>
      <c r="AS9" s="152"/>
    </row>
    <row r="10" spans="1:48" ht="20" hidden="1" x14ac:dyDescent="0.2">
      <c r="A10" s="26" t="s">
        <v>5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7"/>
      <c r="AE10" s="27"/>
      <c r="AF10" s="27"/>
      <c r="AG10" s="28"/>
      <c r="AH10" s="29"/>
      <c r="AI10" s="29"/>
      <c r="AP10" s="133"/>
      <c r="AQ10" s="133"/>
      <c r="AR10" s="134"/>
      <c r="AS10" s="133"/>
    </row>
    <row r="11" spans="1:48" ht="17" hidden="1" x14ac:dyDescent="0.2">
      <c r="A11" s="29"/>
      <c r="B11" s="30"/>
      <c r="C11" s="29"/>
      <c r="D11" s="31"/>
      <c r="E11" s="31"/>
      <c r="F11" s="31"/>
      <c r="G11" s="32"/>
      <c r="H11" s="32"/>
      <c r="I11" s="33"/>
      <c r="J11" s="33" t="s">
        <v>6</v>
      </c>
      <c r="K11" s="33"/>
      <c r="L11" s="33"/>
      <c r="M11" s="34"/>
      <c r="N11" s="33"/>
      <c r="O11" s="33"/>
      <c r="P11" s="33"/>
      <c r="Q11" s="33"/>
      <c r="R11" s="23"/>
      <c r="S11" s="23"/>
      <c r="T11" s="23" t="s">
        <v>6</v>
      </c>
      <c r="U11" s="23"/>
      <c r="V11" s="23"/>
      <c r="W11" s="23"/>
      <c r="X11" s="23"/>
      <c r="Y11" s="23"/>
      <c r="Z11" s="23"/>
      <c r="AA11" s="23"/>
      <c r="AB11" s="23"/>
      <c r="AC11" s="23"/>
      <c r="AD11" s="35"/>
      <c r="AE11" s="35"/>
      <c r="AF11" s="35"/>
      <c r="AG11" s="36"/>
      <c r="AH11" s="29"/>
      <c r="AI11" s="29"/>
      <c r="AL11" s="155"/>
      <c r="AM11" s="155"/>
      <c r="AN11" s="155"/>
      <c r="AP11" s="133"/>
      <c r="AQ11" s="133"/>
      <c r="AR11" s="134"/>
      <c r="AS11" s="133"/>
    </row>
    <row r="12" spans="1:48" ht="50.5" customHeight="1" x14ac:dyDescent="0.2">
      <c r="A12" s="37" t="s">
        <v>7</v>
      </c>
      <c r="B12" s="38" t="s">
        <v>8</v>
      </c>
      <c r="C12" s="39" t="s">
        <v>9</v>
      </c>
      <c r="D12" s="40" t="s">
        <v>10</v>
      </c>
      <c r="E12" s="40"/>
      <c r="F12" s="40"/>
      <c r="G12" s="41" t="s">
        <v>11</v>
      </c>
      <c r="H12" s="42"/>
      <c r="I12" s="43" t="s">
        <v>12</v>
      </c>
      <c r="J12" s="44" t="s">
        <v>13</v>
      </c>
      <c r="K12" s="45" t="s">
        <v>14</v>
      </c>
      <c r="L12" s="46" t="s">
        <v>15</v>
      </c>
      <c r="M12" s="46" t="s">
        <v>16</v>
      </c>
      <c r="N12" s="47" t="s">
        <v>17</v>
      </c>
      <c r="O12" s="48"/>
      <c r="P12" s="48"/>
      <c r="Q12" s="49" t="s">
        <v>18</v>
      </c>
      <c r="R12" s="50" t="s">
        <v>19</v>
      </c>
      <c r="S12" s="51" t="s">
        <v>20</v>
      </c>
      <c r="T12" s="51" t="s">
        <v>21</v>
      </c>
      <c r="U12" s="51" t="s">
        <v>22</v>
      </c>
      <c r="V12" s="51" t="s">
        <v>23</v>
      </c>
      <c r="W12" s="51" t="s">
        <v>24</v>
      </c>
      <c r="X12" s="52" t="s">
        <v>25</v>
      </c>
      <c r="Y12" s="53" t="s">
        <v>26</v>
      </c>
      <c r="Z12" s="53" t="s">
        <v>27</v>
      </c>
      <c r="AA12" s="54" t="s">
        <v>28</v>
      </c>
      <c r="AB12" s="53" t="s">
        <v>29</v>
      </c>
      <c r="AC12" s="55" t="s">
        <v>30</v>
      </c>
      <c r="AD12" s="50" t="s">
        <v>31</v>
      </c>
      <c r="AE12" s="56" t="s">
        <v>32</v>
      </c>
      <c r="AF12" s="50"/>
      <c r="AG12" s="57" t="s">
        <v>33</v>
      </c>
      <c r="AH12" s="156"/>
      <c r="AI12" s="156"/>
      <c r="AJ12" s="157"/>
      <c r="AK12" s="157"/>
      <c r="AL12" s="158"/>
      <c r="AM12" s="158"/>
      <c r="AN12" s="158"/>
      <c r="AO12" s="159"/>
      <c r="AP12" s="160" t="s">
        <v>103</v>
      </c>
      <c r="AQ12" s="160"/>
      <c r="AR12" s="160"/>
      <c r="AS12" s="160"/>
    </row>
    <row r="13" spans="1:48" s="169" customFormat="1" ht="17" x14ac:dyDescent="0.2">
      <c r="A13" s="58"/>
      <c r="B13" s="59" t="s">
        <v>34</v>
      </c>
      <c r="C13" s="58"/>
      <c r="D13" s="60"/>
      <c r="E13" s="60"/>
      <c r="F13" s="60"/>
      <c r="G13" s="61">
        <f>SUM(G14:G68)</f>
        <v>326211336</v>
      </c>
      <c r="H13" s="61">
        <f t="shared" ref="H13:M13" si="0">SUM(H14:H68)</f>
        <v>0</v>
      </c>
      <c r="I13" s="61">
        <f t="shared" si="0"/>
        <v>0</v>
      </c>
      <c r="J13" s="61">
        <f>SUM(J14:J68)</f>
        <v>55000000</v>
      </c>
      <c r="K13" s="61">
        <f t="shared" si="0"/>
        <v>55000000</v>
      </c>
      <c r="L13" s="61">
        <f t="shared" si="0"/>
        <v>0</v>
      </c>
      <c r="M13" s="61">
        <f t="shared" si="0"/>
        <v>39560246</v>
      </c>
      <c r="N13" s="61">
        <f>SUM(N14:N97)</f>
        <v>480000000</v>
      </c>
      <c r="O13" s="61">
        <f t="shared" ref="O13:AE13" si="1">SUM(O14:O68)</f>
        <v>0</v>
      </c>
      <c r="P13" s="61">
        <f t="shared" si="1"/>
        <v>0</v>
      </c>
      <c r="Q13" s="61">
        <f t="shared" si="1"/>
        <v>55500000</v>
      </c>
      <c r="R13" s="61">
        <f t="shared" si="1"/>
        <v>0</v>
      </c>
      <c r="S13" s="61">
        <f t="shared" si="1"/>
        <v>962271582</v>
      </c>
      <c r="T13" s="61">
        <f t="shared" si="1"/>
        <v>27442611</v>
      </c>
      <c r="U13" s="61">
        <f t="shared" si="1"/>
        <v>56192013</v>
      </c>
      <c r="V13" s="61">
        <f t="shared" si="1"/>
        <v>851771582</v>
      </c>
      <c r="W13" s="61">
        <f t="shared" si="1"/>
        <v>852500000</v>
      </c>
      <c r="X13" s="61">
        <f t="shared" si="1"/>
        <v>23</v>
      </c>
      <c r="Y13" s="61">
        <f t="shared" si="1"/>
        <v>142600000</v>
      </c>
      <c r="Z13" s="61">
        <f t="shared" si="1"/>
        <v>162208198.5</v>
      </c>
      <c r="AA13" s="61">
        <f t="shared" si="1"/>
        <v>25</v>
      </c>
      <c r="AB13" s="61">
        <f t="shared" si="1"/>
        <v>12229244.275000002</v>
      </c>
      <c r="AC13" s="62">
        <f t="shared" si="1"/>
        <v>922599726.72500002</v>
      </c>
      <c r="AD13" s="61">
        <f t="shared" si="1"/>
        <v>0</v>
      </c>
      <c r="AE13" s="61">
        <f t="shared" si="1"/>
        <v>0</v>
      </c>
      <c r="AF13" s="61"/>
      <c r="AG13" s="61">
        <f>SUM(AG14:AG68)</f>
        <v>437432901.5</v>
      </c>
      <c r="AH13" s="161" t="s">
        <v>104</v>
      </c>
      <c r="AI13" s="161" t="s">
        <v>105</v>
      </c>
      <c r="AJ13" s="162" t="s">
        <v>106</v>
      </c>
      <c r="AK13" s="162" t="s">
        <v>89</v>
      </c>
      <c r="AL13" s="163" t="s">
        <v>107</v>
      </c>
      <c r="AM13" s="164"/>
      <c r="AN13" s="165"/>
      <c r="AO13" s="166"/>
      <c r="AP13" s="167"/>
      <c r="AQ13" s="167"/>
      <c r="AR13" s="168"/>
      <c r="AS13" s="167"/>
      <c r="AU13" s="170"/>
      <c r="AV13" s="171"/>
    </row>
    <row r="14" spans="1:48" ht="21.75" customHeight="1" x14ac:dyDescent="0.2">
      <c r="A14" s="63">
        <v>1</v>
      </c>
      <c r="B14" s="64" t="s">
        <v>35</v>
      </c>
      <c r="C14" s="65" t="s">
        <v>36</v>
      </c>
      <c r="D14" s="66"/>
      <c r="E14" s="66"/>
      <c r="F14" s="66"/>
      <c r="G14" s="67">
        <v>5681700</v>
      </c>
      <c r="H14" s="68"/>
      <c r="I14" s="69">
        <v>0</v>
      </c>
      <c r="J14" s="70">
        <v>1000000</v>
      </c>
      <c r="K14" s="70">
        <v>1000000</v>
      </c>
      <c r="L14" s="71"/>
      <c r="M14" s="72">
        <f>VLOOKUP(B14,'[1]BK TT'!B20:I120,8,0)</f>
        <v>1500000</v>
      </c>
      <c r="N14" s="73">
        <f t="shared" ref="N14:N77" si="2">AH14*$D$161+(AI14+AJ14)*$D$162+AK14*$D$164</f>
        <v>21000000</v>
      </c>
      <c r="O14" s="74"/>
      <c r="P14" s="74"/>
      <c r="Q14" s="75"/>
      <c r="R14" s="75"/>
      <c r="S14" s="76">
        <f>G14+H14+I14+J14+L14+M14+N14+Q14+K14+R14</f>
        <v>30181700</v>
      </c>
      <c r="T14" s="77">
        <v>596578.5</v>
      </c>
      <c r="U14" s="78">
        <v>1221565.5</v>
      </c>
      <c r="V14" s="72">
        <f>S14-J14-R14-Q14</f>
        <v>29181700</v>
      </c>
      <c r="W14" s="78">
        <v>15500000</v>
      </c>
      <c r="X14" s="79"/>
      <c r="Y14" s="78">
        <f>X14*$AD$8</f>
        <v>0</v>
      </c>
      <c r="Z14" s="80">
        <f t="shared" ref="Z14:Z77" si="3">MAX(V14-T14-W14-Y14,0)</f>
        <v>13085121.5</v>
      </c>
      <c r="AA14" s="72">
        <f t="shared" ref="AA14:AA77" si="4">IF(Z14=0,0,IF(Z14&lt;=10000000,1,IF(Z14&lt;=30000000,2,IF(Z14&lt;=60000000,3,IF(Z14&lt;=100000000,4,5)))))</f>
        <v>2</v>
      </c>
      <c r="AB14" s="72">
        <f t="shared" ref="AB14:AB68" si="5">IF(Z14&gt;0,IF(AA14=1,Z14*5%,IF(AA14=2,Z14*10%-500000,IF(AA14=3,Z14*20%-3500000,IF(AA14=4,Z14*30%-9500000,IF(AA14=5,Z14*35%-14500000))))),0)</f>
        <v>808512.15000000014</v>
      </c>
      <c r="AC14" s="72">
        <f>S14-T14-AB14</f>
        <v>28776609.350000001</v>
      </c>
      <c r="AD14" s="81"/>
      <c r="AE14" s="76"/>
      <c r="AF14" s="82"/>
      <c r="AG14" s="78">
        <f>G14+J14+K14+U14</f>
        <v>8903265.5</v>
      </c>
      <c r="AH14" s="172"/>
      <c r="AI14" s="173"/>
      <c r="AJ14" s="174">
        <v>7</v>
      </c>
      <c r="AK14" s="175"/>
      <c r="AL14" s="176"/>
      <c r="AM14" s="177"/>
      <c r="AN14" s="178"/>
      <c r="AO14" s="179">
        <f>N13</f>
        <v>480000000</v>
      </c>
      <c r="AP14" s="180">
        <f>S14-J14</f>
        <v>29181700</v>
      </c>
      <c r="AQ14" s="180">
        <f>MAX(AP14-T14-W14-Y14,0)</f>
        <v>13085121.5</v>
      </c>
      <c r="AR14" s="181">
        <f t="shared" ref="AR14:AR67" si="6">IF(AQ14&lt;=10000000,AQ14*5%,IF(AQ14&lt;=30000000,10000000*5%+(AQ14-10000000)*10%,IF(AQ14&lt;=60000000,10000000*5%+20000000*10%+(AQ14-30000000)*20%,IF(AQ14&lt;=100000000,10000000*5%+20000000*10%+30000000*20%+(AQ14-60000000)*30%,10000000*5%+20000000*10%+30000000*20%+40000000*30%+(AQ14-100000000)*35%))))</f>
        <v>808512.15</v>
      </c>
      <c r="AS14" s="180">
        <f>S14-AR14-T14</f>
        <v>28776609.350000001</v>
      </c>
      <c r="AT14" s="182">
        <f>AH98*2000000+AI98*3000000+AJ98*3000000+AK98*1100000</f>
        <v>480000000</v>
      </c>
      <c r="AU14" s="183" t="s">
        <v>108</v>
      </c>
      <c r="AV14" s="12"/>
    </row>
    <row r="15" spans="1:48" s="11" customFormat="1" ht="21.75" customHeight="1" x14ac:dyDescent="0.2">
      <c r="A15" s="83">
        <v>2</v>
      </c>
      <c r="B15" s="64" t="s">
        <v>37</v>
      </c>
      <c r="C15" s="84" t="s">
        <v>36</v>
      </c>
      <c r="D15" s="85"/>
      <c r="E15" s="85"/>
      <c r="F15" s="85"/>
      <c r="G15" s="86">
        <v>5681700</v>
      </c>
      <c r="H15" s="87"/>
      <c r="I15" s="88">
        <v>0</v>
      </c>
      <c r="J15" s="86">
        <v>1000000</v>
      </c>
      <c r="K15" s="86">
        <v>1000000</v>
      </c>
      <c r="L15" s="79"/>
      <c r="M15" s="72">
        <f>VLOOKUP(B15,'[1]BK TT'!B22:I121,8,0)</f>
        <v>0</v>
      </c>
      <c r="N15" s="73">
        <f t="shared" si="2"/>
        <v>0</v>
      </c>
      <c r="O15" s="89"/>
      <c r="P15" s="87"/>
      <c r="Q15" s="90">
        <v>1000000</v>
      </c>
      <c r="R15" s="90"/>
      <c r="S15" s="76">
        <f t="shared" ref="S15:S78" si="7">G15+H15+I15+J15-L15+M15+N15+Q15+K15+R15</f>
        <v>8681700</v>
      </c>
      <c r="T15" s="77">
        <v>596578.5</v>
      </c>
      <c r="U15" s="78">
        <v>1221565.5</v>
      </c>
      <c r="V15" s="72">
        <f t="shared" ref="V15:V68" si="8">S15-J15-R15-Q15</f>
        <v>6681700</v>
      </c>
      <c r="W15" s="78">
        <v>15500000</v>
      </c>
      <c r="X15" s="79"/>
      <c r="Y15" s="78"/>
      <c r="Z15" s="80">
        <f t="shared" si="3"/>
        <v>0</v>
      </c>
      <c r="AA15" s="72">
        <f t="shared" si="4"/>
        <v>0</v>
      </c>
      <c r="AB15" s="72">
        <f t="shared" si="5"/>
        <v>0</v>
      </c>
      <c r="AC15" s="72">
        <f t="shared" ref="AC15:AC78" si="9">S15-T15-AB15</f>
        <v>8085121.5</v>
      </c>
      <c r="AD15" s="81"/>
      <c r="AE15" s="91"/>
      <c r="AF15" s="91">
        <v>12085122</v>
      </c>
      <c r="AG15" s="78">
        <f t="shared" ref="AG15:AG68" si="10">G15+J15+K15</f>
        <v>7681700</v>
      </c>
      <c r="AH15" s="172"/>
      <c r="AI15" s="173"/>
      <c r="AJ15" s="174"/>
      <c r="AK15" s="184"/>
      <c r="AL15" s="185"/>
      <c r="AM15" s="186"/>
      <c r="AN15" s="187"/>
      <c r="AO15" s="188"/>
      <c r="AP15" s="152"/>
      <c r="AQ15" s="152"/>
      <c r="AR15" s="153"/>
      <c r="AS15" s="152"/>
      <c r="AU15" s="183" t="s">
        <v>109</v>
      </c>
    </row>
    <row r="16" spans="1:48" s="11" customFormat="1" ht="21.75" customHeight="1" x14ac:dyDescent="0.2">
      <c r="A16" s="63">
        <v>3</v>
      </c>
      <c r="B16" s="92" t="s">
        <v>38</v>
      </c>
      <c r="C16" s="93" t="s">
        <v>36</v>
      </c>
      <c r="D16" s="94"/>
      <c r="E16" s="94"/>
      <c r="F16" s="94"/>
      <c r="G16" s="95">
        <v>5681700</v>
      </c>
      <c r="H16" s="96"/>
      <c r="I16" s="97">
        <v>0</v>
      </c>
      <c r="J16" s="95">
        <v>1000000</v>
      </c>
      <c r="K16" s="95">
        <v>1000000</v>
      </c>
      <c r="L16" s="98"/>
      <c r="M16" s="72">
        <f>VLOOKUP(B16,'[1]BK TT'!B23:I122,8,0)</f>
        <v>0</v>
      </c>
      <c r="N16" s="73">
        <f t="shared" si="2"/>
        <v>0</v>
      </c>
      <c r="O16" s="99"/>
      <c r="P16" s="96"/>
      <c r="Q16" s="90">
        <v>1000000</v>
      </c>
      <c r="R16" s="90"/>
      <c r="S16" s="76">
        <f>G16+H16+I16+J16-L16+M16+N16+Q16+K16+R16</f>
        <v>8681700</v>
      </c>
      <c r="T16" s="100">
        <v>596578.5</v>
      </c>
      <c r="U16" s="72">
        <v>1221565.5</v>
      </c>
      <c r="V16" s="72">
        <f t="shared" si="8"/>
        <v>6681700</v>
      </c>
      <c r="W16" s="72">
        <v>15500000</v>
      </c>
      <c r="X16" s="98"/>
      <c r="Y16" s="72">
        <f t="shared" ref="Y16:Y68" si="11">X16*$AD$8</f>
        <v>0</v>
      </c>
      <c r="Z16" s="80">
        <f t="shared" si="3"/>
        <v>0</v>
      </c>
      <c r="AA16" s="72">
        <f t="shared" si="4"/>
        <v>0</v>
      </c>
      <c r="AB16" s="72">
        <f t="shared" si="5"/>
        <v>0</v>
      </c>
      <c r="AC16" s="72">
        <f t="shared" si="9"/>
        <v>8085121.5</v>
      </c>
      <c r="AD16" s="81"/>
      <c r="AE16" s="91"/>
      <c r="AF16" s="91"/>
      <c r="AG16" s="78">
        <f t="shared" si="10"/>
        <v>7681700</v>
      </c>
      <c r="AH16" s="189"/>
      <c r="AI16" s="190"/>
      <c r="AJ16" s="191"/>
      <c r="AK16" s="192"/>
      <c r="AL16" s="193"/>
      <c r="AM16" s="194"/>
      <c r="AN16" s="195"/>
      <c r="AO16" s="196"/>
      <c r="AP16" s="152">
        <f t="shared" ref="AP16:AP58" si="12">S16-J16</f>
        <v>7681700</v>
      </c>
      <c r="AQ16" s="152">
        <f t="shared" ref="AQ16:AQ58" si="13">MAX(AP16-T16-W16-Y16,0)</f>
        <v>0</v>
      </c>
      <c r="AR16" s="153">
        <f t="shared" si="6"/>
        <v>0</v>
      </c>
      <c r="AS16" s="152">
        <f t="shared" ref="AS16:AS58" si="14">S16-AR16-T16</f>
        <v>8085121.5</v>
      </c>
      <c r="AU16" s="197" t="s">
        <v>110</v>
      </c>
    </row>
    <row r="17" spans="1:48" s="11" customFormat="1" ht="21.75" customHeight="1" x14ac:dyDescent="0.2">
      <c r="A17" s="83">
        <v>4</v>
      </c>
      <c r="B17" s="92" t="s">
        <v>39</v>
      </c>
      <c r="C17" s="101" t="s">
        <v>40</v>
      </c>
      <c r="D17" s="94"/>
      <c r="E17" s="94"/>
      <c r="F17" s="94"/>
      <c r="G17" s="95">
        <v>5681700</v>
      </c>
      <c r="H17" s="96"/>
      <c r="I17" s="97">
        <v>0</v>
      </c>
      <c r="J17" s="95">
        <v>1000000</v>
      </c>
      <c r="K17" s="95">
        <v>1000000</v>
      </c>
      <c r="L17" s="98"/>
      <c r="M17" s="72">
        <f>VLOOKUP(B17,'[1]BK TT'!B24:I123,8,0)</f>
        <v>0</v>
      </c>
      <c r="N17" s="73">
        <f t="shared" si="2"/>
        <v>3000000</v>
      </c>
      <c r="O17" s="99"/>
      <c r="P17" s="96"/>
      <c r="Q17" s="90">
        <v>1000000</v>
      </c>
      <c r="R17" s="90"/>
      <c r="S17" s="76">
        <f>G17+H17+I17+J17-L17+M17+N17+Q17+K17+R17</f>
        <v>11681700</v>
      </c>
      <c r="T17" s="100">
        <v>596578.5</v>
      </c>
      <c r="U17" s="72">
        <v>1221565.5</v>
      </c>
      <c r="V17" s="72">
        <f t="shared" si="8"/>
        <v>9681700</v>
      </c>
      <c r="W17" s="72">
        <v>15500000</v>
      </c>
      <c r="X17" s="98"/>
      <c r="Y17" s="72">
        <f t="shared" si="11"/>
        <v>0</v>
      </c>
      <c r="Z17" s="80">
        <f t="shared" si="3"/>
        <v>0</v>
      </c>
      <c r="AA17" s="72">
        <v>2</v>
      </c>
      <c r="AB17" s="72">
        <f t="shared" si="5"/>
        <v>0</v>
      </c>
      <c r="AC17" s="72">
        <f t="shared" si="9"/>
        <v>11085121.5</v>
      </c>
      <c r="AD17" s="81"/>
      <c r="AE17" s="91"/>
      <c r="AF17" s="91">
        <v>29722159</v>
      </c>
      <c r="AG17" s="78">
        <f t="shared" si="10"/>
        <v>7681700</v>
      </c>
      <c r="AH17" s="189"/>
      <c r="AI17" s="190">
        <v>1</v>
      </c>
      <c r="AJ17" s="191"/>
      <c r="AK17" s="192"/>
      <c r="AL17" s="193"/>
      <c r="AM17" s="194"/>
      <c r="AN17" s="195"/>
      <c r="AO17" s="198"/>
      <c r="AP17" s="152">
        <f t="shared" si="12"/>
        <v>10681700</v>
      </c>
      <c r="AQ17" s="152">
        <f t="shared" si="13"/>
        <v>0</v>
      </c>
      <c r="AR17" s="153">
        <f t="shared" si="6"/>
        <v>0</v>
      </c>
      <c r="AS17" s="152">
        <f t="shared" si="14"/>
        <v>11085121.5</v>
      </c>
      <c r="AU17" s="199" t="s">
        <v>111</v>
      </c>
      <c r="AV17" s="171"/>
    </row>
    <row r="18" spans="1:48" s="11" customFormat="1" ht="21.75" customHeight="1" x14ac:dyDescent="0.2">
      <c r="A18" s="63">
        <v>5</v>
      </c>
      <c r="B18" s="92" t="s">
        <v>41</v>
      </c>
      <c r="C18" s="102" t="s">
        <v>40</v>
      </c>
      <c r="D18" s="94"/>
      <c r="E18" s="94"/>
      <c r="F18" s="94"/>
      <c r="G18" s="95">
        <v>5681700</v>
      </c>
      <c r="H18" s="96"/>
      <c r="I18" s="97">
        <v>0</v>
      </c>
      <c r="J18" s="95">
        <v>1000000</v>
      </c>
      <c r="K18" s="95">
        <v>1000000</v>
      </c>
      <c r="L18" s="98"/>
      <c r="M18" s="72">
        <f>VLOOKUP(B18,'[1]BK TT'!B25:I124,8,0)</f>
        <v>0</v>
      </c>
      <c r="N18" s="73">
        <f t="shared" si="2"/>
        <v>13000000</v>
      </c>
      <c r="O18" s="99"/>
      <c r="P18" s="96"/>
      <c r="Q18" s="90">
        <v>1000000</v>
      </c>
      <c r="R18" s="90"/>
      <c r="S18" s="76">
        <f>G18+H18+I18+J18-L18+M18+N18+Q18+K18+R18</f>
        <v>21681700</v>
      </c>
      <c r="T18" s="100">
        <v>596578.5</v>
      </c>
      <c r="U18" s="72">
        <v>1221565.5</v>
      </c>
      <c r="V18" s="72">
        <f t="shared" si="8"/>
        <v>19681700</v>
      </c>
      <c r="W18" s="72">
        <v>15500000</v>
      </c>
      <c r="X18" s="98"/>
      <c r="Y18" s="72">
        <f t="shared" si="11"/>
        <v>0</v>
      </c>
      <c r="Z18" s="80">
        <f t="shared" si="3"/>
        <v>3585121.5</v>
      </c>
      <c r="AA18" s="72">
        <f t="shared" si="4"/>
        <v>1</v>
      </c>
      <c r="AB18" s="72">
        <f t="shared" si="5"/>
        <v>179256.07500000001</v>
      </c>
      <c r="AC18" s="72">
        <f t="shared" si="9"/>
        <v>20905865.425000001</v>
      </c>
      <c r="AD18" s="81"/>
      <c r="AE18" s="91"/>
      <c r="AF18" s="91">
        <v>9085122</v>
      </c>
      <c r="AG18" s="78">
        <f t="shared" si="10"/>
        <v>7681700</v>
      </c>
      <c r="AH18" s="189">
        <v>2</v>
      </c>
      <c r="AI18" s="190">
        <v>3</v>
      </c>
      <c r="AJ18" s="191"/>
      <c r="AK18" s="192"/>
      <c r="AL18" s="193"/>
      <c r="AM18" s="194"/>
      <c r="AN18" s="195"/>
      <c r="AO18" s="196"/>
      <c r="AP18" s="152">
        <f t="shared" si="12"/>
        <v>20681700</v>
      </c>
      <c r="AQ18" s="152">
        <f t="shared" si="13"/>
        <v>4585121.5</v>
      </c>
      <c r="AR18" s="153">
        <f t="shared" si="6"/>
        <v>229256.07500000001</v>
      </c>
      <c r="AS18" s="152">
        <f t="shared" si="14"/>
        <v>20855865.425000001</v>
      </c>
      <c r="AU18" s="197" t="s">
        <v>112</v>
      </c>
      <c r="AV18" s="171"/>
    </row>
    <row r="19" spans="1:48" s="11" customFormat="1" ht="21.75" customHeight="1" x14ac:dyDescent="0.2">
      <c r="A19" s="83">
        <v>6</v>
      </c>
      <c r="B19" s="92" t="s">
        <v>42</v>
      </c>
      <c r="C19" s="103" t="s">
        <v>40</v>
      </c>
      <c r="D19" s="94"/>
      <c r="E19" s="94"/>
      <c r="F19" s="94"/>
      <c r="G19" s="95">
        <v>5681700</v>
      </c>
      <c r="H19" s="96"/>
      <c r="I19" s="97">
        <v>0</v>
      </c>
      <c r="J19" s="95">
        <v>1000000</v>
      </c>
      <c r="K19" s="95">
        <v>1000000</v>
      </c>
      <c r="L19" s="98"/>
      <c r="M19" s="72">
        <f>VLOOKUP(B19,'[1]BK TT'!B26:I125,8,0)</f>
        <v>0</v>
      </c>
      <c r="N19" s="73">
        <f t="shared" si="2"/>
        <v>0</v>
      </c>
      <c r="O19" s="99"/>
      <c r="P19" s="96"/>
      <c r="Q19" s="90">
        <v>1000000</v>
      </c>
      <c r="R19" s="90"/>
      <c r="S19" s="76">
        <f>G19+H19+I19+J19-L19+M19+N19+Q19+K19+R19</f>
        <v>8681700</v>
      </c>
      <c r="T19" s="100">
        <v>596578.5</v>
      </c>
      <c r="U19" s="72">
        <v>1221565.5</v>
      </c>
      <c r="V19" s="72">
        <f t="shared" si="8"/>
        <v>6681700</v>
      </c>
      <c r="W19" s="72">
        <v>15500000</v>
      </c>
      <c r="X19" s="98"/>
      <c r="Y19" s="72">
        <f t="shared" si="11"/>
        <v>0</v>
      </c>
      <c r="Z19" s="80">
        <f t="shared" si="3"/>
        <v>0</v>
      </c>
      <c r="AA19" s="72">
        <f t="shared" si="4"/>
        <v>0</v>
      </c>
      <c r="AB19" s="72">
        <f t="shared" si="5"/>
        <v>0</v>
      </c>
      <c r="AC19" s="72">
        <f t="shared" si="9"/>
        <v>8085121.5</v>
      </c>
      <c r="AD19" s="81"/>
      <c r="AE19" s="91"/>
      <c r="AF19" s="91">
        <v>9085122</v>
      </c>
      <c r="AG19" s="78">
        <f t="shared" si="10"/>
        <v>7681700</v>
      </c>
      <c r="AH19" s="189"/>
      <c r="AI19" s="190"/>
      <c r="AJ19" s="191"/>
      <c r="AK19" s="192"/>
      <c r="AL19" s="193"/>
      <c r="AM19" s="194"/>
      <c r="AN19" s="195"/>
      <c r="AO19" s="196"/>
      <c r="AP19" s="152">
        <f t="shared" si="12"/>
        <v>7681700</v>
      </c>
      <c r="AQ19" s="152">
        <f t="shared" si="13"/>
        <v>0</v>
      </c>
      <c r="AR19" s="153">
        <f t="shared" si="6"/>
        <v>0</v>
      </c>
      <c r="AS19" s="152">
        <f t="shared" si="14"/>
        <v>8085121.5</v>
      </c>
      <c r="AU19" s="197" t="s">
        <v>113</v>
      </c>
      <c r="AV19" s="171"/>
    </row>
    <row r="20" spans="1:48" s="11" customFormat="1" ht="19.25" customHeight="1" x14ac:dyDescent="0.2">
      <c r="A20" s="63">
        <v>7</v>
      </c>
      <c r="B20" s="92" t="s">
        <v>43</v>
      </c>
      <c r="C20" s="93" t="s">
        <v>36</v>
      </c>
      <c r="D20" s="94"/>
      <c r="E20" s="94"/>
      <c r="F20" s="94"/>
      <c r="G20" s="95">
        <v>5681700</v>
      </c>
      <c r="H20" s="96"/>
      <c r="I20" s="97">
        <v>0</v>
      </c>
      <c r="J20" s="95">
        <v>1000000</v>
      </c>
      <c r="K20" s="95">
        <v>1000000</v>
      </c>
      <c r="L20" s="98"/>
      <c r="M20" s="72">
        <f>VLOOKUP(B20,'[1]BK TT'!B27:I126,8,0)</f>
        <v>0</v>
      </c>
      <c r="N20" s="73">
        <f t="shared" si="2"/>
        <v>2000000</v>
      </c>
      <c r="O20" s="99"/>
      <c r="P20" s="96"/>
      <c r="Q20" s="90">
        <v>1000000</v>
      </c>
      <c r="R20" s="90"/>
      <c r="S20" s="76">
        <f>G20+H20+I20+J20-L20+M20+N20+Q20+K20+R20</f>
        <v>10681700</v>
      </c>
      <c r="T20" s="100">
        <v>596578.5</v>
      </c>
      <c r="U20" s="72">
        <v>1221565.5</v>
      </c>
      <c r="V20" s="72">
        <f t="shared" si="8"/>
        <v>8681700</v>
      </c>
      <c r="W20" s="72">
        <v>15500000</v>
      </c>
      <c r="X20" s="98"/>
      <c r="Y20" s="72">
        <f t="shared" si="11"/>
        <v>0</v>
      </c>
      <c r="Z20" s="80">
        <f t="shared" si="3"/>
        <v>0</v>
      </c>
      <c r="AA20" s="72">
        <f t="shared" si="4"/>
        <v>0</v>
      </c>
      <c r="AB20" s="72">
        <f t="shared" si="5"/>
        <v>0</v>
      </c>
      <c r="AC20" s="72">
        <f t="shared" si="9"/>
        <v>10085121.5</v>
      </c>
      <c r="AD20" s="81"/>
      <c r="AE20" s="91"/>
      <c r="AF20" s="91"/>
      <c r="AG20" s="78">
        <f t="shared" si="10"/>
        <v>7681700</v>
      </c>
      <c r="AH20" s="189">
        <v>1</v>
      </c>
      <c r="AI20" s="190"/>
      <c r="AJ20" s="191"/>
      <c r="AK20" s="192"/>
      <c r="AL20" s="193"/>
      <c r="AM20" s="194"/>
      <c r="AN20" s="195"/>
      <c r="AO20" s="196"/>
      <c r="AP20" s="152">
        <f t="shared" si="12"/>
        <v>9681700</v>
      </c>
      <c r="AQ20" s="152">
        <f t="shared" si="13"/>
        <v>0</v>
      </c>
      <c r="AR20" s="153">
        <f t="shared" si="6"/>
        <v>0</v>
      </c>
      <c r="AS20" s="152">
        <f t="shared" si="14"/>
        <v>10085121.5</v>
      </c>
      <c r="AU20" s="200" t="s">
        <v>114</v>
      </c>
    </row>
    <row r="21" spans="1:48" s="11" customFormat="1" ht="21.75" customHeight="1" x14ac:dyDescent="0.2">
      <c r="A21" s="83">
        <v>8</v>
      </c>
      <c r="B21" s="92" t="s">
        <v>44</v>
      </c>
      <c r="C21" s="101" t="s">
        <v>40</v>
      </c>
      <c r="D21" s="94"/>
      <c r="E21" s="94"/>
      <c r="F21" s="94"/>
      <c r="G21" s="95">
        <v>5681700</v>
      </c>
      <c r="H21" s="96"/>
      <c r="I21" s="97">
        <v>0</v>
      </c>
      <c r="J21" s="95">
        <v>1000000</v>
      </c>
      <c r="K21" s="95">
        <v>1000000</v>
      </c>
      <c r="L21" s="98"/>
      <c r="M21" s="72">
        <f>VLOOKUP(B21,'[1]BK TT'!B28:I127,8,0)</f>
        <v>0</v>
      </c>
      <c r="N21" s="73">
        <f t="shared" si="2"/>
        <v>0</v>
      </c>
      <c r="O21" s="99"/>
      <c r="P21" s="96"/>
      <c r="Q21" s="90">
        <v>1000000</v>
      </c>
      <c r="R21" s="90"/>
      <c r="S21" s="76">
        <f t="shared" si="7"/>
        <v>8681700</v>
      </c>
      <c r="T21" s="100">
        <v>596578.5</v>
      </c>
      <c r="U21" s="72">
        <v>1221565.5</v>
      </c>
      <c r="V21" s="72">
        <f t="shared" si="8"/>
        <v>6681700</v>
      </c>
      <c r="W21" s="72">
        <v>15500000</v>
      </c>
      <c r="X21" s="98"/>
      <c r="Y21" s="72">
        <f t="shared" si="11"/>
        <v>0</v>
      </c>
      <c r="Z21" s="80">
        <f t="shared" si="3"/>
        <v>0</v>
      </c>
      <c r="AA21" s="72">
        <f t="shared" si="4"/>
        <v>0</v>
      </c>
      <c r="AB21" s="72">
        <f t="shared" si="5"/>
        <v>0</v>
      </c>
      <c r="AC21" s="72">
        <f t="shared" si="9"/>
        <v>8085121.5</v>
      </c>
      <c r="AD21" s="81"/>
      <c r="AE21" s="91"/>
      <c r="AF21" s="91"/>
      <c r="AG21" s="78">
        <f t="shared" si="10"/>
        <v>7681700</v>
      </c>
      <c r="AH21" s="189"/>
      <c r="AI21" s="190"/>
      <c r="AJ21" s="191"/>
      <c r="AK21" s="192"/>
      <c r="AL21" s="193"/>
      <c r="AM21" s="194"/>
      <c r="AN21" s="195"/>
      <c r="AO21" s="196"/>
      <c r="AP21" s="152">
        <f t="shared" si="12"/>
        <v>7681700</v>
      </c>
      <c r="AQ21" s="152">
        <f t="shared" si="13"/>
        <v>0</v>
      </c>
      <c r="AR21" s="153">
        <f t="shared" si="6"/>
        <v>0</v>
      </c>
      <c r="AS21" s="152">
        <f t="shared" si="14"/>
        <v>8085121.5</v>
      </c>
      <c r="AU21" s="201" t="s">
        <v>115</v>
      </c>
    </row>
    <row r="22" spans="1:48" s="11" customFormat="1" ht="21.75" customHeight="1" x14ac:dyDescent="0.2">
      <c r="A22" s="63">
        <v>9</v>
      </c>
      <c r="B22" s="92" t="s">
        <v>45</v>
      </c>
      <c r="C22" s="93" t="s">
        <v>40</v>
      </c>
      <c r="D22" s="94"/>
      <c r="E22" s="94"/>
      <c r="F22" s="94"/>
      <c r="G22" s="95">
        <v>5681700</v>
      </c>
      <c r="H22" s="96"/>
      <c r="I22" s="97">
        <v>0</v>
      </c>
      <c r="J22" s="95">
        <v>1000000</v>
      </c>
      <c r="K22" s="95">
        <v>1000000</v>
      </c>
      <c r="L22" s="98"/>
      <c r="M22" s="72">
        <f>VLOOKUP(B22,'[1]BK TT'!B29:I128,8,0)</f>
        <v>0</v>
      </c>
      <c r="N22" s="73">
        <f t="shared" si="2"/>
        <v>0</v>
      </c>
      <c r="O22" s="99"/>
      <c r="P22" s="96"/>
      <c r="Q22" s="90">
        <v>1000000</v>
      </c>
      <c r="R22" s="90"/>
      <c r="S22" s="76">
        <f t="shared" si="7"/>
        <v>8681700</v>
      </c>
      <c r="T22" s="100">
        <v>596578.5</v>
      </c>
      <c r="U22" s="72">
        <v>1221565.5</v>
      </c>
      <c r="V22" s="72">
        <f t="shared" si="8"/>
        <v>6681700</v>
      </c>
      <c r="W22" s="72">
        <v>15500000</v>
      </c>
      <c r="X22" s="98"/>
      <c r="Y22" s="72">
        <f t="shared" si="11"/>
        <v>0</v>
      </c>
      <c r="Z22" s="80">
        <f t="shared" si="3"/>
        <v>0</v>
      </c>
      <c r="AA22" s="72">
        <f t="shared" si="4"/>
        <v>0</v>
      </c>
      <c r="AB22" s="72">
        <f t="shared" si="5"/>
        <v>0</v>
      </c>
      <c r="AC22" s="72">
        <f t="shared" si="9"/>
        <v>8085121.5</v>
      </c>
      <c r="AD22" s="81"/>
      <c r="AE22" s="91"/>
      <c r="AF22" s="91"/>
      <c r="AG22" s="78">
        <f t="shared" si="10"/>
        <v>7681700</v>
      </c>
      <c r="AH22" s="189"/>
      <c r="AI22" s="190"/>
      <c r="AJ22" s="191"/>
      <c r="AK22" s="192"/>
      <c r="AL22" s="193"/>
      <c r="AM22" s="194"/>
      <c r="AN22" s="195"/>
      <c r="AO22" s="196"/>
      <c r="AP22" s="152">
        <f t="shared" si="12"/>
        <v>7681700</v>
      </c>
      <c r="AQ22" s="152">
        <f t="shared" si="13"/>
        <v>0</v>
      </c>
      <c r="AR22" s="153">
        <f t="shared" si="6"/>
        <v>0</v>
      </c>
      <c r="AS22" s="152">
        <f t="shared" si="14"/>
        <v>8085121.5</v>
      </c>
      <c r="AU22" s="197" t="s">
        <v>116</v>
      </c>
    </row>
    <row r="23" spans="1:48" s="11" customFormat="1" ht="21.75" customHeight="1" x14ac:dyDescent="0.2">
      <c r="A23" s="83">
        <v>10</v>
      </c>
      <c r="B23" s="104" t="s">
        <v>46</v>
      </c>
      <c r="C23" s="102" t="s">
        <v>40</v>
      </c>
      <c r="D23" s="94"/>
      <c r="E23" s="94"/>
      <c r="F23" s="94"/>
      <c r="G23" s="95">
        <v>5681700</v>
      </c>
      <c r="H23" s="96"/>
      <c r="I23" s="97">
        <v>0</v>
      </c>
      <c r="J23" s="95">
        <v>1000000</v>
      </c>
      <c r="K23" s="95">
        <v>1000000</v>
      </c>
      <c r="L23" s="98"/>
      <c r="M23" s="72">
        <f>VLOOKUP(B23,'[1]BK TT'!B30:I129,8,0)</f>
        <v>0</v>
      </c>
      <c r="N23" s="73">
        <f t="shared" si="2"/>
        <v>17000000</v>
      </c>
      <c r="O23" s="99"/>
      <c r="P23" s="96"/>
      <c r="Q23" s="90">
        <v>1000000</v>
      </c>
      <c r="R23" s="90"/>
      <c r="S23" s="76">
        <f t="shared" si="7"/>
        <v>25681700</v>
      </c>
      <c r="T23" s="100">
        <v>596578.5</v>
      </c>
      <c r="U23" s="72">
        <v>1221565.5</v>
      </c>
      <c r="V23" s="72">
        <f t="shared" si="8"/>
        <v>23681700</v>
      </c>
      <c r="W23" s="72">
        <v>15500000</v>
      </c>
      <c r="X23" s="98"/>
      <c r="Y23" s="72">
        <f t="shared" si="11"/>
        <v>0</v>
      </c>
      <c r="Z23" s="80">
        <f t="shared" si="3"/>
        <v>7585121.5</v>
      </c>
      <c r="AA23" s="72">
        <f t="shared" si="4"/>
        <v>1</v>
      </c>
      <c r="AB23" s="72">
        <f t="shared" si="5"/>
        <v>379256.07500000001</v>
      </c>
      <c r="AC23" s="72">
        <f t="shared" si="9"/>
        <v>24705865.425000001</v>
      </c>
      <c r="AD23" s="81"/>
      <c r="AE23" s="91"/>
      <c r="AF23" s="91"/>
      <c r="AG23" s="78">
        <f t="shared" si="10"/>
        <v>7681700</v>
      </c>
      <c r="AH23" s="189">
        <v>4</v>
      </c>
      <c r="AI23" s="190">
        <v>3</v>
      </c>
      <c r="AJ23" s="191"/>
      <c r="AK23" s="192"/>
      <c r="AL23" s="193"/>
      <c r="AM23" s="194"/>
      <c r="AN23" s="195"/>
      <c r="AO23" s="196"/>
      <c r="AP23" s="152">
        <f t="shared" si="12"/>
        <v>24681700</v>
      </c>
      <c r="AQ23" s="152">
        <f t="shared" si="13"/>
        <v>8585121.5</v>
      </c>
      <c r="AR23" s="153">
        <f t="shared" si="6"/>
        <v>429256.07500000001</v>
      </c>
      <c r="AS23" s="152">
        <f t="shared" si="14"/>
        <v>24655865.425000001</v>
      </c>
      <c r="AU23" s="202" t="s">
        <v>117</v>
      </c>
      <c r="AV23" s="171"/>
    </row>
    <row r="24" spans="1:48" s="11" customFormat="1" ht="21.75" customHeight="1" x14ac:dyDescent="0.2">
      <c r="A24" s="63">
        <v>11</v>
      </c>
      <c r="B24" s="92" t="s">
        <v>47</v>
      </c>
      <c r="C24" s="101" t="s">
        <v>40</v>
      </c>
      <c r="D24" s="94"/>
      <c r="E24" s="94"/>
      <c r="F24" s="94"/>
      <c r="G24" s="95">
        <v>5681700</v>
      </c>
      <c r="H24" s="96"/>
      <c r="I24" s="97">
        <v>0</v>
      </c>
      <c r="J24" s="95">
        <v>1000000</v>
      </c>
      <c r="K24" s="95">
        <v>1000000</v>
      </c>
      <c r="L24" s="98"/>
      <c r="M24" s="72">
        <f>VLOOKUP(B24,'[1]BK TT'!B31:I130,8,0)</f>
        <v>0</v>
      </c>
      <c r="N24" s="73">
        <f t="shared" si="2"/>
        <v>15000000</v>
      </c>
      <c r="O24" s="99"/>
      <c r="P24" s="96"/>
      <c r="Q24" s="90">
        <v>1000000</v>
      </c>
      <c r="R24" s="90"/>
      <c r="S24" s="76">
        <f t="shared" si="7"/>
        <v>23681700</v>
      </c>
      <c r="T24" s="100">
        <v>596578.5</v>
      </c>
      <c r="U24" s="72">
        <v>1221565.5</v>
      </c>
      <c r="V24" s="72">
        <f t="shared" si="8"/>
        <v>21681700</v>
      </c>
      <c r="W24" s="72">
        <v>15500000</v>
      </c>
      <c r="X24" s="98">
        <v>2</v>
      </c>
      <c r="Y24" s="72">
        <f t="shared" si="11"/>
        <v>12400000</v>
      </c>
      <c r="Z24" s="80">
        <f t="shared" si="3"/>
        <v>0</v>
      </c>
      <c r="AA24" s="72">
        <f t="shared" si="4"/>
        <v>0</v>
      </c>
      <c r="AB24" s="72">
        <f t="shared" si="5"/>
        <v>0</v>
      </c>
      <c r="AC24" s="72">
        <f t="shared" si="9"/>
        <v>23085121.5</v>
      </c>
      <c r="AD24" s="81"/>
      <c r="AE24" s="91"/>
      <c r="AF24" s="91"/>
      <c r="AG24" s="78">
        <f t="shared" si="10"/>
        <v>7681700</v>
      </c>
      <c r="AH24" s="189">
        <v>3</v>
      </c>
      <c r="AI24" s="190">
        <v>2</v>
      </c>
      <c r="AJ24" s="191">
        <v>1</v>
      </c>
      <c r="AK24" s="192"/>
      <c r="AL24" s="193"/>
      <c r="AM24" s="194"/>
      <c r="AN24" s="195"/>
      <c r="AO24" s="196"/>
      <c r="AP24" s="152">
        <f t="shared" si="12"/>
        <v>22681700</v>
      </c>
      <c r="AQ24" s="152">
        <f t="shared" si="13"/>
        <v>0</v>
      </c>
      <c r="AR24" s="153">
        <f t="shared" si="6"/>
        <v>0</v>
      </c>
      <c r="AS24" s="152">
        <f t="shared" si="14"/>
        <v>23085121.5</v>
      </c>
      <c r="AU24" s="203" t="s">
        <v>118</v>
      </c>
    </row>
    <row r="25" spans="1:48" s="11" customFormat="1" ht="21.75" customHeight="1" x14ac:dyDescent="0.2">
      <c r="A25" s="83">
        <v>12</v>
      </c>
      <c r="B25" s="92" t="s">
        <v>48</v>
      </c>
      <c r="C25" s="102" t="s">
        <v>40</v>
      </c>
      <c r="D25" s="94"/>
      <c r="E25" s="94"/>
      <c r="F25" s="94"/>
      <c r="G25" s="95">
        <v>5681700</v>
      </c>
      <c r="H25" s="96"/>
      <c r="I25" s="97">
        <v>0</v>
      </c>
      <c r="J25" s="95">
        <v>1000000</v>
      </c>
      <c r="K25" s="95">
        <v>1000000</v>
      </c>
      <c r="L25" s="98"/>
      <c r="M25" s="72">
        <f>VLOOKUP(B25,'[1]BK TT'!B32:I131,8,0)</f>
        <v>0</v>
      </c>
      <c r="N25" s="73">
        <f t="shared" si="2"/>
        <v>0</v>
      </c>
      <c r="O25" s="99"/>
      <c r="P25" s="96"/>
      <c r="Q25" s="90">
        <v>1000000</v>
      </c>
      <c r="R25" s="90"/>
      <c r="S25" s="76">
        <f t="shared" si="7"/>
        <v>8681700</v>
      </c>
      <c r="T25" s="100">
        <v>596578.5</v>
      </c>
      <c r="U25" s="72">
        <v>1221565.5</v>
      </c>
      <c r="V25" s="72">
        <f t="shared" si="8"/>
        <v>6681700</v>
      </c>
      <c r="W25" s="72">
        <v>15500000</v>
      </c>
      <c r="X25" s="98"/>
      <c r="Y25" s="72">
        <f t="shared" si="11"/>
        <v>0</v>
      </c>
      <c r="Z25" s="80">
        <f t="shared" si="3"/>
        <v>0</v>
      </c>
      <c r="AA25" s="72">
        <f t="shared" si="4"/>
        <v>0</v>
      </c>
      <c r="AB25" s="72">
        <f t="shared" si="5"/>
        <v>0</v>
      </c>
      <c r="AC25" s="72">
        <f t="shared" si="9"/>
        <v>8085121.5</v>
      </c>
      <c r="AD25" s="81"/>
      <c r="AE25" s="91"/>
      <c r="AF25" s="91"/>
      <c r="AG25" s="78">
        <f t="shared" si="10"/>
        <v>7681700</v>
      </c>
      <c r="AH25" s="189"/>
      <c r="AI25" s="190"/>
      <c r="AJ25" s="191"/>
      <c r="AK25" s="192"/>
      <c r="AL25" s="193"/>
      <c r="AM25" s="194"/>
      <c r="AN25" s="195"/>
      <c r="AO25" s="196"/>
      <c r="AP25" s="152">
        <f t="shared" si="12"/>
        <v>7681700</v>
      </c>
      <c r="AQ25" s="152">
        <f t="shared" si="13"/>
        <v>0</v>
      </c>
      <c r="AR25" s="153">
        <f t="shared" si="6"/>
        <v>0</v>
      </c>
      <c r="AS25" s="152">
        <f t="shared" si="14"/>
        <v>8085121.5</v>
      </c>
      <c r="AU25" s="204" t="s">
        <v>119</v>
      </c>
      <c r="AV25" s="171"/>
    </row>
    <row r="26" spans="1:48" s="11" customFormat="1" ht="21.75" customHeight="1" x14ac:dyDescent="0.2">
      <c r="A26" s="63">
        <v>13</v>
      </c>
      <c r="B26" s="92" t="s">
        <v>49</v>
      </c>
      <c r="C26" s="101" t="s">
        <v>40</v>
      </c>
      <c r="D26" s="94"/>
      <c r="E26" s="94"/>
      <c r="F26" s="94"/>
      <c r="G26" s="95">
        <v>5681700</v>
      </c>
      <c r="H26" s="96"/>
      <c r="I26" s="97">
        <v>0</v>
      </c>
      <c r="J26" s="95">
        <v>1000000</v>
      </c>
      <c r="K26" s="95">
        <v>1000000</v>
      </c>
      <c r="L26" s="98"/>
      <c r="M26" s="72">
        <f>VLOOKUP(B26,'[1]BK TT'!B33:I132,8,0)</f>
        <v>0</v>
      </c>
      <c r="N26" s="73">
        <f>AH26*$D$161+(AI26+AJ26)*$D$162+AK26*$D$164</f>
        <v>4000000</v>
      </c>
      <c r="O26" s="99"/>
      <c r="P26" s="96"/>
      <c r="Q26" s="90">
        <v>1000000</v>
      </c>
      <c r="R26" s="90"/>
      <c r="S26" s="76">
        <f t="shared" si="7"/>
        <v>12681700</v>
      </c>
      <c r="T26" s="100">
        <v>596578.5</v>
      </c>
      <c r="U26" s="72">
        <v>1221565.5</v>
      </c>
      <c r="V26" s="72">
        <f t="shared" si="8"/>
        <v>10681700</v>
      </c>
      <c r="W26" s="72">
        <v>15500000</v>
      </c>
      <c r="X26" s="98"/>
      <c r="Y26" s="72">
        <f t="shared" si="11"/>
        <v>0</v>
      </c>
      <c r="Z26" s="80">
        <f t="shared" si="3"/>
        <v>0</v>
      </c>
      <c r="AA26" s="72">
        <f t="shared" si="4"/>
        <v>0</v>
      </c>
      <c r="AB26" s="72">
        <f t="shared" si="5"/>
        <v>0</v>
      </c>
      <c r="AC26" s="72">
        <f t="shared" si="9"/>
        <v>12085121.5</v>
      </c>
      <c r="AD26" s="81"/>
      <c r="AE26" s="91"/>
      <c r="AF26" s="91"/>
      <c r="AG26" s="78">
        <f t="shared" si="10"/>
        <v>7681700</v>
      </c>
      <c r="AH26" s="189">
        <v>2</v>
      </c>
      <c r="AI26" s="190"/>
      <c r="AJ26" s="191"/>
      <c r="AK26" s="192"/>
      <c r="AL26" s="193"/>
      <c r="AM26" s="194"/>
      <c r="AN26" s="195"/>
      <c r="AO26" s="196"/>
      <c r="AP26" s="152">
        <f t="shared" si="12"/>
        <v>11681700</v>
      </c>
      <c r="AQ26" s="152">
        <f t="shared" si="13"/>
        <v>0</v>
      </c>
      <c r="AR26" s="153">
        <f t="shared" si="6"/>
        <v>0</v>
      </c>
      <c r="AS26" s="152">
        <f t="shared" si="14"/>
        <v>12085121.5</v>
      </c>
      <c r="AU26" s="204" t="s">
        <v>120</v>
      </c>
      <c r="AV26" s="171"/>
    </row>
    <row r="27" spans="1:48" s="11" customFormat="1" ht="21.75" customHeight="1" x14ac:dyDescent="0.2">
      <c r="A27" s="83">
        <v>14</v>
      </c>
      <c r="B27" s="92" t="s">
        <v>50</v>
      </c>
      <c r="C27" s="102" t="s">
        <v>51</v>
      </c>
      <c r="D27" s="94"/>
      <c r="E27" s="94"/>
      <c r="F27" s="94"/>
      <c r="G27" s="95">
        <v>5681700</v>
      </c>
      <c r="H27" s="96"/>
      <c r="I27" s="97">
        <v>0</v>
      </c>
      <c r="J27" s="95">
        <v>1000000</v>
      </c>
      <c r="K27" s="95">
        <v>1000000</v>
      </c>
      <c r="L27" s="98"/>
      <c r="M27" s="72">
        <f>VLOOKUP(B27,'[1]BK TT'!B34:I133,8,0)</f>
        <v>2500000</v>
      </c>
      <c r="N27" s="73">
        <f t="shared" si="2"/>
        <v>0</v>
      </c>
      <c r="O27" s="99"/>
      <c r="P27" s="96"/>
      <c r="Q27" s="90">
        <v>1000000</v>
      </c>
      <c r="R27" s="90"/>
      <c r="S27" s="76">
        <f t="shared" si="7"/>
        <v>11181700</v>
      </c>
      <c r="T27" s="100">
        <v>596578.5</v>
      </c>
      <c r="U27" s="72">
        <v>1221565.5</v>
      </c>
      <c r="V27" s="72">
        <f t="shared" si="8"/>
        <v>9181700</v>
      </c>
      <c r="W27" s="72">
        <v>15500000</v>
      </c>
      <c r="X27" s="98"/>
      <c r="Y27" s="72">
        <f t="shared" si="11"/>
        <v>0</v>
      </c>
      <c r="Z27" s="80">
        <f t="shared" si="3"/>
        <v>0</v>
      </c>
      <c r="AA27" s="72">
        <f t="shared" si="4"/>
        <v>0</v>
      </c>
      <c r="AB27" s="72">
        <f t="shared" si="5"/>
        <v>0</v>
      </c>
      <c r="AC27" s="72">
        <f t="shared" si="9"/>
        <v>10585121.5</v>
      </c>
      <c r="AD27" s="81"/>
      <c r="AE27" s="91"/>
      <c r="AF27" s="91"/>
      <c r="AG27" s="78">
        <f t="shared" si="10"/>
        <v>7681700</v>
      </c>
      <c r="AH27" s="189"/>
      <c r="AI27" s="190"/>
      <c r="AJ27" s="191"/>
      <c r="AK27" s="192"/>
      <c r="AL27" s="193"/>
      <c r="AM27" s="194"/>
      <c r="AN27" s="195"/>
      <c r="AO27" s="196"/>
      <c r="AP27" s="152">
        <f t="shared" si="12"/>
        <v>10181700</v>
      </c>
      <c r="AQ27" s="152">
        <f t="shared" si="13"/>
        <v>0</v>
      </c>
      <c r="AR27" s="153">
        <f t="shared" si="6"/>
        <v>0</v>
      </c>
      <c r="AS27" s="152">
        <f t="shared" si="14"/>
        <v>10585121.5</v>
      </c>
      <c r="AU27" s="204" t="s">
        <v>121</v>
      </c>
    </row>
    <row r="28" spans="1:48" s="11" customFormat="1" ht="21.75" customHeight="1" x14ac:dyDescent="0.2">
      <c r="A28" s="63">
        <v>15</v>
      </c>
      <c r="B28" s="92" t="s">
        <v>52</v>
      </c>
      <c r="C28" s="93" t="s">
        <v>40</v>
      </c>
      <c r="D28" s="94"/>
      <c r="E28" s="94"/>
      <c r="F28" s="94"/>
      <c r="G28" s="95">
        <v>5681700</v>
      </c>
      <c r="H28" s="96"/>
      <c r="I28" s="97">
        <v>0</v>
      </c>
      <c r="J28" s="95">
        <v>1000000</v>
      </c>
      <c r="K28" s="95">
        <v>1000000</v>
      </c>
      <c r="L28" s="98"/>
      <c r="M28" s="72">
        <f>VLOOKUP(B28,'[1]BK TT'!B35:I134,8,0)</f>
        <v>0</v>
      </c>
      <c r="N28" s="73">
        <f t="shared" si="2"/>
        <v>5000000</v>
      </c>
      <c r="O28" s="99"/>
      <c r="P28" s="96"/>
      <c r="Q28" s="90">
        <v>1000000</v>
      </c>
      <c r="R28" s="90"/>
      <c r="S28" s="76">
        <f t="shared" si="7"/>
        <v>13681700</v>
      </c>
      <c r="T28" s="100">
        <v>596578.5</v>
      </c>
      <c r="U28" s="72">
        <v>1221565.5</v>
      </c>
      <c r="V28" s="72">
        <f t="shared" si="8"/>
        <v>11681700</v>
      </c>
      <c r="W28" s="72">
        <v>15500000</v>
      </c>
      <c r="X28" s="98">
        <v>2</v>
      </c>
      <c r="Y28" s="72">
        <f t="shared" si="11"/>
        <v>12400000</v>
      </c>
      <c r="Z28" s="80">
        <f t="shared" si="3"/>
        <v>0</v>
      </c>
      <c r="AA28" s="72">
        <f t="shared" si="4"/>
        <v>0</v>
      </c>
      <c r="AB28" s="72">
        <f t="shared" si="5"/>
        <v>0</v>
      </c>
      <c r="AC28" s="72">
        <f t="shared" si="9"/>
        <v>13085121.5</v>
      </c>
      <c r="AD28" s="81"/>
      <c r="AE28" s="91"/>
      <c r="AF28" s="91"/>
      <c r="AG28" s="78">
        <f t="shared" si="10"/>
        <v>7681700</v>
      </c>
      <c r="AH28" s="189">
        <v>1</v>
      </c>
      <c r="AI28" s="190">
        <v>1</v>
      </c>
      <c r="AJ28" s="191"/>
      <c r="AK28" s="192"/>
      <c r="AL28" s="193"/>
      <c r="AM28" s="194"/>
      <c r="AN28" s="195"/>
      <c r="AO28" s="196"/>
      <c r="AP28" s="152">
        <f t="shared" si="12"/>
        <v>12681700</v>
      </c>
      <c r="AQ28" s="152">
        <f t="shared" si="13"/>
        <v>0</v>
      </c>
      <c r="AR28" s="153">
        <f t="shared" si="6"/>
        <v>0</v>
      </c>
      <c r="AS28" s="152">
        <f t="shared" si="14"/>
        <v>13085121.5</v>
      </c>
      <c r="AU28" s="205" t="s">
        <v>122</v>
      </c>
      <c r="AV28" s="171"/>
    </row>
    <row r="29" spans="1:48" s="11" customFormat="1" ht="21.75" customHeight="1" x14ac:dyDescent="0.2">
      <c r="A29" s="83">
        <v>16</v>
      </c>
      <c r="B29" s="92" t="s">
        <v>53</v>
      </c>
      <c r="C29" s="93" t="s">
        <v>51</v>
      </c>
      <c r="D29" s="94"/>
      <c r="E29" s="94"/>
      <c r="F29" s="94"/>
      <c r="G29" s="95">
        <v>5681700</v>
      </c>
      <c r="H29" s="96"/>
      <c r="I29" s="97">
        <v>0</v>
      </c>
      <c r="J29" s="95">
        <v>1000000</v>
      </c>
      <c r="K29" s="95">
        <v>1000000</v>
      </c>
      <c r="L29" s="98"/>
      <c r="M29" s="72">
        <f>VLOOKUP(B29,'[1]BK TT'!B37:I136,8,0)</f>
        <v>0</v>
      </c>
      <c r="N29" s="73">
        <f t="shared" si="2"/>
        <v>6000000</v>
      </c>
      <c r="O29" s="99"/>
      <c r="P29" s="96"/>
      <c r="Q29" s="90">
        <v>1000000</v>
      </c>
      <c r="R29" s="90"/>
      <c r="S29" s="76">
        <f t="shared" si="7"/>
        <v>14681700</v>
      </c>
      <c r="T29" s="100">
        <v>596578.5</v>
      </c>
      <c r="U29" s="72">
        <v>1221565.5</v>
      </c>
      <c r="V29" s="72">
        <f t="shared" si="8"/>
        <v>12681700</v>
      </c>
      <c r="W29" s="72">
        <v>15500000</v>
      </c>
      <c r="X29" s="98">
        <v>1</v>
      </c>
      <c r="Y29" s="72">
        <f t="shared" si="11"/>
        <v>6200000</v>
      </c>
      <c r="Z29" s="80">
        <f t="shared" si="3"/>
        <v>0</v>
      </c>
      <c r="AA29" s="72">
        <f t="shared" si="4"/>
        <v>0</v>
      </c>
      <c r="AB29" s="72">
        <f t="shared" si="5"/>
        <v>0</v>
      </c>
      <c r="AC29" s="72">
        <f t="shared" si="9"/>
        <v>14085121.5</v>
      </c>
      <c r="AD29" s="81"/>
      <c r="AE29" s="91"/>
      <c r="AF29" s="91"/>
      <c r="AG29" s="78">
        <f t="shared" si="10"/>
        <v>7681700</v>
      </c>
      <c r="AH29" s="189"/>
      <c r="AI29" s="190">
        <v>2</v>
      </c>
      <c r="AJ29" s="191"/>
      <c r="AK29" s="192"/>
      <c r="AL29" s="193"/>
      <c r="AM29" s="194"/>
      <c r="AN29" s="195"/>
      <c r="AO29" s="196"/>
      <c r="AP29" s="152">
        <f t="shared" si="12"/>
        <v>13681700</v>
      </c>
      <c r="AQ29" s="152">
        <f t="shared" si="13"/>
        <v>0</v>
      </c>
      <c r="AR29" s="153">
        <f t="shared" si="6"/>
        <v>0</v>
      </c>
      <c r="AS29" s="152">
        <f t="shared" si="14"/>
        <v>14085121.5</v>
      </c>
      <c r="AU29" s="201" t="s">
        <v>123</v>
      </c>
      <c r="AV29" s="171"/>
    </row>
    <row r="30" spans="1:48" s="11" customFormat="1" ht="21.75" customHeight="1" x14ac:dyDescent="0.2">
      <c r="A30" s="63">
        <v>17</v>
      </c>
      <c r="B30" s="92" t="s">
        <v>54</v>
      </c>
      <c r="C30" s="102" t="s">
        <v>40</v>
      </c>
      <c r="D30" s="94"/>
      <c r="E30" s="94"/>
      <c r="F30" s="94"/>
      <c r="G30" s="95">
        <v>5681700</v>
      </c>
      <c r="H30" s="96"/>
      <c r="I30" s="97">
        <v>0</v>
      </c>
      <c r="J30" s="95">
        <v>1000000</v>
      </c>
      <c r="K30" s="95">
        <v>1000000</v>
      </c>
      <c r="L30" s="98"/>
      <c r="M30" s="72">
        <f>VLOOKUP(B30,'[1]BK TT'!B38:I137,8,0)</f>
        <v>0</v>
      </c>
      <c r="N30" s="73">
        <f t="shared" si="2"/>
        <v>0</v>
      </c>
      <c r="O30" s="99"/>
      <c r="P30" s="96"/>
      <c r="Q30" s="90">
        <v>1000000</v>
      </c>
      <c r="R30" s="90"/>
      <c r="S30" s="76">
        <f t="shared" si="7"/>
        <v>8681700</v>
      </c>
      <c r="T30" s="100">
        <v>596578.5</v>
      </c>
      <c r="U30" s="72">
        <v>1221565.5</v>
      </c>
      <c r="V30" s="72">
        <f t="shared" si="8"/>
        <v>6681700</v>
      </c>
      <c r="W30" s="72">
        <v>15500000</v>
      </c>
      <c r="X30" s="98"/>
      <c r="Y30" s="72">
        <f t="shared" si="11"/>
        <v>0</v>
      </c>
      <c r="Z30" s="80">
        <f t="shared" si="3"/>
        <v>0</v>
      </c>
      <c r="AA30" s="72">
        <f t="shared" si="4"/>
        <v>0</v>
      </c>
      <c r="AB30" s="72">
        <f t="shared" si="5"/>
        <v>0</v>
      </c>
      <c r="AC30" s="72">
        <f t="shared" si="9"/>
        <v>8085121.5</v>
      </c>
      <c r="AD30" s="81"/>
      <c r="AE30" s="91"/>
      <c r="AF30" s="91"/>
      <c r="AG30" s="78">
        <f t="shared" si="10"/>
        <v>7681700</v>
      </c>
      <c r="AH30" s="189"/>
      <c r="AI30" s="190"/>
      <c r="AJ30" s="191"/>
      <c r="AK30" s="192"/>
      <c r="AL30" s="193"/>
      <c r="AM30" s="194"/>
      <c r="AN30" s="195"/>
      <c r="AO30" s="196"/>
      <c r="AP30" s="152">
        <f t="shared" si="12"/>
        <v>7681700</v>
      </c>
      <c r="AQ30" s="152">
        <f t="shared" si="13"/>
        <v>0</v>
      </c>
      <c r="AR30" s="153">
        <f t="shared" si="6"/>
        <v>0</v>
      </c>
      <c r="AS30" s="152">
        <f t="shared" si="14"/>
        <v>8085121.5</v>
      </c>
      <c r="AU30" s="197" t="s">
        <v>124</v>
      </c>
    </row>
    <row r="31" spans="1:48" s="11" customFormat="1" ht="21.75" customHeight="1" x14ac:dyDescent="0.2">
      <c r="A31" s="83">
        <v>18</v>
      </c>
      <c r="B31" s="92" t="s">
        <v>55</v>
      </c>
      <c r="C31" s="101" t="s">
        <v>40</v>
      </c>
      <c r="D31" s="94"/>
      <c r="E31" s="94"/>
      <c r="F31" s="94"/>
      <c r="G31" s="95">
        <v>5681700</v>
      </c>
      <c r="H31" s="96"/>
      <c r="I31" s="97">
        <v>0</v>
      </c>
      <c r="J31" s="95">
        <v>1000000</v>
      </c>
      <c r="K31" s="95">
        <v>1000000</v>
      </c>
      <c r="L31" s="98"/>
      <c r="M31" s="72">
        <f>VLOOKUP(B31,'[1]BK TT'!B39:I138,8,0)</f>
        <v>0</v>
      </c>
      <c r="N31" s="73">
        <f t="shared" si="2"/>
        <v>28300000</v>
      </c>
      <c r="O31" s="99"/>
      <c r="P31" s="96"/>
      <c r="Q31" s="90">
        <v>1000000</v>
      </c>
      <c r="R31" s="90"/>
      <c r="S31" s="76">
        <f t="shared" si="7"/>
        <v>36981700</v>
      </c>
      <c r="T31" s="100">
        <v>596578.5</v>
      </c>
      <c r="U31" s="72">
        <v>1221565.5</v>
      </c>
      <c r="V31" s="72">
        <f t="shared" si="8"/>
        <v>34981700</v>
      </c>
      <c r="W31" s="72">
        <v>15500000</v>
      </c>
      <c r="X31" s="98">
        <v>1</v>
      </c>
      <c r="Y31" s="72">
        <f t="shared" si="11"/>
        <v>6200000</v>
      </c>
      <c r="Z31" s="80">
        <f t="shared" si="3"/>
        <v>12685121.5</v>
      </c>
      <c r="AA31" s="72">
        <f t="shared" si="4"/>
        <v>2</v>
      </c>
      <c r="AB31" s="72">
        <f t="shared" si="5"/>
        <v>768512.15000000014</v>
      </c>
      <c r="AC31" s="72">
        <f t="shared" si="9"/>
        <v>35616609.350000001</v>
      </c>
      <c r="AD31" s="81"/>
      <c r="AE31" s="91"/>
      <c r="AF31" s="91"/>
      <c r="AG31" s="78">
        <f t="shared" si="10"/>
        <v>7681700</v>
      </c>
      <c r="AH31" s="189">
        <v>1</v>
      </c>
      <c r="AI31" s="190">
        <v>2</v>
      </c>
      <c r="AJ31" s="191">
        <v>2</v>
      </c>
      <c r="AK31" s="192">
        <v>13</v>
      </c>
      <c r="AL31" s="193"/>
      <c r="AM31" s="194"/>
      <c r="AN31" s="195"/>
      <c r="AO31" s="196"/>
      <c r="AP31" s="152">
        <f t="shared" si="12"/>
        <v>35981700</v>
      </c>
      <c r="AQ31" s="152">
        <f t="shared" si="13"/>
        <v>13685121.5</v>
      </c>
      <c r="AR31" s="153">
        <f t="shared" si="6"/>
        <v>868512.15</v>
      </c>
      <c r="AS31" s="152">
        <f t="shared" si="14"/>
        <v>35516609.350000001</v>
      </c>
      <c r="AU31" s="201" t="s">
        <v>125</v>
      </c>
      <c r="AV31" s="171"/>
    </row>
    <row r="32" spans="1:48" s="11" customFormat="1" ht="21.75" customHeight="1" x14ac:dyDescent="0.2">
      <c r="A32" s="63">
        <v>19</v>
      </c>
      <c r="B32" s="92" t="s">
        <v>56</v>
      </c>
      <c r="C32" s="101" t="s">
        <v>40</v>
      </c>
      <c r="D32" s="94"/>
      <c r="E32" s="94"/>
      <c r="F32" s="94"/>
      <c r="G32" s="95">
        <v>5681700</v>
      </c>
      <c r="H32" s="96"/>
      <c r="I32" s="97">
        <v>0</v>
      </c>
      <c r="J32" s="95">
        <v>1000000</v>
      </c>
      <c r="K32" s="95">
        <v>1000000</v>
      </c>
      <c r="L32" s="98"/>
      <c r="M32" s="72">
        <f>VLOOKUP(B32,'[1]BK TT'!B40:I139,8,0)</f>
        <v>0</v>
      </c>
      <c r="N32" s="73">
        <f t="shared" si="2"/>
        <v>9000000</v>
      </c>
      <c r="O32" s="99"/>
      <c r="P32" s="96"/>
      <c r="Q32" s="90">
        <v>1000000</v>
      </c>
      <c r="R32" s="90"/>
      <c r="S32" s="76">
        <f t="shared" si="7"/>
        <v>17681700</v>
      </c>
      <c r="T32" s="100">
        <v>596578.5</v>
      </c>
      <c r="U32" s="72">
        <v>1221565.5</v>
      </c>
      <c r="V32" s="72">
        <f t="shared" si="8"/>
        <v>15681700</v>
      </c>
      <c r="W32" s="72">
        <v>15500000</v>
      </c>
      <c r="X32" s="98">
        <v>1</v>
      </c>
      <c r="Y32" s="72">
        <f t="shared" si="11"/>
        <v>6200000</v>
      </c>
      <c r="Z32" s="80">
        <f t="shared" si="3"/>
        <v>0</v>
      </c>
      <c r="AA32" s="72">
        <f t="shared" si="4"/>
        <v>0</v>
      </c>
      <c r="AB32" s="72">
        <f t="shared" si="5"/>
        <v>0</v>
      </c>
      <c r="AC32" s="72">
        <f t="shared" si="9"/>
        <v>17085121.5</v>
      </c>
      <c r="AD32" s="81"/>
      <c r="AE32" s="91"/>
      <c r="AF32" s="91"/>
      <c r="AG32" s="78">
        <f t="shared" si="10"/>
        <v>7681700</v>
      </c>
      <c r="AH32" s="189"/>
      <c r="AI32" s="190"/>
      <c r="AJ32" s="191">
        <v>3</v>
      </c>
      <c r="AK32" s="192"/>
      <c r="AL32" s="193"/>
      <c r="AM32" s="194"/>
      <c r="AN32" s="195"/>
      <c r="AO32" s="196"/>
      <c r="AP32" s="152">
        <f t="shared" si="12"/>
        <v>16681700</v>
      </c>
      <c r="AQ32" s="152">
        <f t="shared" si="13"/>
        <v>0</v>
      </c>
      <c r="AR32" s="153">
        <f t="shared" si="6"/>
        <v>0</v>
      </c>
      <c r="AS32" s="152">
        <f t="shared" si="14"/>
        <v>17085121.5</v>
      </c>
      <c r="AU32" s="201" t="s">
        <v>126</v>
      </c>
      <c r="AV32" s="171"/>
    </row>
    <row r="33" spans="1:48" s="11" customFormat="1" ht="21.75" customHeight="1" x14ac:dyDescent="0.2">
      <c r="A33" s="83">
        <v>20</v>
      </c>
      <c r="B33" s="92" t="s">
        <v>57</v>
      </c>
      <c r="C33" s="101" t="s">
        <v>40</v>
      </c>
      <c r="D33" s="94"/>
      <c r="E33" s="94"/>
      <c r="F33" s="94"/>
      <c r="G33" s="95">
        <v>5681700</v>
      </c>
      <c r="H33" s="96"/>
      <c r="I33" s="97">
        <v>0</v>
      </c>
      <c r="J33" s="95">
        <v>1000000</v>
      </c>
      <c r="K33" s="95">
        <v>1000000</v>
      </c>
      <c r="L33" s="98"/>
      <c r="M33" s="72">
        <f>VLOOKUP(B33,'[1]BK TT'!B41:I140,8,0)</f>
        <v>0</v>
      </c>
      <c r="N33" s="73">
        <f t="shared" si="2"/>
        <v>0</v>
      </c>
      <c r="O33" s="99"/>
      <c r="P33" s="96"/>
      <c r="Q33" s="90">
        <v>1000000</v>
      </c>
      <c r="R33" s="90"/>
      <c r="S33" s="76">
        <f t="shared" si="7"/>
        <v>8681700</v>
      </c>
      <c r="T33" s="100">
        <v>596578.5</v>
      </c>
      <c r="U33" s="72">
        <v>1221565.5</v>
      </c>
      <c r="V33" s="72">
        <f t="shared" si="8"/>
        <v>6681700</v>
      </c>
      <c r="W33" s="72">
        <v>15500000</v>
      </c>
      <c r="X33" s="98"/>
      <c r="Y33" s="72">
        <f t="shared" si="11"/>
        <v>0</v>
      </c>
      <c r="Z33" s="80">
        <f t="shared" si="3"/>
        <v>0</v>
      </c>
      <c r="AA33" s="72">
        <f t="shared" si="4"/>
        <v>0</v>
      </c>
      <c r="AB33" s="72">
        <f t="shared" si="5"/>
        <v>0</v>
      </c>
      <c r="AC33" s="72">
        <f t="shared" si="9"/>
        <v>8085121.5</v>
      </c>
      <c r="AD33" s="81"/>
      <c r="AE33" s="91"/>
      <c r="AF33" s="91"/>
      <c r="AG33" s="78">
        <f t="shared" si="10"/>
        <v>7681700</v>
      </c>
      <c r="AH33" s="189"/>
      <c r="AI33" s="190"/>
      <c r="AJ33" s="191"/>
      <c r="AK33" s="192"/>
      <c r="AL33" s="193"/>
      <c r="AM33" s="194"/>
      <c r="AN33" s="195"/>
      <c r="AO33" s="196"/>
      <c r="AP33" s="152">
        <f t="shared" si="12"/>
        <v>7681700</v>
      </c>
      <c r="AQ33" s="152">
        <f t="shared" si="13"/>
        <v>0</v>
      </c>
      <c r="AR33" s="153">
        <f t="shared" si="6"/>
        <v>0</v>
      </c>
      <c r="AS33" s="152">
        <f t="shared" si="14"/>
        <v>8085121.5</v>
      </c>
      <c r="AU33" s="197" t="s">
        <v>127</v>
      </c>
    </row>
    <row r="34" spans="1:48" s="11" customFormat="1" ht="21.75" customHeight="1" x14ac:dyDescent="0.2">
      <c r="A34" s="63">
        <v>21</v>
      </c>
      <c r="B34" s="92" t="s">
        <v>58</v>
      </c>
      <c r="C34" s="93" t="s">
        <v>36</v>
      </c>
      <c r="D34" s="94"/>
      <c r="E34" s="94"/>
      <c r="F34" s="94"/>
      <c r="G34" s="95">
        <v>5681700</v>
      </c>
      <c r="H34" s="96"/>
      <c r="I34" s="97">
        <v>0</v>
      </c>
      <c r="J34" s="95">
        <v>1000000</v>
      </c>
      <c r="K34" s="95">
        <v>1000000</v>
      </c>
      <c r="L34" s="98"/>
      <c r="M34" s="72">
        <f>VLOOKUP(B34,'[1]BK TT'!B42:I141,8,0)</f>
        <v>0</v>
      </c>
      <c r="N34" s="73">
        <f t="shared" si="2"/>
        <v>8000000</v>
      </c>
      <c r="O34" s="99"/>
      <c r="P34" s="96"/>
      <c r="Q34" s="90">
        <v>1000000</v>
      </c>
      <c r="R34" s="90"/>
      <c r="S34" s="76">
        <f t="shared" si="7"/>
        <v>16681700</v>
      </c>
      <c r="T34" s="100">
        <v>596578.5</v>
      </c>
      <c r="U34" s="72">
        <v>1221565.5</v>
      </c>
      <c r="V34" s="72">
        <f t="shared" si="8"/>
        <v>14681700</v>
      </c>
      <c r="W34" s="72">
        <v>15500000</v>
      </c>
      <c r="X34" s="98"/>
      <c r="Y34" s="72">
        <f t="shared" si="11"/>
        <v>0</v>
      </c>
      <c r="Z34" s="80">
        <f t="shared" si="3"/>
        <v>0</v>
      </c>
      <c r="AA34" s="72">
        <f t="shared" si="4"/>
        <v>0</v>
      </c>
      <c r="AB34" s="72">
        <f t="shared" si="5"/>
        <v>0</v>
      </c>
      <c r="AC34" s="72">
        <f t="shared" si="9"/>
        <v>16085121.5</v>
      </c>
      <c r="AD34" s="81"/>
      <c r="AE34" s="91"/>
      <c r="AF34" s="91"/>
      <c r="AG34" s="78">
        <f t="shared" si="10"/>
        <v>7681700</v>
      </c>
      <c r="AH34" s="189">
        <v>4</v>
      </c>
      <c r="AI34" s="190"/>
      <c r="AJ34" s="191"/>
      <c r="AK34" s="192"/>
      <c r="AL34" s="193"/>
      <c r="AM34" s="194"/>
      <c r="AN34" s="195"/>
      <c r="AO34" s="196"/>
      <c r="AP34" s="152">
        <f t="shared" si="12"/>
        <v>15681700</v>
      </c>
      <c r="AQ34" s="152">
        <f t="shared" si="13"/>
        <v>0</v>
      </c>
      <c r="AR34" s="153">
        <f t="shared" si="6"/>
        <v>0</v>
      </c>
      <c r="AS34" s="152">
        <f t="shared" si="14"/>
        <v>16085121.5</v>
      </c>
      <c r="AU34" s="201" t="s">
        <v>128</v>
      </c>
    </row>
    <row r="35" spans="1:48" s="206" customFormat="1" ht="21.75" customHeight="1" x14ac:dyDescent="0.2">
      <c r="A35" s="83">
        <v>22</v>
      </c>
      <c r="B35" s="92" t="s">
        <v>59</v>
      </c>
      <c r="C35" s="101" t="s">
        <v>40</v>
      </c>
      <c r="D35" s="94"/>
      <c r="E35" s="105"/>
      <c r="F35" s="105"/>
      <c r="G35" s="95">
        <v>5681700</v>
      </c>
      <c r="H35" s="96"/>
      <c r="I35" s="97">
        <v>0</v>
      </c>
      <c r="J35" s="95">
        <v>1000000</v>
      </c>
      <c r="K35" s="95">
        <v>1000000</v>
      </c>
      <c r="L35" s="98"/>
      <c r="M35" s="72">
        <f>VLOOKUP(B35,'[1]BK TT'!B43:I142,8,0)</f>
        <v>0</v>
      </c>
      <c r="N35" s="73">
        <f t="shared" si="2"/>
        <v>3000000</v>
      </c>
      <c r="O35" s="99"/>
      <c r="P35" s="96"/>
      <c r="Q35" s="90">
        <v>1000000</v>
      </c>
      <c r="R35" s="90"/>
      <c r="S35" s="76">
        <f t="shared" si="7"/>
        <v>11681700</v>
      </c>
      <c r="T35" s="100">
        <v>596578.5</v>
      </c>
      <c r="U35" s="72">
        <v>1221565.5</v>
      </c>
      <c r="V35" s="72">
        <f t="shared" si="8"/>
        <v>9681700</v>
      </c>
      <c r="W35" s="72">
        <v>15500000</v>
      </c>
      <c r="X35" s="98"/>
      <c r="Y35" s="72">
        <f t="shared" si="11"/>
        <v>0</v>
      </c>
      <c r="Z35" s="80">
        <f t="shared" si="3"/>
        <v>0</v>
      </c>
      <c r="AA35" s="72">
        <f t="shared" si="4"/>
        <v>0</v>
      </c>
      <c r="AB35" s="72">
        <f t="shared" si="5"/>
        <v>0</v>
      </c>
      <c r="AC35" s="72">
        <f t="shared" si="9"/>
        <v>11085121.5</v>
      </c>
      <c r="AD35" s="81"/>
      <c r="AE35" s="91"/>
      <c r="AF35" s="91"/>
      <c r="AG35" s="78">
        <f t="shared" si="10"/>
        <v>7681700</v>
      </c>
      <c r="AH35" s="189"/>
      <c r="AI35" s="190">
        <v>1</v>
      </c>
      <c r="AJ35" s="191"/>
      <c r="AK35" s="192"/>
      <c r="AL35" s="193"/>
      <c r="AM35" s="194"/>
      <c r="AN35" s="195"/>
      <c r="AO35" s="196"/>
      <c r="AP35" s="152">
        <f t="shared" si="12"/>
        <v>10681700</v>
      </c>
      <c r="AQ35" s="152">
        <f t="shared" si="13"/>
        <v>0</v>
      </c>
      <c r="AR35" s="153">
        <f t="shared" si="6"/>
        <v>0</v>
      </c>
      <c r="AS35" s="152">
        <f t="shared" si="14"/>
        <v>11085121.5</v>
      </c>
      <c r="AU35" s="201" t="s">
        <v>129</v>
      </c>
      <c r="AV35" s="11"/>
    </row>
    <row r="36" spans="1:48" s="206" customFormat="1" ht="21.75" customHeight="1" x14ac:dyDescent="0.2">
      <c r="A36" s="63">
        <v>23</v>
      </c>
      <c r="B36" s="92" t="s">
        <v>60</v>
      </c>
      <c r="C36" s="101" t="s">
        <v>36</v>
      </c>
      <c r="D36" s="94"/>
      <c r="E36" s="105"/>
      <c r="F36" s="105"/>
      <c r="G36" s="95">
        <v>5681700</v>
      </c>
      <c r="H36" s="96"/>
      <c r="I36" s="97">
        <v>0</v>
      </c>
      <c r="J36" s="95">
        <v>1000000</v>
      </c>
      <c r="K36" s="95">
        <v>1000000</v>
      </c>
      <c r="L36" s="98"/>
      <c r="M36" s="72">
        <f>VLOOKUP(B36,'[1]BK TT'!B44:I143,8,0)</f>
        <v>0</v>
      </c>
      <c r="N36" s="73">
        <f t="shared" si="2"/>
        <v>8000000</v>
      </c>
      <c r="O36" s="99"/>
      <c r="P36" s="96"/>
      <c r="Q36" s="90">
        <v>1000000</v>
      </c>
      <c r="R36" s="90"/>
      <c r="S36" s="76">
        <f t="shared" si="7"/>
        <v>16681700</v>
      </c>
      <c r="T36" s="100">
        <v>596578.5</v>
      </c>
      <c r="U36" s="72">
        <v>1221565.5</v>
      </c>
      <c r="V36" s="72">
        <f t="shared" si="8"/>
        <v>14681700</v>
      </c>
      <c r="W36" s="72">
        <v>15500000</v>
      </c>
      <c r="X36" s="98">
        <v>1</v>
      </c>
      <c r="Y36" s="72">
        <f t="shared" si="11"/>
        <v>6200000</v>
      </c>
      <c r="Z36" s="80">
        <f t="shared" si="3"/>
        <v>0</v>
      </c>
      <c r="AA36" s="72">
        <f t="shared" si="4"/>
        <v>0</v>
      </c>
      <c r="AB36" s="72">
        <f t="shared" si="5"/>
        <v>0</v>
      </c>
      <c r="AC36" s="72">
        <f t="shared" si="9"/>
        <v>16085121.5</v>
      </c>
      <c r="AD36" s="81"/>
      <c r="AE36" s="91"/>
      <c r="AF36" s="91"/>
      <c r="AG36" s="78">
        <f t="shared" si="10"/>
        <v>7681700</v>
      </c>
      <c r="AH36" s="189">
        <v>4</v>
      </c>
      <c r="AI36" s="190"/>
      <c r="AJ36" s="191"/>
      <c r="AK36" s="192"/>
      <c r="AL36" s="193"/>
      <c r="AM36" s="194"/>
      <c r="AN36" s="195"/>
      <c r="AO36" s="196"/>
      <c r="AP36" s="152">
        <f t="shared" si="12"/>
        <v>15681700</v>
      </c>
      <c r="AQ36" s="152">
        <f t="shared" si="13"/>
        <v>0</v>
      </c>
      <c r="AR36" s="153">
        <f t="shared" si="6"/>
        <v>0</v>
      </c>
      <c r="AS36" s="152">
        <f t="shared" si="14"/>
        <v>16085121.5</v>
      </c>
      <c r="AU36" s="201" t="s">
        <v>130</v>
      </c>
      <c r="AV36" s="171"/>
    </row>
    <row r="37" spans="1:48" s="206" customFormat="1" ht="21.75" customHeight="1" x14ac:dyDescent="0.2">
      <c r="A37" s="83">
        <v>24</v>
      </c>
      <c r="B37" s="92" t="s">
        <v>61</v>
      </c>
      <c r="C37" s="101" t="s">
        <v>62</v>
      </c>
      <c r="D37" s="94"/>
      <c r="E37" s="105"/>
      <c r="F37" s="105"/>
      <c r="G37" s="95">
        <v>5681700</v>
      </c>
      <c r="H37" s="96"/>
      <c r="I37" s="97">
        <v>0</v>
      </c>
      <c r="J37" s="95">
        <v>1000000</v>
      </c>
      <c r="K37" s="95">
        <v>1000000</v>
      </c>
      <c r="L37" s="98"/>
      <c r="M37" s="72">
        <f>VLOOKUP(B37,'[1]BK TT'!B45:I144,8,0)</f>
        <v>0</v>
      </c>
      <c r="N37" s="73">
        <f t="shared" si="2"/>
        <v>24000000</v>
      </c>
      <c r="O37" s="99"/>
      <c r="P37" s="96"/>
      <c r="Q37" s="90">
        <v>1000000</v>
      </c>
      <c r="R37" s="90"/>
      <c r="S37" s="76">
        <f t="shared" si="7"/>
        <v>32681700</v>
      </c>
      <c r="T37" s="100">
        <v>596578.5</v>
      </c>
      <c r="U37" s="72">
        <v>1221565.5</v>
      </c>
      <c r="V37" s="72">
        <f t="shared" si="8"/>
        <v>30681700</v>
      </c>
      <c r="W37" s="72">
        <v>15500000</v>
      </c>
      <c r="X37" s="98">
        <v>1</v>
      </c>
      <c r="Y37" s="72">
        <f t="shared" si="11"/>
        <v>6200000</v>
      </c>
      <c r="Z37" s="80">
        <f t="shared" si="3"/>
        <v>8385121.5</v>
      </c>
      <c r="AA37" s="72">
        <f t="shared" si="4"/>
        <v>1</v>
      </c>
      <c r="AB37" s="72">
        <f t="shared" si="5"/>
        <v>419256.07500000001</v>
      </c>
      <c r="AC37" s="72">
        <f t="shared" si="9"/>
        <v>31665865.425000001</v>
      </c>
      <c r="AD37" s="81"/>
      <c r="AE37" s="91"/>
      <c r="AF37" s="91"/>
      <c r="AG37" s="78">
        <f t="shared" si="10"/>
        <v>7681700</v>
      </c>
      <c r="AH37" s="189"/>
      <c r="AI37" s="190">
        <v>3</v>
      </c>
      <c r="AJ37" s="191">
        <v>5</v>
      </c>
      <c r="AK37" s="192"/>
      <c r="AL37" s="193"/>
      <c r="AM37" s="194"/>
      <c r="AN37" s="195"/>
      <c r="AO37" s="196"/>
      <c r="AP37" s="152">
        <f t="shared" si="12"/>
        <v>31681700</v>
      </c>
      <c r="AQ37" s="152">
        <f t="shared" si="13"/>
        <v>9385121.5</v>
      </c>
      <c r="AR37" s="153">
        <f t="shared" si="6"/>
        <v>469256.07500000001</v>
      </c>
      <c r="AS37" s="152">
        <f t="shared" si="14"/>
        <v>31615865.425000001</v>
      </c>
      <c r="AU37" s="201" t="s">
        <v>131</v>
      </c>
      <c r="AV37" s="171"/>
    </row>
    <row r="38" spans="1:48" s="206" customFormat="1" ht="21.75" customHeight="1" x14ac:dyDescent="0.2">
      <c r="A38" s="63">
        <v>25</v>
      </c>
      <c r="B38" s="92" t="s">
        <v>63</v>
      </c>
      <c r="C38" s="101" t="s">
        <v>36</v>
      </c>
      <c r="D38" s="94"/>
      <c r="E38" s="105"/>
      <c r="F38" s="105"/>
      <c r="G38" s="95">
        <v>5681700</v>
      </c>
      <c r="H38" s="96"/>
      <c r="I38" s="97">
        <v>0</v>
      </c>
      <c r="J38" s="95">
        <v>1000000</v>
      </c>
      <c r="K38" s="95">
        <v>1000000</v>
      </c>
      <c r="L38" s="98"/>
      <c r="M38" s="72">
        <f>VLOOKUP(B38,'[1]BK TT'!B46:I145,8,0)</f>
        <v>0</v>
      </c>
      <c r="N38" s="73">
        <f t="shared" si="2"/>
        <v>6000000</v>
      </c>
      <c r="O38" s="99"/>
      <c r="P38" s="96"/>
      <c r="Q38" s="90">
        <v>1000000</v>
      </c>
      <c r="R38" s="90"/>
      <c r="S38" s="76">
        <f t="shared" si="7"/>
        <v>14681700</v>
      </c>
      <c r="T38" s="100">
        <v>596578.5</v>
      </c>
      <c r="U38" s="72">
        <v>1221565.5</v>
      </c>
      <c r="V38" s="72">
        <f t="shared" si="8"/>
        <v>12681700</v>
      </c>
      <c r="W38" s="72">
        <v>15500000</v>
      </c>
      <c r="X38" s="98"/>
      <c r="Y38" s="72">
        <f t="shared" si="11"/>
        <v>0</v>
      </c>
      <c r="Z38" s="80">
        <f t="shared" si="3"/>
        <v>0</v>
      </c>
      <c r="AA38" s="72">
        <f t="shared" si="4"/>
        <v>0</v>
      </c>
      <c r="AB38" s="72">
        <f t="shared" si="5"/>
        <v>0</v>
      </c>
      <c r="AC38" s="72">
        <f t="shared" si="9"/>
        <v>14085121.5</v>
      </c>
      <c r="AD38" s="81"/>
      <c r="AE38" s="91"/>
      <c r="AF38" s="91"/>
      <c r="AG38" s="78">
        <f t="shared" si="10"/>
        <v>7681700</v>
      </c>
      <c r="AH38" s="189"/>
      <c r="AI38" s="190">
        <v>1</v>
      </c>
      <c r="AJ38" s="191">
        <v>1</v>
      </c>
      <c r="AK38" s="192"/>
      <c r="AL38" s="193"/>
      <c r="AM38" s="194"/>
      <c r="AN38" s="195"/>
      <c r="AO38" s="196"/>
      <c r="AP38" s="152">
        <f t="shared" si="12"/>
        <v>13681700</v>
      </c>
      <c r="AQ38" s="152">
        <f t="shared" si="13"/>
        <v>0</v>
      </c>
      <c r="AR38" s="153">
        <f t="shared" si="6"/>
        <v>0</v>
      </c>
      <c r="AS38" s="152">
        <f t="shared" si="14"/>
        <v>14085121.5</v>
      </c>
      <c r="AU38" s="201" t="s">
        <v>132</v>
      </c>
      <c r="AV38" s="11"/>
    </row>
    <row r="39" spans="1:48" s="206" customFormat="1" ht="21.75" customHeight="1" x14ac:dyDescent="0.2">
      <c r="A39" s="83">
        <v>26</v>
      </c>
      <c r="B39" s="92" t="s">
        <v>64</v>
      </c>
      <c r="C39" s="93" t="s">
        <v>40</v>
      </c>
      <c r="D39" s="94"/>
      <c r="E39" s="105"/>
      <c r="F39" s="105"/>
      <c r="G39" s="95">
        <v>5681700</v>
      </c>
      <c r="H39" s="96"/>
      <c r="I39" s="97">
        <v>0</v>
      </c>
      <c r="J39" s="95">
        <v>1000000</v>
      </c>
      <c r="K39" s="95">
        <v>1000000</v>
      </c>
      <c r="L39" s="98"/>
      <c r="M39" s="106">
        <f>VLOOKUP(B39,'[1]BK TT'!$B$6:$I$103,8,0)</f>
        <v>0</v>
      </c>
      <c r="N39" s="73">
        <f t="shared" si="2"/>
        <v>21000000</v>
      </c>
      <c r="O39" s="99"/>
      <c r="P39" s="96"/>
      <c r="Q39" s="90">
        <v>1000000</v>
      </c>
      <c r="R39" s="90"/>
      <c r="S39" s="76">
        <f t="shared" si="7"/>
        <v>29681700</v>
      </c>
      <c r="T39" s="100">
        <v>596578.5</v>
      </c>
      <c r="U39" s="72">
        <v>1221565.5</v>
      </c>
      <c r="V39" s="72">
        <f t="shared" si="8"/>
        <v>27681700</v>
      </c>
      <c r="W39" s="72">
        <v>15500000</v>
      </c>
      <c r="X39" s="98">
        <v>2</v>
      </c>
      <c r="Y39" s="72">
        <f t="shared" si="11"/>
        <v>12400000</v>
      </c>
      <c r="Z39" s="80">
        <f t="shared" si="3"/>
        <v>0</v>
      </c>
      <c r="AA39" s="72">
        <f t="shared" si="4"/>
        <v>0</v>
      </c>
      <c r="AB39" s="72">
        <f t="shared" si="5"/>
        <v>0</v>
      </c>
      <c r="AC39" s="72">
        <f t="shared" si="9"/>
        <v>29085121.5</v>
      </c>
      <c r="AD39" s="81"/>
      <c r="AE39" s="91"/>
      <c r="AF39" s="91"/>
      <c r="AG39" s="78">
        <f t="shared" si="10"/>
        <v>7681700</v>
      </c>
      <c r="AH39" s="189"/>
      <c r="AI39" s="190">
        <v>6</v>
      </c>
      <c r="AJ39" s="191">
        <v>1</v>
      </c>
      <c r="AK39" s="192"/>
      <c r="AL39" s="193"/>
      <c r="AM39" s="194"/>
      <c r="AN39" s="195"/>
      <c r="AO39" s="196"/>
      <c r="AP39" s="152">
        <f t="shared" si="12"/>
        <v>28681700</v>
      </c>
      <c r="AQ39" s="152">
        <f t="shared" si="13"/>
        <v>185121.5</v>
      </c>
      <c r="AR39" s="153">
        <f t="shared" si="6"/>
        <v>9256.0750000000007</v>
      </c>
      <c r="AS39" s="152">
        <f t="shared" si="14"/>
        <v>29075865.425000001</v>
      </c>
      <c r="AU39" s="197" t="s">
        <v>133</v>
      </c>
      <c r="AV39" s="11"/>
    </row>
    <row r="40" spans="1:48" s="206" customFormat="1" ht="21.75" customHeight="1" x14ac:dyDescent="0.2">
      <c r="A40" s="63">
        <v>27</v>
      </c>
      <c r="B40" s="92" t="s">
        <v>65</v>
      </c>
      <c r="C40" s="101" t="s">
        <v>36</v>
      </c>
      <c r="D40" s="94"/>
      <c r="E40" s="105"/>
      <c r="F40" s="105"/>
      <c r="G40" s="95">
        <v>5681700</v>
      </c>
      <c r="H40" s="96"/>
      <c r="I40" s="97">
        <v>0</v>
      </c>
      <c r="J40" s="95">
        <v>1000000</v>
      </c>
      <c r="K40" s="95">
        <v>1000000</v>
      </c>
      <c r="L40" s="98"/>
      <c r="M40" s="106">
        <f>VLOOKUP(B40,'[1]BK TT'!$B$6:$I$103,8,0)</f>
        <v>0</v>
      </c>
      <c r="N40" s="73">
        <f t="shared" si="2"/>
        <v>0</v>
      </c>
      <c r="O40" s="99"/>
      <c r="P40" s="96"/>
      <c r="Q40" s="90">
        <v>1000000</v>
      </c>
      <c r="R40" s="90"/>
      <c r="S40" s="76">
        <f t="shared" si="7"/>
        <v>8681700</v>
      </c>
      <c r="T40" s="100">
        <v>596578.5</v>
      </c>
      <c r="U40" s="72">
        <v>1221565.5</v>
      </c>
      <c r="V40" s="72">
        <f t="shared" si="8"/>
        <v>6681700</v>
      </c>
      <c r="W40" s="72">
        <v>15500000</v>
      </c>
      <c r="X40" s="98"/>
      <c r="Y40" s="72">
        <f t="shared" si="11"/>
        <v>0</v>
      </c>
      <c r="Z40" s="80">
        <f t="shared" si="3"/>
        <v>0</v>
      </c>
      <c r="AA40" s="72">
        <f t="shared" si="4"/>
        <v>0</v>
      </c>
      <c r="AB40" s="72">
        <f t="shared" si="5"/>
        <v>0</v>
      </c>
      <c r="AC40" s="72">
        <f t="shared" si="9"/>
        <v>8085121.5</v>
      </c>
      <c r="AD40" s="81"/>
      <c r="AE40" s="91"/>
      <c r="AF40" s="91"/>
      <c r="AG40" s="78">
        <f t="shared" si="10"/>
        <v>7681700</v>
      </c>
      <c r="AH40" s="189"/>
      <c r="AI40" s="190"/>
      <c r="AJ40" s="191"/>
      <c r="AK40" s="192"/>
      <c r="AL40" s="193"/>
      <c r="AM40" s="194"/>
      <c r="AN40" s="195"/>
      <c r="AO40" s="196"/>
      <c r="AP40" s="152">
        <f t="shared" si="12"/>
        <v>7681700</v>
      </c>
      <c r="AQ40" s="152">
        <f t="shared" si="13"/>
        <v>0</v>
      </c>
      <c r="AR40" s="153">
        <f t="shared" si="6"/>
        <v>0</v>
      </c>
      <c r="AS40" s="152">
        <f t="shared" si="14"/>
        <v>8085121.5</v>
      </c>
      <c r="AU40" s="197" t="s">
        <v>134</v>
      </c>
      <c r="AV40" s="11"/>
    </row>
    <row r="41" spans="1:48" s="206" customFormat="1" ht="21.75" customHeight="1" x14ac:dyDescent="0.2">
      <c r="A41" s="83">
        <v>28</v>
      </c>
      <c r="B41" s="92" t="s">
        <v>66</v>
      </c>
      <c r="C41" s="101" t="s">
        <v>40</v>
      </c>
      <c r="D41" s="94"/>
      <c r="E41" s="105"/>
      <c r="F41" s="105"/>
      <c r="G41" s="95">
        <v>5681700</v>
      </c>
      <c r="H41" s="96"/>
      <c r="I41" s="97">
        <v>0</v>
      </c>
      <c r="J41" s="95">
        <v>1000000</v>
      </c>
      <c r="K41" s="95">
        <v>1000000</v>
      </c>
      <c r="L41" s="98"/>
      <c r="M41" s="106">
        <f>VLOOKUP(B41,'[1]BK TT'!$B$6:$I$103,8,0)</f>
        <v>0</v>
      </c>
      <c r="N41" s="73">
        <f t="shared" si="2"/>
        <v>13000000</v>
      </c>
      <c r="O41" s="99"/>
      <c r="P41" s="96"/>
      <c r="Q41" s="90">
        <v>1000000</v>
      </c>
      <c r="R41" s="90"/>
      <c r="S41" s="76">
        <f t="shared" si="7"/>
        <v>21681700</v>
      </c>
      <c r="T41" s="100">
        <v>596578.5</v>
      </c>
      <c r="U41" s="72">
        <v>1221565.5</v>
      </c>
      <c r="V41" s="72">
        <f t="shared" si="8"/>
        <v>19681700</v>
      </c>
      <c r="W41" s="72">
        <v>15500000</v>
      </c>
      <c r="X41" s="98">
        <v>2</v>
      </c>
      <c r="Y41" s="72">
        <f t="shared" si="11"/>
        <v>12400000</v>
      </c>
      <c r="Z41" s="80">
        <f t="shared" si="3"/>
        <v>0</v>
      </c>
      <c r="AA41" s="72">
        <f t="shared" si="4"/>
        <v>0</v>
      </c>
      <c r="AB41" s="72">
        <f t="shared" si="5"/>
        <v>0</v>
      </c>
      <c r="AC41" s="72">
        <f t="shared" si="9"/>
        <v>21085121.5</v>
      </c>
      <c r="AD41" s="81"/>
      <c r="AE41" s="91"/>
      <c r="AF41" s="91"/>
      <c r="AG41" s="78">
        <f t="shared" si="10"/>
        <v>7681700</v>
      </c>
      <c r="AH41" s="189">
        <v>2</v>
      </c>
      <c r="AI41" s="190">
        <v>2</v>
      </c>
      <c r="AJ41" s="191">
        <v>1</v>
      </c>
      <c r="AK41" s="192"/>
      <c r="AL41" s="193"/>
      <c r="AM41" s="194"/>
      <c r="AN41" s="195"/>
      <c r="AO41" s="196"/>
      <c r="AP41" s="152">
        <f t="shared" si="12"/>
        <v>20681700</v>
      </c>
      <c r="AQ41" s="152">
        <f t="shared" si="13"/>
        <v>0</v>
      </c>
      <c r="AR41" s="153">
        <f t="shared" si="6"/>
        <v>0</v>
      </c>
      <c r="AS41" s="152">
        <f t="shared" si="14"/>
        <v>21085121.5</v>
      </c>
      <c r="AU41" s="205" t="s">
        <v>135</v>
      </c>
      <c r="AV41" s="11"/>
    </row>
    <row r="42" spans="1:48" s="206" customFormat="1" ht="21.75" customHeight="1" x14ac:dyDescent="0.2">
      <c r="A42" s="63">
        <v>29</v>
      </c>
      <c r="B42" s="92" t="s">
        <v>67</v>
      </c>
      <c r="C42" s="101" t="s">
        <v>36</v>
      </c>
      <c r="D42" s="94"/>
      <c r="E42" s="105"/>
      <c r="F42" s="105"/>
      <c r="G42" s="95">
        <v>5681700</v>
      </c>
      <c r="H42" s="96"/>
      <c r="I42" s="97">
        <v>0</v>
      </c>
      <c r="J42" s="95">
        <v>1000000</v>
      </c>
      <c r="K42" s="95">
        <v>1000000</v>
      </c>
      <c r="L42" s="98"/>
      <c r="M42" s="106">
        <f>VLOOKUP(B42,'[1]BK TT'!$B$6:$I$103,8,0)</f>
        <v>0</v>
      </c>
      <c r="N42" s="73">
        <f t="shared" si="2"/>
        <v>0</v>
      </c>
      <c r="O42" s="99"/>
      <c r="P42" s="96"/>
      <c r="Q42" s="90">
        <v>1000000</v>
      </c>
      <c r="R42" s="90"/>
      <c r="S42" s="76">
        <f t="shared" si="7"/>
        <v>8681700</v>
      </c>
      <c r="T42" s="100">
        <v>596578.5</v>
      </c>
      <c r="U42" s="72">
        <v>1221565.5</v>
      </c>
      <c r="V42" s="72">
        <f t="shared" si="8"/>
        <v>6681700</v>
      </c>
      <c r="W42" s="72">
        <v>15500000</v>
      </c>
      <c r="X42" s="98"/>
      <c r="Y42" s="72">
        <f t="shared" si="11"/>
        <v>0</v>
      </c>
      <c r="Z42" s="80">
        <f t="shared" si="3"/>
        <v>0</v>
      </c>
      <c r="AA42" s="72">
        <f t="shared" si="4"/>
        <v>0</v>
      </c>
      <c r="AB42" s="72">
        <f t="shared" si="5"/>
        <v>0</v>
      </c>
      <c r="AC42" s="72">
        <f t="shared" si="9"/>
        <v>8085121.5</v>
      </c>
      <c r="AD42" s="81"/>
      <c r="AE42" s="91"/>
      <c r="AF42" s="91"/>
      <c r="AG42" s="78">
        <f t="shared" si="10"/>
        <v>7681700</v>
      </c>
      <c r="AH42" s="189"/>
      <c r="AI42" s="190"/>
      <c r="AJ42" s="207"/>
      <c r="AK42" s="192"/>
      <c r="AL42" s="193"/>
      <c r="AM42" s="194"/>
      <c r="AN42" s="195"/>
      <c r="AO42" s="196"/>
      <c r="AP42" s="152">
        <f t="shared" si="12"/>
        <v>7681700</v>
      </c>
      <c r="AQ42" s="152">
        <f t="shared" si="13"/>
        <v>0</v>
      </c>
      <c r="AR42" s="153">
        <f t="shared" si="6"/>
        <v>0</v>
      </c>
      <c r="AS42" s="152">
        <f t="shared" si="14"/>
        <v>8085121.5</v>
      </c>
      <c r="AU42" s="197" t="s">
        <v>136</v>
      </c>
      <c r="AV42" s="11"/>
    </row>
    <row r="43" spans="1:48" s="11" customFormat="1" ht="21.75" customHeight="1" x14ac:dyDescent="0.2">
      <c r="A43" s="83">
        <v>30</v>
      </c>
      <c r="B43" s="92" t="s">
        <v>68</v>
      </c>
      <c r="C43" s="93" t="s">
        <v>40</v>
      </c>
      <c r="D43" s="94"/>
      <c r="E43" s="94"/>
      <c r="F43" s="94"/>
      <c r="G43" s="95">
        <v>5681700</v>
      </c>
      <c r="H43" s="96"/>
      <c r="I43" s="97">
        <v>0</v>
      </c>
      <c r="J43" s="95">
        <v>1000000</v>
      </c>
      <c r="K43" s="95">
        <v>1000000</v>
      </c>
      <c r="L43" s="98"/>
      <c r="M43" s="106">
        <f>VLOOKUP(B43,'[1]BK TT'!$B$6:$I$103,8,0)</f>
        <v>0</v>
      </c>
      <c r="N43" s="73">
        <f t="shared" si="2"/>
        <v>3000000</v>
      </c>
      <c r="O43" s="99"/>
      <c r="P43" s="96"/>
      <c r="Q43" s="90">
        <v>1000000</v>
      </c>
      <c r="R43" s="90"/>
      <c r="S43" s="76">
        <f t="shared" si="7"/>
        <v>11681700</v>
      </c>
      <c r="T43" s="100">
        <v>596578.5</v>
      </c>
      <c r="U43" s="72">
        <v>1221565.5</v>
      </c>
      <c r="V43" s="72">
        <f t="shared" si="8"/>
        <v>9681700</v>
      </c>
      <c r="W43" s="72">
        <v>15500000</v>
      </c>
      <c r="X43" s="98"/>
      <c r="Y43" s="72">
        <f t="shared" si="11"/>
        <v>0</v>
      </c>
      <c r="Z43" s="80">
        <f t="shared" si="3"/>
        <v>0</v>
      </c>
      <c r="AA43" s="72">
        <f t="shared" si="4"/>
        <v>0</v>
      </c>
      <c r="AB43" s="72">
        <f t="shared" si="5"/>
        <v>0</v>
      </c>
      <c r="AC43" s="72">
        <f t="shared" si="9"/>
        <v>11085121.5</v>
      </c>
      <c r="AD43" s="81"/>
      <c r="AE43" s="91"/>
      <c r="AF43" s="91"/>
      <c r="AG43" s="78">
        <f t="shared" si="10"/>
        <v>7681700</v>
      </c>
      <c r="AH43" s="189"/>
      <c r="AI43" s="190"/>
      <c r="AJ43" s="191">
        <v>1</v>
      </c>
      <c r="AK43" s="192"/>
      <c r="AL43" s="193"/>
      <c r="AM43" s="194"/>
      <c r="AN43" s="195"/>
      <c r="AO43" s="196"/>
      <c r="AP43" s="152">
        <f t="shared" si="12"/>
        <v>10681700</v>
      </c>
      <c r="AQ43" s="152">
        <f t="shared" si="13"/>
        <v>0</v>
      </c>
      <c r="AR43" s="153">
        <f t="shared" si="6"/>
        <v>0</v>
      </c>
      <c r="AS43" s="152">
        <f t="shared" si="14"/>
        <v>11085121.5</v>
      </c>
      <c r="AU43" s="197" t="s">
        <v>137</v>
      </c>
      <c r="AV43" s="171"/>
    </row>
    <row r="44" spans="1:48" s="11" customFormat="1" ht="21.75" customHeight="1" x14ac:dyDescent="0.2">
      <c r="A44" s="63">
        <v>31</v>
      </c>
      <c r="B44" s="92" t="s">
        <v>69</v>
      </c>
      <c r="C44" s="101" t="s">
        <v>36</v>
      </c>
      <c r="D44" s="94"/>
      <c r="E44" s="94"/>
      <c r="F44" s="94"/>
      <c r="G44" s="95">
        <v>5681700</v>
      </c>
      <c r="H44" s="96"/>
      <c r="I44" s="97">
        <v>0</v>
      </c>
      <c r="J44" s="95">
        <v>1000000</v>
      </c>
      <c r="K44" s="95">
        <v>1000000</v>
      </c>
      <c r="L44" s="98"/>
      <c r="M44" s="106">
        <f>VLOOKUP(B44,'[1]BK TT'!$B$6:$I$103,8,0)</f>
        <v>0</v>
      </c>
      <c r="N44" s="73">
        <f t="shared" si="2"/>
        <v>2000000</v>
      </c>
      <c r="O44" s="99"/>
      <c r="P44" s="96"/>
      <c r="Q44" s="90">
        <v>1000000</v>
      </c>
      <c r="R44" s="90"/>
      <c r="S44" s="76">
        <f t="shared" si="7"/>
        <v>10681700</v>
      </c>
      <c r="T44" s="100">
        <v>596578.5</v>
      </c>
      <c r="U44" s="72">
        <v>1221565.5</v>
      </c>
      <c r="V44" s="72">
        <f t="shared" si="8"/>
        <v>8681700</v>
      </c>
      <c r="W44" s="72">
        <v>15500000</v>
      </c>
      <c r="X44" s="98">
        <v>2</v>
      </c>
      <c r="Y44" s="72">
        <f t="shared" si="11"/>
        <v>12400000</v>
      </c>
      <c r="Z44" s="80">
        <f t="shared" si="3"/>
        <v>0</v>
      </c>
      <c r="AA44" s="72">
        <f t="shared" si="4"/>
        <v>0</v>
      </c>
      <c r="AB44" s="72">
        <f t="shared" si="5"/>
        <v>0</v>
      </c>
      <c r="AC44" s="72">
        <f t="shared" si="9"/>
        <v>10085121.5</v>
      </c>
      <c r="AD44" s="81"/>
      <c r="AE44" s="91"/>
      <c r="AF44" s="91"/>
      <c r="AG44" s="78">
        <f t="shared" si="10"/>
        <v>7681700</v>
      </c>
      <c r="AH44" s="189">
        <v>1</v>
      </c>
      <c r="AI44" s="190"/>
      <c r="AJ44" s="191"/>
      <c r="AK44" s="192"/>
      <c r="AL44" s="193"/>
      <c r="AM44" s="194"/>
      <c r="AN44" s="195"/>
      <c r="AO44" s="196"/>
      <c r="AP44" s="152">
        <f t="shared" si="12"/>
        <v>9681700</v>
      </c>
      <c r="AQ44" s="152">
        <f t="shared" si="13"/>
        <v>0</v>
      </c>
      <c r="AR44" s="153">
        <f t="shared" si="6"/>
        <v>0</v>
      </c>
      <c r="AS44" s="152">
        <f t="shared" si="14"/>
        <v>10085121.5</v>
      </c>
      <c r="AU44" s="201" t="s">
        <v>138</v>
      </c>
      <c r="AV44" s="171"/>
    </row>
    <row r="45" spans="1:48" s="11" customFormat="1" ht="21.75" customHeight="1" x14ac:dyDescent="0.2">
      <c r="A45" s="83">
        <v>32</v>
      </c>
      <c r="B45" s="92" t="s">
        <v>70</v>
      </c>
      <c r="C45" s="102" t="s">
        <v>40</v>
      </c>
      <c r="D45" s="94"/>
      <c r="E45" s="94"/>
      <c r="F45" s="94"/>
      <c r="G45" s="95">
        <v>5681700</v>
      </c>
      <c r="H45" s="96"/>
      <c r="I45" s="97">
        <v>0</v>
      </c>
      <c r="J45" s="95">
        <v>1000000</v>
      </c>
      <c r="K45" s="95">
        <v>1000000</v>
      </c>
      <c r="L45" s="98"/>
      <c r="M45" s="106">
        <f>VLOOKUP(B45,'[1]BK TT'!$B$6:$I$103,8,0)</f>
        <v>0</v>
      </c>
      <c r="N45" s="73">
        <f t="shared" si="2"/>
        <v>0</v>
      </c>
      <c r="O45" s="99"/>
      <c r="P45" s="96"/>
      <c r="Q45" s="90">
        <v>1000000</v>
      </c>
      <c r="R45" s="90"/>
      <c r="S45" s="76">
        <f t="shared" si="7"/>
        <v>8681700</v>
      </c>
      <c r="T45" s="100">
        <v>596578.5</v>
      </c>
      <c r="U45" s="72">
        <v>1221565.5</v>
      </c>
      <c r="V45" s="72">
        <f t="shared" si="8"/>
        <v>6681700</v>
      </c>
      <c r="W45" s="72">
        <v>15500000</v>
      </c>
      <c r="X45" s="98"/>
      <c r="Y45" s="72">
        <f t="shared" si="11"/>
        <v>0</v>
      </c>
      <c r="Z45" s="80">
        <f t="shared" si="3"/>
        <v>0</v>
      </c>
      <c r="AA45" s="72">
        <f t="shared" si="4"/>
        <v>0</v>
      </c>
      <c r="AB45" s="72">
        <f t="shared" si="5"/>
        <v>0</v>
      </c>
      <c r="AC45" s="72">
        <f t="shared" si="9"/>
        <v>8085121.5</v>
      </c>
      <c r="AD45" s="81"/>
      <c r="AE45" s="91"/>
      <c r="AF45" s="91"/>
      <c r="AG45" s="78">
        <f t="shared" si="10"/>
        <v>7681700</v>
      </c>
      <c r="AH45" s="189"/>
      <c r="AI45" s="190"/>
      <c r="AJ45" s="191"/>
      <c r="AK45" s="192"/>
      <c r="AL45" s="193"/>
      <c r="AM45" s="194"/>
      <c r="AN45" s="195"/>
      <c r="AO45" s="196"/>
      <c r="AP45" s="152">
        <f t="shared" si="12"/>
        <v>7681700</v>
      </c>
      <c r="AQ45" s="152">
        <f t="shared" si="13"/>
        <v>0</v>
      </c>
      <c r="AR45" s="153">
        <f t="shared" si="6"/>
        <v>0</v>
      </c>
      <c r="AS45" s="152">
        <f t="shared" si="14"/>
        <v>8085121.5</v>
      </c>
      <c r="AU45" s="205" t="s">
        <v>139</v>
      </c>
    </row>
    <row r="46" spans="1:48" s="11" customFormat="1" ht="21.75" customHeight="1" x14ac:dyDescent="0.2">
      <c r="A46" s="63">
        <v>33</v>
      </c>
      <c r="B46" s="92" t="s">
        <v>71</v>
      </c>
      <c r="C46" s="101" t="s">
        <v>40</v>
      </c>
      <c r="D46" s="94"/>
      <c r="E46" s="94"/>
      <c r="F46" s="94"/>
      <c r="G46" s="95">
        <v>5681700</v>
      </c>
      <c r="H46" s="96"/>
      <c r="I46" s="97">
        <v>0</v>
      </c>
      <c r="J46" s="95">
        <v>1000000</v>
      </c>
      <c r="K46" s="95">
        <v>1000000</v>
      </c>
      <c r="L46" s="98"/>
      <c r="M46" s="106">
        <f>VLOOKUP(B46,'[1]BK TT'!$B$6:$I$103,8,0)</f>
        <v>0</v>
      </c>
      <c r="N46" s="73">
        <f t="shared" si="2"/>
        <v>0</v>
      </c>
      <c r="O46" s="99"/>
      <c r="P46" s="96"/>
      <c r="Q46" s="90">
        <v>1000000</v>
      </c>
      <c r="R46" s="90"/>
      <c r="S46" s="76">
        <f t="shared" si="7"/>
        <v>8681700</v>
      </c>
      <c r="T46" s="100">
        <v>596578.5</v>
      </c>
      <c r="U46" s="72">
        <v>1221565.5</v>
      </c>
      <c r="V46" s="72">
        <f t="shared" si="8"/>
        <v>6681700</v>
      </c>
      <c r="W46" s="72">
        <v>15500000</v>
      </c>
      <c r="X46" s="98"/>
      <c r="Y46" s="72">
        <f t="shared" si="11"/>
        <v>0</v>
      </c>
      <c r="Z46" s="80">
        <f t="shared" si="3"/>
        <v>0</v>
      </c>
      <c r="AA46" s="72">
        <f t="shared" si="4"/>
        <v>0</v>
      </c>
      <c r="AB46" s="72">
        <f t="shared" si="5"/>
        <v>0</v>
      </c>
      <c r="AC46" s="72">
        <f t="shared" si="9"/>
        <v>8085121.5</v>
      </c>
      <c r="AD46" s="81"/>
      <c r="AE46" s="91"/>
      <c r="AF46" s="91"/>
      <c r="AG46" s="78">
        <f t="shared" si="10"/>
        <v>7681700</v>
      </c>
      <c r="AH46" s="189"/>
      <c r="AI46" s="190"/>
      <c r="AJ46" s="191"/>
      <c r="AK46" s="192"/>
      <c r="AL46" s="193"/>
      <c r="AM46" s="194"/>
      <c r="AN46" s="195"/>
      <c r="AO46" s="196"/>
      <c r="AP46" s="152">
        <f t="shared" si="12"/>
        <v>7681700</v>
      </c>
      <c r="AQ46" s="152">
        <f t="shared" si="13"/>
        <v>0</v>
      </c>
      <c r="AR46" s="153">
        <f t="shared" si="6"/>
        <v>0</v>
      </c>
      <c r="AS46" s="152">
        <f t="shared" si="14"/>
        <v>8085121.5</v>
      </c>
      <c r="AU46" s="201" t="s">
        <v>140</v>
      </c>
      <c r="AV46" s="171"/>
    </row>
    <row r="47" spans="1:48" s="11" customFormat="1" ht="21.75" customHeight="1" x14ac:dyDescent="0.2">
      <c r="A47" s="83">
        <v>34</v>
      </c>
      <c r="B47" s="92" t="s">
        <v>72</v>
      </c>
      <c r="C47" s="101" t="s">
        <v>40</v>
      </c>
      <c r="D47" s="94"/>
      <c r="E47" s="94"/>
      <c r="F47" s="94"/>
      <c r="G47" s="95">
        <v>5681700</v>
      </c>
      <c r="H47" s="96"/>
      <c r="I47" s="97">
        <v>0</v>
      </c>
      <c r="J47" s="95">
        <v>1000000</v>
      </c>
      <c r="K47" s="95">
        <v>1000000</v>
      </c>
      <c r="L47" s="98"/>
      <c r="M47" s="106">
        <f>VLOOKUP(B47,'[1]BK TT'!$B$6:$I$103,8,0)</f>
        <v>4112000</v>
      </c>
      <c r="N47" s="73">
        <f t="shared" si="2"/>
        <v>12000000</v>
      </c>
      <c r="O47" s="99"/>
      <c r="P47" s="96"/>
      <c r="Q47" s="90">
        <v>1000000</v>
      </c>
      <c r="R47" s="90"/>
      <c r="S47" s="76">
        <f t="shared" si="7"/>
        <v>24793700</v>
      </c>
      <c r="T47" s="100">
        <v>596578.5</v>
      </c>
      <c r="U47" s="72">
        <v>1221565.5</v>
      </c>
      <c r="V47" s="72">
        <f t="shared" si="8"/>
        <v>22793700</v>
      </c>
      <c r="W47" s="72">
        <v>15500000</v>
      </c>
      <c r="X47" s="98">
        <v>2</v>
      </c>
      <c r="Y47" s="72">
        <f t="shared" si="11"/>
        <v>12400000</v>
      </c>
      <c r="Z47" s="80">
        <f t="shared" si="3"/>
        <v>0</v>
      </c>
      <c r="AA47" s="72">
        <f t="shared" si="4"/>
        <v>0</v>
      </c>
      <c r="AB47" s="72">
        <f t="shared" si="5"/>
        <v>0</v>
      </c>
      <c r="AC47" s="72">
        <f t="shared" si="9"/>
        <v>24197121.5</v>
      </c>
      <c r="AD47" s="81"/>
      <c r="AE47" s="91"/>
      <c r="AF47" s="91"/>
      <c r="AG47" s="78">
        <f t="shared" si="10"/>
        <v>7681700</v>
      </c>
      <c r="AH47" s="189">
        <v>3</v>
      </c>
      <c r="AI47" s="190"/>
      <c r="AJ47" s="191">
        <v>2</v>
      </c>
      <c r="AK47" s="192"/>
      <c r="AL47" s="193"/>
      <c r="AM47" s="194"/>
      <c r="AN47" s="195"/>
      <c r="AO47" s="196" t="s">
        <v>141</v>
      </c>
      <c r="AP47" s="152">
        <f t="shared" si="12"/>
        <v>23793700</v>
      </c>
      <c r="AQ47" s="152">
        <f t="shared" si="13"/>
        <v>0</v>
      </c>
      <c r="AR47" s="153">
        <f t="shared" si="6"/>
        <v>0</v>
      </c>
      <c r="AS47" s="152">
        <f t="shared" si="14"/>
        <v>24197121.5</v>
      </c>
      <c r="AU47" s="201" t="s">
        <v>142</v>
      </c>
      <c r="AV47" s="171"/>
    </row>
    <row r="48" spans="1:48" s="11" customFormat="1" ht="21.75" customHeight="1" x14ac:dyDescent="0.2">
      <c r="A48" s="63">
        <v>35</v>
      </c>
      <c r="B48" s="92" t="s">
        <v>73</v>
      </c>
      <c r="C48" s="101" t="s">
        <v>40</v>
      </c>
      <c r="D48" s="94"/>
      <c r="E48" s="94"/>
      <c r="F48" s="94"/>
      <c r="G48" s="95">
        <v>5681700</v>
      </c>
      <c r="H48" s="96"/>
      <c r="I48" s="97">
        <v>0</v>
      </c>
      <c r="J48" s="95">
        <v>1000000</v>
      </c>
      <c r="K48" s="95">
        <v>1000000</v>
      </c>
      <c r="L48" s="98"/>
      <c r="M48" s="106">
        <f>VLOOKUP(B48,'[1]BK TT'!$B$6:$I$103,8,0)</f>
        <v>0</v>
      </c>
      <c r="N48" s="73">
        <f t="shared" si="2"/>
        <v>6000000</v>
      </c>
      <c r="O48" s="99"/>
      <c r="P48" s="96"/>
      <c r="Q48" s="90">
        <v>1000000</v>
      </c>
      <c r="R48" s="90"/>
      <c r="S48" s="76">
        <f t="shared" si="7"/>
        <v>14681700</v>
      </c>
      <c r="T48" s="100">
        <v>596578.5</v>
      </c>
      <c r="U48" s="72">
        <v>1221565.5</v>
      </c>
      <c r="V48" s="72">
        <f t="shared" si="8"/>
        <v>12681700</v>
      </c>
      <c r="W48" s="72">
        <v>15500000</v>
      </c>
      <c r="X48" s="98">
        <v>2</v>
      </c>
      <c r="Y48" s="72">
        <f t="shared" si="11"/>
        <v>12400000</v>
      </c>
      <c r="Z48" s="80">
        <f t="shared" si="3"/>
        <v>0</v>
      </c>
      <c r="AA48" s="72">
        <f t="shared" si="4"/>
        <v>0</v>
      </c>
      <c r="AB48" s="72">
        <f t="shared" si="5"/>
        <v>0</v>
      </c>
      <c r="AC48" s="72">
        <f t="shared" si="9"/>
        <v>14085121.5</v>
      </c>
      <c r="AD48" s="81"/>
      <c r="AE48" s="91"/>
      <c r="AF48" s="91"/>
      <c r="AG48" s="78">
        <f t="shared" si="10"/>
        <v>7681700</v>
      </c>
      <c r="AH48" s="189"/>
      <c r="AI48" s="190">
        <v>2</v>
      </c>
      <c r="AJ48" s="191"/>
      <c r="AK48" s="192"/>
      <c r="AL48" s="193"/>
      <c r="AM48" s="194"/>
      <c r="AN48" s="195"/>
      <c r="AO48" s="196"/>
      <c r="AP48" s="152">
        <f t="shared" si="12"/>
        <v>13681700</v>
      </c>
      <c r="AQ48" s="152">
        <f t="shared" si="13"/>
        <v>0</v>
      </c>
      <c r="AR48" s="153">
        <f t="shared" si="6"/>
        <v>0</v>
      </c>
      <c r="AS48" s="152">
        <f t="shared" si="14"/>
        <v>14085121.5</v>
      </c>
      <c r="AU48" s="201" t="s">
        <v>143</v>
      </c>
      <c r="AV48" s="171"/>
    </row>
    <row r="49" spans="1:48" s="11" customFormat="1" ht="21.75" customHeight="1" x14ac:dyDescent="0.2">
      <c r="A49" s="83">
        <v>36</v>
      </c>
      <c r="B49" s="92" t="s">
        <v>74</v>
      </c>
      <c r="C49" s="93" t="s">
        <v>36</v>
      </c>
      <c r="D49" s="94"/>
      <c r="E49" s="94"/>
      <c r="F49" s="94"/>
      <c r="G49" s="95">
        <v>5681700</v>
      </c>
      <c r="H49" s="96"/>
      <c r="I49" s="97">
        <v>0</v>
      </c>
      <c r="J49" s="95">
        <v>1000000</v>
      </c>
      <c r="K49" s="95">
        <v>1000000</v>
      </c>
      <c r="L49" s="98"/>
      <c r="M49" s="106">
        <f>VLOOKUP(B49,'[1]BK TT'!$B$6:$I$103,8,0)</f>
        <v>0</v>
      </c>
      <c r="N49" s="73">
        <f t="shared" si="2"/>
        <v>10000000</v>
      </c>
      <c r="O49" s="99"/>
      <c r="P49" s="96"/>
      <c r="Q49" s="90">
        <v>1000000</v>
      </c>
      <c r="R49" s="90"/>
      <c r="S49" s="76">
        <f t="shared" si="7"/>
        <v>18681700</v>
      </c>
      <c r="T49" s="100">
        <v>596578.5</v>
      </c>
      <c r="U49" s="72">
        <v>1221565.5</v>
      </c>
      <c r="V49" s="72">
        <f t="shared" si="8"/>
        <v>16681700</v>
      </c>
      <c r="W49" s="72">
        <v>15500000</v>
      </c>
      <c r="X49" s="98"/>
      <c r="Y49" s="72">
        <f t="shared" si="11"/>
        <v>0</v>
      </c>
      <c r="Z49" s="80">
        <f t="shared" si="3"/>
        <v>585121.5</v>
      </c>
      <c r="AA49" s="72">
        <f t="shared" si="4"/>
        <v>1</v>
      </c>
      <c r="AB49" s="72">
        <f t="shared" si="5"/>
        <v>29256.075000000001</v>
      </c>
      <c r="AC49" s="72">
        <f t="shared" si="9"/>
        <v>18055865.425000001</v>
      </c>
      <c r="AD49" s="81"/>
      <c r="AE49" s="91"/>
      <c r="AF49" s="91"/>
      <c r="AG49" s="78">
        <f t="shared" si="10"/>
        <v>7681700</v>
      </c>
      <c r="AH49" s="189">
        <v>5</v>
      </c>
      <c r="AI49" s="190"/>
      <c r="AJ49" s="191"/>
      <c r="AK49" s="192"/>
      <c r="AL49" s="193"/>
      <c r="AM49" s="194"/>
      <c r="AN49" s="195"/>
      <c r="AO49" s="196"/>
      <c r="AP49" s="152">
        <f t="shared" si="12"/>
        <v>17681700</v>
      </c>
      <c r="AQ49" s="152">
        <f t="shared" si="13"/>
        <v>1585121.5</v>
      </c>
      <c r="AR49" s="153">
        <f t="shared" si="6"/>
        <v>79256.075000000012</v>
      </c>
      <c r="AS49" s="152">
        <f t="shared" si="14"/>
        <v>18005865.425000001</v>
      </c>
      <c r="AU49" s="201" t="s">
        <v>144</v>
      </c>
      <c r="AV49" s="171"/>
    </row>
    <row r="50" spans="1:48" s="206" customFormat="1" ht="21.75" customHeight="1" x14ac:dyDescent="0.2">
      <c r="A50" s="63">
        <v>37</v>
      </c>
      <c r="B50" s="92" t="s">
        <v>75</v>
      </c>
      <c r="C50" s="101" t="s">
        <v>40</v>
      </c>
      <c r="D50" s="94"/>
      <c r="E50" s="105"/>
      <c r="F50" s="105"/>
      <c r="G50" s="95">
        <v>5681700</v>
      </c>
      <c r="H50" s="96"/>
      <c r="I50" s="97">
        <v>0</v>
      </c>
      <c r="J50" s="95">
        <v>1000000</v>
      </c>
      <c r="K50" s="95">
        <v>1000000</v>
      </c>
      <c r="L50" s="98"/>
      <c r="M50" s="106">
        <f>VLOOKUP(B50,'[1]BK TT'!$B$6:$I$103,8,0)</f>
        <v>0</v>
      </c>
      <c r="N50" s="73">
        <f t="shared" si="2"/>
        <v>3000000</v>
      </c>
      <c r="O50" s="99"/>
      <c r="P50" s="96"/>
      <c r="Q50" s="90">
        <v>1000000</v>
      </c>
      <c r="R50" s="90"/>
      <c r="S50" s="76">
        <f t="shared" si="7"/>
        <v>11681700</v>
      </c>
      <c r="T50" s="100">
        <v>596578.5</v>
      </c>
      <c r="U50" s="72">
        <v>1221565.5</v>
      </c>
      <c r="V50" s="72">
        <f t="shared" si="8"/>
        <v>9681700</v>
      </c>
      <c r="W50" s="72">
        <v>15500000</v>
      </c>
      <c r="X50" s="98"/>
      <c r="Y50" s="72">
        <f t="shared" si="11"/>
        <v>0</v>
      </c>
      <c r="Z50" s="80">
        <f t="shared" si="3"/>
        <v>0</v>
      </c>
      <c r="AA50" s="72">
        <f t="shared" si="4"/>
        <v>0</v>
      </c>
      <c r="AB50" s="72">
        <f t="shared" si="5"/>
        <v>0</v>
      </c>
      <c r="AC50" s="72">
        <f t="shared" si="9"/>
        <v>11085121.5</v>
      </c>
      <c r="AD50" s="81"/>
      <c r="AE50" s="91"/>
      <c r="AF50" s="91"/>
      <c r="AG50" s="78">
        <f t="shared" si="10"/>
        <v>7681700</v>
      </c>
      <c r="AH50" s="189"/>
      <c r="AI50" s="190">
        <v>1</v>
      </c>
      <c r="AJ50" s="191"/>
      <c r="AK50" s="192"/>
      <c r="AL50" s="193"/>
      <c r="AM50" s="194"/>
      <c r="AN50" s="195"/>
      <c r="AO50" s="196"/>
      <c r="AP50" s="152">
        <f t="shared" si="12"/>
        <v>10681700</v>
      </c>
      <c r="AQ50" s="152">
        <f t="shared" si="13"/>
        <v>0</v>
      </c>
      <c r="AR50" s="153">
        <f t="shared" si="6"/>
        <v>0</v>
      </c>
      <c r="AS50" s="152">
        <f t="shared" si="14"/>
        <v>11085121.5</v>
      </c>
      <c r="AU50" s="201" t="s">
        <v>145</v>
      </c>
      <c r="AV50" s="11"/>
    </row>
    <row r="51" spans="1:48" s="206" customFormat="1" ht="21.75" customHeight="1" x14ac:dyDescent="0.2">
      <c r="A51" s="83">
        <v>38</v>
      </c>
      <c r="B51" s="92" t="s">
        <v>76</v>
      </c>
      <c r="C51" s="101" t="s">
        <v>36</v>
      </c>
      <c r="D51" s="94"/>
      <c r="E51" s="105"/>
      <c r="F51" s="105"/>
      <c r="G51" s="95">
        <v>5681700</v>
      </c>
      <c r="H51" s="96"/>
      <c r="I51" s="97">
        <v>0</v>
      </c>
      <c r="J51" s="95">
        <v>1000000</v>
      </c>
      <c r="K51" s="95">
        <v>1000000</v>
      </c>
      <c r="L51" s="98"/>
      <c r="M51" s="106">
        <f>VLOOKUP(B51,'[1]BK TT'!$B$6:$I$103,8,0)</f>
        <v>0</v>
      </c>
      <c r="N51" s="73">
        <f t="shared" si="2"/>
        <v>0</v>
      </c>
      <c r="O51" s="99"/>
      <c r="P51" s="96"/>
      <c r="Q51" s="90">
        <v>1000000</v>
      </c>
      <c r="R51" s="90"/>
      <c r="S51" s="76">
        <f t="shared" si="7"/>
        <v>8681700</v>
      </c>
      <c r="T51" s="100">
        <v>596578.5</v>
      </c>
      <c r="U51" s="72">
        <v>1221565.5</v>
      </c>
      <c r="V51" s="72">
        <f t="shared" si="8"/>
        <v>6681700</v>
      </c>
      <c r="W51" s="72">
        <v>15500000</v>
      </c>
      <c r="X51" s="98"/>
      <c r="Y51" s="72">
        <f t="shared" si="11"/>
        <v>0</v>
      </c>
      <c r="Z51" s="80">
        <f t="shared" si="3"/>
        <v>0</v>
      </c>
      <c r="AA51" s="72">
        <f t="shared" si="4"/>
        <v>0</v>
      </c>
      <c r="AB51" s="72">
        <f t="shared" si="5"/>
        <v>0</v>
      </c>
      <c r="AC51" s="72">
        <f t="shared" si="9"/>
        <v>8085121.5</v>
      </c>
      <c r="AD51" s="81"/>
      <c r="AE51" s="91"/>
      <c r="AF51" s="91"/>
      <c r="AG51" s="78">
        <f t="shared" si="10"/>
        <v>7681700</v>
      </c>
      <c r="AH51" s="189"/>
      <c r="AI51" s="190"/>
      <c r="AJ51" s="191"/>
      <c r="AK51" s="192"/>
      <c r="AL51" s="193"/>
      <c r="AM51" s="194"/>
      <c r="AN51" s="195"/>
      <c r="AO51" s="196"/>
      <c r="AP51" s="152">
        <f t="shared" si="12"/>
        <v>7681700</v>
      </c>
      <c r="AQ51" s="152">
        <f t="shared" si="13"/>
        <v>0</v>
      </c>
      <c r="AR51" s="153">
        <f t="shared" si="6"/>
        <v>0</v>
      </c>
      <c r="AS51" s="152">
        <f t="shared" si="14"/>
        <v>8085121.5</v>
      </c>
      <c r="AU51" s="201" t="s">
        <v>146</v>
      </c>
      <c r="AV51" s="171"/>
    </row>
    <row r="52" spans="1:48" s="206" customFormat="1" ht="21.75" customHeight="1" x14ac:dyDescent="0.2">
      <c r="A52" s="63">
        <v>39</v>
      </c>
      <c r="B52" s="92" t="s">
        <v>77</v>
      </c>
      <c r="C52" s="101" t="s">
        <v>62</v>
      </c>
      <c r="D52" s="94"/>
      <c r="E52" s="105"/>
      <c r="F52" s="105"/>
      <c r="G52" s="95">
        <v>5681700</v>
      </c>
      <c r="H52" s="96"/>
      <c r="I52" s="97">
        <v>0</v>
      </c>
      <c r="J52" s="95">
        <v>1000000</v>
      </c>
      <c r="K52" s="95">
        <v>1000000</v>
      </c>
      <c r="L52" s="98"/>
      <c r="M52" s="106">
        <f>VLOOKUP(B52,'[1]BK TT'!$B$6:$I$103,8,0)</f>
        <v>12448246</v>
      </c>
      <c r="N52" s="73">
        <f t="shared" si="2"/>
        <v>9000000</v>
      </c>
      <c r="O52" s="99"/>
      <c r="P52" s="96"/>
      <c r="Q52" s="90">
        <v>1000000</v>
      </c>
      <c r="R52" s="90"/>
      <c r="S52" s="76">
        <f t="shared" si="7"/>
        <v>30129946</v>
      </c>
      <c r="T52" s="100">
        <v>596578.5</v>
      </c>
      <c r="U52" s="72">
        <v>1221565.5</v>
      </c>
      <c r="V52" s="72">
        <f t="shared" si="8"/>
        <v>28129946</v>
      </c>
      <c r="W52" s="72">
        <v>15500000</v>
      </c>
      <c r="X52" s="98"/>
      <c r="Y52" s="72">
        <f t="shared" si="11"/>
        <v>0</v>
      </c>
      <c r="Z52" s="80">
        <f t="shared" si="3"/>
        <v>12033367.5</v>
      </c>
      <c r="AA52" s="72">
        <f t="shared" si="4"/>
        <v>2</v>
      </c>
      <c r="AB52" s="72">
        <f t="shared" si="5"/>
        <v>703336.75</v>
      </c>
      <c r="AC52" s="72">
        <f t="shared" si="9"/>
        <v>28830030.75</v>
      </c>
      <c r="AD52" s="81"/>
      <c r="AE52" s="91"/>
      <c r="AF52" s="91"/>
      <c r="AG52" s="78">
        <f t="shared" si="10"/>
        <v>7681700</v>
      </c>
      <c r="AH52" s="189"/>
      <c r="AI52" s="190">
        <v>3</v>
      </c>
      <c r="AJ52" s="191"/>
      <c r="AK52" s="192"/>
      <c r="AL52" s="193"/>
      <c r="AM52" s="194"/>
      <c r="AN52" s="195"/>
      <c r="AO52" s="196"/>
      <c r="AP52" s="152">
        <f t="shared" si="12"/>
        <v>29129946</v>
      </c>
      <c r="AQ52" s="152">
        <f t="shared" si="13"/>
        <v>13033367.5</v>
      </c>
      <c r="AR52" s="153">
        <f t="shared" si="6"/>
        <v>803336.75</v>
      </c>
      <c r="AS52" s="152">
        <f t="shared" si="14"/>
        <v>28730030.75</v>
      </c>
      <c r="AU52" s="201" t="s">
        <v>147</v>
      </c>
      <c r="AV52" s="171"/>
    </row>
    <row r="53" spans="1:48" s="206" customFormat="1" ht="21.75" customHeight="1" x14ac:dyDescent="0.2">
      <c r="A53" s="83">
        <v>40</v>
      </c>
      <c r="B53" s="92" t="s">
        <v>78</v>
      </c>
      <c r="C53" s="101" t="s">
        <v>36</v>
      </c>
      <c r="D53" s="94"/>
      <c r="E53" s="105"/>
      <c r="F53" s="105"/>
      <c r="G53" s="95">
        <v>5681700</v>
      </c>
      <c r="H53" s="96"/>
      <c r="I53" s="97">
        <v>0</v>
      </c>
      <c r="J53" s="95">
        <v>1000000</v>
      </c>
      <c r="K53" s="95">
        <v>1000000</v>
      </c>
      <c r="L53" s="98"/>
      <c r="M53" s="106">
        <f>VLOOKUP(B53,'[1]BK TT'!$B$6:$I$103,8,0)</f>
        <v>0</v>
      </c>
      <c r="N53" s="73">
        <f t="shared" si="2"/>
        <v>12000000</v>
      </c>
      <c r="O53" s="99"/>
      <c r="P53" s="96"/>
      <c r="Q53" s="90">
        <v>1000000</v>
      </c>
      <c r="R53" s="90"/>
      <c r="S53" s="76">
        <f t="shared" si="7"/>
        <v>20681700</v>
      </c>
      <c r="T53" s="100">
        <v>596578.5</v>
      </c>
      <c r="U53" s="72">
        <v>1221565.5</v>
      </c>
      <c r="V53" s="72">
        <f t="shared" si="8"/>
        <v>18681700</v>
      </c>
      <c r="W53" s="72">
        <v>15500000</v>
      </c>
      <c r="X53" s="98"/>
      <c r="Y53" s="72">
        <f t="shared" si="11"/>
        <v>0</v>
      </c>
      <c r="Z53" s="80">
        <f t="shared" si="3"/>
        <v>2585121.5</v>
      </c>
      <c r="AA53" s="72">
        <f t="shared" si="4"/>
        <v>1</v>
      </c>
      <c r="AB53" s="72">
        <f t="shared" si="5"/>
        <v>129256.07500000001</v>
      </c>
      <c r="AC53" s="72">
        <f t="shared" si="9"/>
        <v>19955865.425000001</v>
      </c>
      <c r="AD53" s="81"/>
      <c r="AE53" s="91"/>
      <c r="AF53" s="91"/>
      <c r="AG53" s="78">
        <f t="shared" si="10"/>
        <v>7681700</v>
      </c>
      <c r="AH53" s="189">
        <v>3</v>
      </c>
      <c r="AI53" s="190">
        <v>2</v>
      </c>
      <c r="AJ53" s="191"/>
      <c r="AK53" s="192"/>
      <c r="AL53" s="193"/>
      <c r="AM53" s="194"/>
      <c r="AN53" s="195"/>
      <c r="AO53" s="196"/>
      <c r="AP53" s="152">
        <f t="shared" si="12"/>
        <v>19681700</v>
      </c>
      <c r="AQ53" s="152">
        <f t="shared" si="13"/>
        <v>3585121.5</v>
      </c>
      <c r="AR53" s="153">
        <f t="shared" si="6"/>
        <v>179256.07500000001</v>
      </c>
      <c r="AS53" s="152">
        <f t="shared" si="14"/>
        <v>19905865.425000001</v>
      </c>
      <c r="AU53" s="201" t="s">
        <v>148</v>
      </c>
      <c r="AV53" s="171"/>
    </row>
    <row r="54" spans="1:48" s="206" customFormat="1" ht="21.75" customHeight="1" x14ac:dyDescent="0.2">
      <c r="A54" s="63">
        <v>41</v>
      </c>
      <c r="B54" s="92" t="s">
        <v>79</v>
      </c>
      <c r="C54" s="93" t="s">
        <v>40</v>
      </c>
      <c r="D54" s="94"/>
      <c r="E54" s="105"/>
      <c r="F54" s="105"/>
      <c r="G54" s="95">
        <v>5681700</v>
      </c>
      <c r="H54" s="96"/>
      <c r="I54" s="97">
        <v>0</v>
      </c>
      <c r="J54" s="95">
        <v>1000000</v>
      </c>
      <c r="K54" s="95">
        <v>1000000</v>
      </c>
      <c r="L54" s="98"/>
      <c r="M54" s="106">
        <f>VLOOKUP(B54,'[1]BK TT'!$B$6:$I$103,8,0)</f>
        <v>0</v>
      </c>
      <c r="N54" s="73">
        <f t="shared" si="2"/>
        <v>17000000</v>
      </c>
      <c r="O54" s="99"/>
      <c r="P54" s="96"/>
      <c r="Q54" s="90">
        <v>1000000</v>
      </c>
      <c r="R54" s="90"/>
      <c r="S54" s="76">
        <f t="shared" si="7"/>
        <v>25681700</v>
      </c>
      <c r="T54" s="100">
        <v>596578.5</v>
      </c>
      <c r="U54" s="72">
        <v>1221565.5</v>
      </c>
      <c r="V54" s="72">
        <f t="shared" si="8"/>
        <v>23681700</v>
      </c>
      <c r="W54" s="72">
        <v>15500000</v>
      </c>
      <c r="X54" s="98">
        <v>1</v>
      </c>
      <c r="Y54" s="72">
        <f t="shared" si="11"/>
        <v>6200000</v>
      </c>
      <c r="Z54" s="80">
        <f t="shared" si="3"/>
        <v>1385121.5</v>
      </c>
      <c r="AA54" s="72">
        <v>1</v>
      </c>
      <c r="AB54" s="72">
        <f t="shared" si="5"/>
        <v>69256.074999999997</v>
      </c>
      <c r="AC54" s="72">
        <f>S54-T54-AB54</f>
        <v>25015865.425000001</v>
      </c>
      <c r="AD54" s="81"/>
      <c r="AE54" s="91"/>
      <c r="AF54" s="91"/>
      <c r="AG54" s="78">
        <f t="shared" si="10"/>
        <v>7681700</v>
      </c>
      <c r="AH54" s="189">
        <v>1</v>
      </c>
      <c r="AI54" s="190">
        <v>1</v>
      </c>
      <c r="AJ54" s="191">
        <v>4</v>
      </c>
      <c r="AK54" s="192"/>
      <c r="AL54" s="193"/>
      <c r="AM54" s="194"/>
      <c r="AN54" s="195"/>
      <c r="AO54" s="196"/>
      <c r="AP54" s="152">
        <f t="shared" si="12"/>
        <v>24681700</v>
      </c>
      <c r="AQ54" s="152">
        <f t="shared" si="13"/>
        <v>2385121.5</v>
      </c>
      <c r="AR54" s="153">
        <f t="shared" si="6"/>
        <v>119256.07500000001</v>
      </c>
      <c r="AS54" s="152">
        <f t="shared" si="14"/>
        <v>24965865.425000001</v>
      </c>
      <c r="AU54" s="197" t="s">
        <v>149</v>
      </c>
      <c r="AV54" s="171"/>
    </row>
    <row r="55" spans="1:48" s="206" customFormat="1" ht="21.75" customHeight="1" x14ac:dyDescent="0.2">
      <c r="A55" s="83">
        <v>42</v>
      </c>
      <c r="B55" s="92" t="s">
        <v>80</v>
      </c>
      <c r="C55" s="101" t="s">
        <v>36</v>
      </c>
      <c r="D55" s="94"/>
      <c r="E55" s="105"/>
      <c r="F55" s="105"/>
      <c r="G55" s="95">
        <v>5681700</v>
      </c>
      <c r="H55" s="96"/>
      <c r="I55" s="97">
        <v>0</v>
      </c>
      <c r="J55" s="95">
        <v>1000000</v>
      </c>
      <c r="K55" s="95">
        <v>1000000</v>
      </c>
      <c r="L55" s="98"/>
      <c r="M55" s="106">
        <f>VLOOKUP(B55,'[1]BK TT'!$B$6:$I$103,8,0)</f>
        <v>0</v>
      </c>
      <c r="N55" s="73">
        <f t="shared" si="2"/>
        <v>0</v>
      </c>
      <c r="O55" s="99"/>
      <c r="P55" s="96"/>
      <c r="Q55" s="90">
        <v>1000000</v>
      </c>
      <c r="R55" s="90"/>
      <c r="S55" s="76">
        <f t="shared" si="7"/>
        <v>8681700</v>
      </c>
      <c r="T55" s="100">
        <v>596578.5</v>
      </c>
      <c r="U55" s="72">
        <v>1221565.5</v>
      </c>
      <c r="V55" s="72">
        <f t="shared" si="8"/>
        <v>6681700</v>
      </c>
      <c r="W55" s="72">
        <v>15500000</v>
      </c>
      <c r="X55" s="98"/>
      <c r="Y55" s="72">
        <f t="shared" si="11"/>
        <v>0</v>
      </c>
      <c r="Z55" s="80">
        <f t="shared" si="3"/>
        <v>0</v>
      </c>
      <c r="AA55" s="72">
        <f t="shared" si="4"/>
        <v>0</v>
      </c>
      <c r="AB55" s="72">
        <f t="shared" si="5"/>
        <v>0</v>
      </c>
      <c r="AC55" s="72">
        <f t="shared" si="9"/>
        <v>8085121.5</v>
      </c>
      <c r="AD55" s="81"/>
      <c r="AE55" s="91"/>
      <c r="AF55" s="91"/>
      <c r="AG55" s="78">
        <f t="shared" si="10"/>
        <v>7681700</v>
      </c>
      <c r="AH55" s="189"/>
      <c r="AI55" s="190"/>
      <c r="AJ55" s="191"/>
      <c r="AK55" s="192"/>
      <c r="AL55" s="193"/>
      <c r="AM55" s="194"/>
      <c r="AN55" s="195"/>
      <c r="AO55" s="196"/>
      <c r="AP55" s="152">
        <f t="shared" si="12"/>
        <v>7681700</v>
      </c>
      <c r="AQ55" s="152">
        <f t="shared" si="13"/>
        <v>0</v>
      </c>
      <c r="AR55" s="153">
        <f t="shared" si="6"/>
        <v>0</v>
      </c>
      <c r="AS55" s="152">
        <f t="shared" si="14"/>
        <v>8085121.5</v>
      </c>
      <c r="AU55" s="201" t="s">
        <v>150</v>
      </c>
      <c r="AV55" s="11"/>
    </row>
    <row r="56" spans="1:48" s="206" customFormat="1" ht="21.75" customHeight="1" x14ac:dyDescent="0.2">
      <c r="A56" s="63">
        <v>43</v>
      </c>
      <c r="B56" s="92" t="s">
        <v>81</v>
      </c>
      <c r="C56" s="101" t="s">
        <v>40</v>
      </c>
      <c r="D56" s="94"/>
      <c r="E56" s="105"/>
      <c r="F56" s="105"/>
      <c r="G56" s="95">
        <v>5681700</v>
      </c>
      <c r="H56" s="96"/>
      <c r="I56" s="97">
        <v>0</v>
      </c>
      <c r="J56" s="95">
        <v>1000000</v>
      </c>
      <c r="K56" s="95">
        <v>1000000</v>
      </c>
      <c r="L56" s="98"/>
      <c r="M56" s="106">
        <f>VLOOKUP(B56,'[1]BK TT'!$B$6:$I$103,8,0)</f>
        <v>0</v>
      </c>
      <c r="N56" s="73">
        <f t="shared" si="2"/>
        <v>51000000</v>
      </c>
      <c r="O56" s="99"/>
      <c r="P56" s="96"/>
      <c r="Q56" s="90">
        <v>1000000</v>
      </c>
      <c r="R56" s="90"/>
      <c r="S56" s="76">
        <f t="shared" si="7"/>
        <v>59681700</v>
      </c>
      <c r="T56" s="100">
        <v>596578.5</v>
      </c>
      <c r="U56" s="72">
        <v>1221565.5</v>
      </c>
      <c r="V56" s="72">
        <f t="shared" si="8"/>
        <v>57681700</v>
      </c>
      <c r="W56" s="72">
        <v>15500000</v>
      </c>
      <c r="X56" s="98"/>
      <c r="Y56" s="72">
        <f t="shared" si="11"/>
        <v>0</v>
      </c>
      <c r="Z56" s="80">
        <f t="shared" si="3"/>
        <v>41585121.5</v>
      </c>
      <c r="AA56" s="72">
        <f t="shared" si="4"/>
        <v>3</v>
      </c>
      <c r="AB56" s="72">
        <f t="shared" si="5"/>
        <v>4817024.3000000007</v>
      </c>
      <c r="AC56" s="72">
        <f t="shared" si="9"/>
        <v>54268097.200000003</v>
      </c>
      <c r="AD56" s="81"/>
      <c r="AE56" s="107"/>
      <c r="AF56" s="107"/>
      <c r="AG56" s="78">
        <f t="shared" si="10"/>
        <v>7681700</v>
      </c>
      <c r="AH56" s="189"/>
      <c r="AI56" s="190">
        <v>8</v>
      </c>
      <c r="AJ56" s="191">
        <v>9</v>
      </c>
      <c r="AK56" s="192"/>
      <c r="AL56" s="193"/>
      <c r="AM56" s="194"/>
      <c r="AN56" s="195"/>
      <c r="AO56" s="196"/>
      <c r="AP56" s="152">
        <f t="shared" si="12"/>
        <v>58681700</v>
      </c>
      <c r="AQ56" s="152">
        <f t="shared" si="13"/>
        <v>42585121.5</v>
      </c>
      <c r="AR56" s="153">
        <f t="shared" si="6"/>
        <v>5017024.3000000007</v>
      </c>
      <c r="AS56" s="152">
        <f t="shared" si="14"/>
        <v>54068097.200000003</v>
      </c>
      <c r="AU56" s="201" t="s">
        <v>151</v>
      </c>
      <c r="AV56" s="11"/>
    </row>
    <row r="57" spans="1:48" s="206" customFormat="1" ht="21.75" customHeight="1" x14ac:dyDescent="0.2">
      <c r="A57" s="83">
        <v>44</v>
      </c>
      <c r="B57" s="104" t="s">
        <v>82</v>
      </c>
      <c r="C57" s="101" t="s">
        <v>36</v>
      </c>
      <c r="D57" s="94"/>
      <c r="E57" s="105"/>
      <c r="F57" s="105"/>
      <c r="G57" s="95">
        <v>5681700</v>
      </c>
      <c r="H57" s="96"/>
      <c r="I57" s="97">
        <v>0</v>
      </c>
      <c r="J57" s="95">
        <v>1000000</v>
      </c>
      <c r="K57" s="95">
        <v>1000000</v>
      </c>
      <c r="L57" s="98"/>
      <c r="M57" s="106">
        <f>VLOOKUP(B57,'[1]BK TT'!$B$6:$I$103,8,0)</f>
        <v>0</v>
      </c>
      <c r="N57" s="73">
        <f t="shared" si="2"/>
        <v>6000000</v>
      </c>
      <c r="O57" s="99"/>
      <c r="P57" s="96"/>
      <c r="Q57" s="90">
        <v>1000000</v>
      </c>
      <c r="R57" s="90"/>
      <c r="S57" s="76">
        <f t="shared" si="7"/>
        <v>14681700</v>
      </c>
      <c r="T57" s="100">
        <v>596578.5</v>
      </c>
      <c r="U57" s="72">
        <v>1221565.5</v>
      </c>
      <c r="V57" s="72">
        <f t="shared" si="8"/>
        <v>12681700</v>
      </c>
      <c r="W57" s="72">
        <v>15500000</v>
      </c>
      <c r="X57" s="98">
        <v>1</v>
      </c>
      <c r="Y57" s="72">
        <f t="shared" si="11"/>
        <v>6200000</v>
      </c>
      <c r="Z57" s="80">
        <f t="shared" si="3"/>
        <v>0</v>
      </c>
      <c r="AA57" s="72">
        <f t="shared" si="4"/>
        <v>0</v>
      </c>
      <c r="AB57" s="72">
        <f t="shared" si="5"/>
        <v>0</v>
      </c>
      <c r="AC57" s="72">
        <f t="shared" si="9"/>
        <v>14085121.5</v>
      </c>
      <c r="AD57" s="81"/>
      <c r="AE57" s="91"/>
      <c r="AF57" s="91"/>
      <c r="AG57" s="78">
        <f t="shared" si="10"/>
        <v>7681700</v>
      </c>
      <c r="AH57" s="189">
        <v>3</v>
      </c>
      <c r="AI57" s="190"/>
      <c r="AJ57" s="191"/>
      <c r="AK57" s="192"/>
      <c r="AL57" s="193"/>
      <c r="AM57" s="194"/>
      <c r="AN57" s="195"/>
      <c r="AO57" s="196"/>
      <c r="AP57" s="152">
        <f t="shared" si="12"/>
        <v>13681700</v>
      </c>
      <c r="AQ57" s="152">
        <f t="shared" si="13"/>
        <v>0</v>
      </c>
      <c r="AR57" s="153">
        <f t="shared" si="6"/>
        <v>0</v>
      </c>
      <c r="AS57" s="152">
        <f t="shared" si="14"/>
        <v>14085121.5</v>
      </c>
      <c r="AU57" s="202" t="s">
        <v>152</v>
      </c>
      <c r="AV57" s="11"/>
    </row>
    <row r="58" spans="1:48" s="206" customFormat="1" ht="21.75" customHeight="1" x14ac:dyDescent="0.2">
      <c r="A58" s="63">
        <v>45</v>
      </c>
      <c r="B58" s="104" t="s">
        <v>83</v>
      </c>
      <c r="C58" s="101" t="s">
        <v>36</v>
      </c>
      <c r="D58" s="108"/>
      <c r="E58" s="105"/>
      <c r="F58" s="105"/>
      <c r="G58" s="109">
        <v>5681700</v>
      </c>
      <c r="H58" s="96"/>
      <c r="I58" s="97">
        <v>0</v>
      </c>
      <c r="J58" s="95">
        <v>1000000</v>
      </c>
      <c r="K58" s="95">
        <v>1000000</v>
      </c>
      <c r="L58" s="98"/>
      <c r="M58" s="106">
        <f>VLOOKUP(B58,'[1]BK TT'!$B$6:$I$103,8,0)</f>
        <v>0</v>
      </c>
      <c r="N58" s="73">
        <f t="shared" si="2"/>
        <v>12000000</v>
      </c>
      <c r="O58" s="99"/>
      <c r="P58" s="96"/>
      <c r="Q58" s="90">
        <v>1000000</v>
      </c>
      <c r="R58" s="90"/>
      <c r="S58" s="76">
        <f t="shared" si="7"/>
        <v>20681700</v>
      </c>
      <c r="T58" s="100">
        <v>596578.5</v>
      </c>
      <c r="U58" s="100">
        <v>1221565.5</v>
      </c>
      <c r="V58" s="72">
        <f t="shared" si="8"/>
        <v>18681700</v>
      </c>
      <c r="W58" s="72">
        <v>15500000</v>
      </c>
      <c r="X58" s="98"/>
      <c r="Y58" s="72">
        <f t="shared" si="11"/>
        <v>0</v>
      </c>
      <c r="Z58" s="80">
        <f t="shared" si="3"/>
        <v>2585121.5</v>
      </c>
      <c r="AA58" s="72">
        <f t="shared" si="4"/>
        <v>1</v>
      </c>
      <c r="AB58" s="72">
        <f t="shared" si="5"/>
        <v>129256.07500000001</v>
      </c>
      <c r="AC58" s="72">
        <f t="shared" si="9"/>
        <v>19955865.425000001</v>
      </c>
      <c r="AD58" s="81"/>
      <c r="AE58" s="91"/>
      <c r="AF58" s="91"/>
      <c r="AG58" s="78">
        <f t="shared" si="10"/>
        <v>7681700</v>
      </c>
      <c r="AH58" s="189"/>
      <c r="AI58" s="190">
        <v>1</v>
      </c>
      <c r="AJ58" s="191">
        <v>3</v>
      </c>
      <c r="AK58" s="192"/>
      <c r="AL58" s="193"/>
      <c r="AM58" s="194"/>
      <c r="AN58" s="195"/>
      <c r="AO58" s="196"/>
      <c r="AP58" s="152">
        <f t="shared" si="12"/>
        <v>19681700</v>
      </c>
      <c r="AQ58" s="152">
        <f t="shared" si="13"/>
        <v>3585121.5</v>
      </c>
      <c r="AR58" s="153">
        <f t="shared" si="6"/>
        <v>179256.07500000001</v>
      </c>
      <c r="AS58" s="152">
        <f t="shared" si="14"/>
        <v>19905865.425000001</v>
      </c>
      <c r="AU58" s="208" t="s">
        <v>153</v>
      </c>
      <c r="AV58" s="171"/>
    </row>
    <row r="59" spans="1:48" s="206" customFormat="1" ht="21.75" customHeight="1" x14ac:dyDescent="0.2">
      <c r="A59" s="83">
        <v>46</v>
      </c>
      <c r="B59" s="104" t="s">
        <v>84</v>
      </c>
      <c r="C59" s="101"/>
      <c r="D59" s="94"/>
      <c r="E59" s="105"/>
      <c r="F59" s="105"/>
      <c r="G59" s="95">
        <v>5681700</v>
      </c>
      <c r="H59" s="96"/>
      <c r="I59" s="97">
        <v>0</v>
      </c>
      <c r="J59" s="95">
        <v>1000000</v>
      </c>
      <c r="K59" s="95">
        <v>1000000</v>
      </c>
      <c r="L59" s="98"/>
      <c r="M59" s="106"/>
      <c r="N59" s="73">
        <f t="shared" si="2"/>
        <v>0</v>
      </c>
      <c r="O59" s="99"/>
      <c r="P59" s="96"/>
      <c r="Q59" s="90">
        <v>1000000</v>
      </c>
      <c r="R59" s="90"/>
      <c r="S59" s="76">
        <f t="shared" si="7"/>
        <v>8681700</v>
      </c>
      <c r="T59" s="100">
        <v>596578.5</v>
      </c>
      <c r="U59" s="72">
        <v>1221565.5</v>
      </c>
      <c r="V59" s="72">
        <f t="shared" si="8"/>
        <v>6681700</v>
      </c>
      <c r="W59" s="72">
        <v>15500000</v>
      </c>
      <c r="X59" s="98"/>
      <c r="Y59" s="72">
        <f t="shared" si="11"/>
        <v>0</v>
      </c>
      <c r="Z59" s="80">
        <f t="shared" si="3"/>
        <v>0</v>
      </c>
      <c r="AA59" s="72">
        <f t="shared" si="4"/>
        <v>0</v>
      </c>
      <c r="AB59" s="72">
        <f t="shared" si="5"/>
        <v>0</v>
      </c>
      <c r="AC59" s="72">
        <f t="shared" si="9"/>
        <v>8085121.5</v>
      </c>
      <c r="AD59" s="81"/>
      <c r="AE59" s="91"/>
      <c r="AF59" s="91"/>
      <c r="AG59" s="78">
        <f t="shared" si="10"/>
        <v>7681700</v>
      </c>
      <c r="AH59" s="189"/>
      <c r="AI59" s="190"/>
      <c r="AJ59" s="191"/>
      <c r="AK59" s="192"/>
      <c r="AL59" s="193"/>
      <c r="AM59" s="194"/>
      <c r="AN59" s="195"/>
      <c r="AO59" s="196"/>
      <c r="AP59" s="152"/>
      <c r="AQ59" s="152"/>
      <c r="AR59" s="153"/>
      <c r="AS59" s="152"/>
      <c r="AU59" s="202"/>
      <c r="AV59" s="11"/>
    </row>
    <row r="60" spans="1:48" s="206" customFormat="1" ht="21.75" customHeight="1" x14ac:dyDescent="0.2">
      <c r="A60" s="63">
        <v>47</v>
      </c>
      <c r="B60" s="104" t="s">
        <v>85</v>
      </c>
      <c r="C60" s="101" t="s">
        <v>40</v>
      </c>
      <c r="D60" s="94"/>
      <c r="E60" s="105"/>
      <c r="F60" s="105"/>
      <c r="G60" s="95">
        <v>7205904</v>
      </c>
      <c r="H60" s="96"/>
      <c r="I60" s="97">
        <v>0</v>
      </c>
      <c r="J60" s="95">
        <v>1000000</v>
      </c>
      <c r="K60" s="95">
        <v>1000000</v>
      </c>
      <c r="L60" s="98"/>
      <c r="M60" s="106">
        <f>VLOOKUP(B60,'[1]BK TT'!$B$6:$I$103,8,0)</f>
        <v>0</v>
      </c>
      <c r="N60" s="73">
        <f t="shared" si="2"/>
        <v>0</v>
      </c>
      <c r="O60" s="99"/>
      <c r="P60" s="96"/>
      <c r="Q60" s="90">
        <v>1500000</v>
      </c>
      <c r="R60" s="90"/>
      <c r="S60" s="76">
        <f t="shared" si="7"/>
        <v>10705904</v>
      </c>
      <c r="T60" s="100"/>
      <c r="U60" s="72"/>
      <c r="V60" s="72">
        <f t="shared" si="8"/>
        <v>8205904</v>
      </c>
      <c r="W60" s="72">
        <v>15500000</v>
      </c>
      <c r="X60" s="98"/>
      <c r="Y60" s="72">
        <f t="shared" si="11"/>
        <v>0</v>
      </c>
      <c r="Z60" s="80">
        <f t="shared" si="3"/>
        <v>0</v>
      </c>
      <c r="AA60" s="72">
        <f t="shared" si="4"/>
        <v>0</v>
      </c>
      <c r="AB60" s="72">
        <f t="shared" si="5"/>
        <v>0</v>
      </c>
      <c r="AC60" s="72">
        <f t="shared" si="9"/>
        <v>10705904</v>
      </c>
      <c r="AD60" s="81"/>
      <c r="AE60" s="91"/>
      <c r="AF60" s="91"/>
      <c r="AG60" s="78">
        <f t="shared" si="10"/>
        <v>9205904</v>
      </c>
      <c r="AH60" s="189"/>
      <c r="AI60" s="190"/>
      <c r="AJ60" s="191"/>
      <c r="AK60" s="192"/>
      <c r="AL60" s="193"/>
      <c r="AM60" s="194"/>
      <c r="AN60" s="195"/>
      <c r="AO60" s="196"/>
      <c r="AP60" s="152">
        <f t="shared" ref="AP60:AP67" si="15">S60-J60</f>
        <v>9705904</v>
      </c>
      <c r="AQ60" s="152">
        <f t="shared" ref="AQ60:AQ67" si="16">MAX(AP60-T60-W60-Y60,0)</f>
        <v>0</v>
      </c>
      <c r="AR60" s="153">
        <f t="shared" si="6"/>
        <v>0</v>
      </c>
      <c r="AS60" s="152">
        <f t="shared" ref="AS60:AS67" si="17">S60-AR60-T60</f>
        <v>10705904</v>
      </c>
      <c r="AU60" s="202" t="s">
        <v>154</v>
      </c>
      <c r="AV60" s="11"/>
    </row>
    <row r="61" spans="1:48" s="206" customFormat="1" ht="21.75" customHeight="1" x14ac:dyDescent="0.2">
      <c r="A61" s="83">
        <v>48</v>
      </c>
      <c r="B61" s="104" t="s">
        <v>86</v>
      </c>
      <c r="C61" s="101" t="s">
        <v>87</v>
      </c>
      <c r="D61" s="94"/>
      <c r="E61" s="105"/>
      <c r="F61" s="105"/>
      <c r="G61" s="95">
        <v>7205904</v>
      </c>
      <c r="H61" s="96"/>
      <c r="I61" s="97">
        <v>0</v>
      </c>
      <c r="J61" s="95">
        <v>1000000</v>
      </c>
      <c r="K61" s="95">
        <v>1000000</v>
      </c>
      <c r="L61" s="98"/>
      <c r="M61" s="106">
        <f>VLOOKUP(B61,'[1]BK TT'!$B$6:$I$103,8,0)</f>
        <v>5500000</v>
      </c>
      <c r="N61" s="73">
        <f t="shared" si="2"/>
        <v>14300000</v>
      </c>
      <c r="O61" s="99"/>
      <c r="P61" s="96"/>
      <c r="Q61" s="90">
        <v>1000000</v>
      </c>
      <c r="R61" s="90"/>
      <c r="S61" s="76">
        <f t="shared" si="7"/>
        <v>30005904</v>
      </c>
      <c r="T61" s="100"/>
      <c r="U61" s="72"/>
      <c r="V61" s="72">
        <f t="shared" si="8"/>
        <v>28005904</v>
      </c>
      <c r="W61" s="72">
        <v>15500000</v>
      </c>
      <c r="X61" s="98">
        <v>1</v>
      </c>
      <c r="Y61" s="72">
        <f t="shared" si="11"/>
        <v>6200000</v>
      </c>
      <c r="Z61" s="80">
        <f t="shared" si="3"/>
        <v>6305904</v>
      </c>
      <c r="AA61" s="72">
        <v>1</v>
      </c>
      <c r="AB61" s="72">
        <f t="shared" si="5"/>
        <v>315295.2</v>
      </c>
      <c r="AC61" s="72">
        <f t="shared" si="9"/>
        <v>29690608.800000001</v>
      </c>
      <c r="AD61" s="81"/>
      <c r="AE61" s="91"/>
      <c r="AF61" s="91"/>
      <c r="AG61" s="78">
        <f t="shared" si="10"/>
        <v>9205904</v>
      </c>
      <c r="AH61" s="189"/>
      <c r="AI61" s="190"/>
      <c r="AJ61" s="191"/>
      <c r="AK61" s="192">
        <v>13</v>
      </c>
      <c r="AL61" s="193"/>
      <c r="AM61" s="194"/>
      <c r="AN61" s="195"/>
      <c r="AO61" s="196"/>
      <c r="AP61" s="152">
        <f t="shared" si="15"/>
        <v>29005904</v>
      </c>
      <c r="AQ61" s="152">
        <f t="shared" si="16"/>
        <v>7305904</v>
      </c>
      <c r="AR61" s="153">
        <f t="shared" si="6"/>
        <v>365295.2</v>
      </c>
      <c r="AS61" s="152">
        <f t="shared" si="17"/>
        <v>29640608.800000001</v>
      </c>
      <c r="AU61" s="202" t="s">
        <v>155</v>
      </c>
      <c r="AV61" s="11"/>
    </row>
    <row r="62" spans="1:48" s="206" customFormat="1" ht="21.75" customHeight="1" x14ac:dyDescent="0.2">
      <c r="A62" s="63">
        <v>49</v>
      </c>
      <c r="B62" s="104" t="s">
        <v>88</v>
      </c>
      <c r="C62" s="93" t="s">
        <v>89</v>
      </c>
      <c r="D62" s="108"/>
      <c r="E62" s="105"/>
      <c r="F62" s="105"/>
      <c r="G62" s="109">
        <v>7205904</v>
      </c>
      <c r="H62" s="96"/>
      <c r="I62" s="97">
        <v>0</v>
      </c>
      <c r="J62" s="95">
        <v>1000000</v>
      </c>
      <c r="K62" s="95">
        <v>1000000</v>
      </c>
      <c r="L62" s="98"/>
      <c r="M62" s="106">
        <f>VLOOKUP(B62,'[1]BK TT'!$B$6:$I$103,8,0)</f>
        <v>0</v>
      </c>
      <c r="N62" s="73">
        <f t="shared" si="2"/>
        <v>3000000</v>
      </c>
      <c r="O62" s="99"/>
      <c r="P62" s="96"/>
      <c r="Q62" s="90">
        <v>1000000</v>
      </c>
      <c r="R62" s="90"/>
      <c r="S62" s="76">
        <f t="shared" si="7"/>
        <v>13205904</v>
      </c>
      <c r="T62" s="72"/>
      <c r="U62" s="72"/>
      <c r="V62" s="72">
        <f t="shared" si="8"/>
        <v>11205904</v>
      </c>
      <c r="W62" s="72">
        <v>15500000</v>
      </c>
      <c r="X62" s="98"/>
      <c r="Y62" s="72">
        <f t="shared" si="11"/>
        <v>0</v>
      </c>
      <c r="Z62" s="80">
        <f t="shared" si="3"/>
        <v>0</v>
      </c>
      <c r="AA62" s="72">
        <f t="shared" si="4"/>
        <v>0</v>
      </c>
      <c r="AB62" s="72">
        <f t="shared" si="5"/>
        <v>0</v>
      </c>
      <c r="AC62" s="72">
        <f t="shared" si="9"/>
        <v>13205904</v>
      </c>
      <c r="AD62" s="81"/>
      <c r="AE62" s="91"/>
      <c r="AF62" s="91"/>
      <c r="AG62" s="78">
        <f t="shared" si="10"/>
        <v>9205904</v>
      </c>
      <c r="AH62" s="189"/>
      <c r="AI62" s="190">
        <v>1</v>
      </c>
      <c r="AJ62" s="191"/>
      <c r="AK62" s="192"/>
      <c r="AL62" s="193"/>
      <c r="AM62" s="209"/>
      <c r="AN62" s="210"/>
      <c r="AO62" s="196"/>
      <c r="AP62" s="152">
        <f t="shared" si="15"/>
        <v>12205904</v>
      </c>
      <c r="AQ62" s="152">
        <f t="shared" si="16"/>
        <v>0</v>
      </c>
      <c r="AR62" s="153">
        <f t="shared" si="6"/>
        <v>0</v>
      </c>
      <c r="AS62" s="152">
        <f t="shared" si="17"/>
        <v>13205904</v>
      </c>
      <c r="AU62" s="208" t="s">
        <v>156</v>
      </c>
      <c r="AV62" s="11"/>
    </row>
    <row r="63" spans="1:48" s="206" customFormat="1" ht="21.75" customHeight="1" x14ac:dyDescent="0.2">
      <c r="A63" s="83">
        <v>50</v>
      </c>
      <c r="B63" s="104" t="s">
        <v>90</v>
      </c>
      <c r="C63" s="101" t="s">
        <v>36</v>
      </c>
      <c r="D63" s="108"/>
      <c r="E63" s="105"/>
      <c r="F63" s="105"/>
      <c r="G63" s="109">
        <v>7205904</v>
      </c>
      <c r="H63" s="96"/>
      <c r="I63" s="97">
        <v>0</v>
      </c>
      <c r="J63" s="95">
        <v>1000000</v>
      </c>
      <c r="K63" s="95">
        <v>1000000</v>
      </c>
      <c r="L63" s="98"/>
      <c r="M63" s="106">
        <f>VLOOKUP(B63,'[1]BK TT'!$B$6:$I$103,8,0)</f>
        <v>0</v>
      </c>
      <c r="N63" s="73">
        <f t="shared" si="2"/>
        <v>0</v>
      </c>
      <c r="O63" s="99"/>
      <c r="P63" s="96"/>
      <c r="Q63" s="90">
        <v>1000000</v>
      </c>
      <c r="R63" s="90"/>
      <c r="S63" s="76">
        <f t="shared" si="7"/>
        <v>10205904</v>
      </c>
      <c r="T63" s="72"/>
      <c r="U63" s="72"/>
      <c r="V63" s="72">
        <f t="shared" si="8"/>
        <v>8205904</v>
      </c>
      <c r="W63" s="72">
        <v>15500000</v>
      </c>
      <c r="X63" s="98"/>
      <c r="Y63" s="72">
        <f t="shared" si="11"/>
        <v>0</v>
      </c>
      <c r="Z63" s="80">
        <f t="shared" si="3"/>
        <v>0</v>
      </c>
      <c r="AA63" s="72">
        <f t="shared" si="4"/>
        <v>0</v>
      </c>
      <c r="AB63" s="72">
        <f t="shared" si="5"/>
        <v>0</v>
      </c>
      <c r="AC63" s="72">
        <f t="shared" si="9"/>
        <v>10205904</v>
      </c>
      <c r="AD63" s="81"/>
      <c r="AE63" s="91"/>
      <c r="AF63" s="91"/>
      <c r="AG63" s="78">
        <f t="shared" si="10"/>
        <v>9205904</v>
      </c>
      <c r="AH63" s="189"/>
      <c r="AI63" s="190"/>
      <c r="AJ63" s="191"/>
      <c r="AK63" s="192"/>
      <c r="AL63" s="193"/>
      <c r="AM63" s="209"/>
      <c r="AN63" s="211"/>
      <c r="AO63" s="196"/>
      <c r="AP63" s="152">
        <f t="shared" si="15"/>
        <v>9205904</v>
      </c>
      <c r="AQ63" s="152">
        <f t="shared" si="16"/>
        <v>0</v>
      </c>
      <c r="AR63" s="153">
        <f t="shared" si="6"/>
        <v>0</v>
      </c>
      <c r="AS63" s="152">
        <f t="shared" si="17"/>
        <v>10205904</v>
      </c>
      <c r="AU63" s="212" t="s">
        <v>157</v>
      </c>
      <c r="AV63" s="171"/>
    </row>
    <row r="64" spans="1:48" s="206" customFormat="1" ht="21.75" customHeight="1" x14ac:dyDescent="0.2">
      <c r="A64" s="63">
        <v>51</v>
      </c>
      <c r="B64" s="104" t="s">
        <v>91</v>
      </c>
      <c r="C64" s="102" t="s">
        <v>51</v>
      </c>
      <c r="D64" s="108"/>
      <c r="E64" s="105"/>
      <c r="F64" s="105"/>
      <c r="G64" s="109">
        <v>7205904</v>
      </c>
      <c r="H64" s="96"/>
      <c r="I64" s="97">
        <v>0</v>
      </c>
      <c r="J64" s="95">
        <v>1000000</v>
      </c>
      <c r="K64" s="95">
        <v>1000000</v>
      </c>
      <c r="L64" s="98"/>
      <c r="M64" s="106">
        <f>VLOOKUP(B64,'[1]BK TT'!$B$6:$I$103,8,0)</f>
        <v>13500000</v>
      </c>
      <c r="N64" s="73">
        <f>AH64*$D$161+(AI64+AJ64)*$D$162+AK64*$D$164</f>
        <v>24400000</v>
      </c>
      <c r="O64" s="99"/>
      <c r="P64" s="96"/>
      <c r="Q64" s="90">
        <v>1000000</v>
      </c>
      <c r="R64" s="90"/>
      <c r="S64" s="76">
        <f t="shared" si="7"/>
        <v>48105904</v>
      </c>
      <c r="T64" s="72"/>
      <c r="U64" s="72"/>
      <c r="V64" s="72">
        <f t="shared" si="8"/>
        <v>46105904</v>
      </c>
      <c r="W64" s="72">
        <v>15500000</v>
      </c>
      <c r="X64" s="98">
        <v>1</v>
      </c>
      <c r="Y64" s="72">
        <f t="shared" si="11"/>
        <v>6200000</v>
      </c>
      <c r="Z64" s="80">
        <f t="shared" si="3"/>
        <v>24405904</v>
      </c>
      <c r="AA64" s="72">
        <f t="shared" si="4"/>
        <v>2</v>
      </c>
      <c r="AB64" s="72">
        <f t="shared" si="5"/>
        <v>1940590.4</v>
      </c>
      <c r="AC64" s="72">
        <f t="shared" si="9"/>
        <v>46165313.600000001</v>
      </c>
      <c r="AD64" s="81"/>
      <c r="AE64" s="91"/>
      <c r="AF64" s="91"/>
      <c r="AG64" s="78">
        <f t="shared" si="10"/>
        <v>9205904</v>
      </c>
      <c r="AH64" s="189"/>
      <c r="AI64" s="190"/>
      <c r="AJ64" s="191">
        <v>3</v>
      </c>
      <c r="AK64" s="192">
        <v>14</v>
      </c>
      <c r="AL64" s="193"/>
      <c r="AM64" s="209"/>
      <c r="AN64" s="211"/>
      <c r="AO64" s="196"/>
      <c r="AP64" s="152">
        <f t="shared" si="15"/>
        <v>47105904</v>
      </c>
      <c r="AQ64" s="152">
        <f t="shared" si="16"/>
        <v>25405904</v>
      </c>
      <c r="AR64" s="153">
        <f t="shared" si="6"/>
        <v>2040590.4000000001</v>
      </c>
      <c r="AS64" s="152">
        <f t="shared" si="17"/>
        <v>46065313.600000001</v>
      </c>
      <c r="AU64" s="212" t="s">
        <v>158</v>
      </c>
      <c r="AV64" s="11"/>
    </row>
    <row r="65" spans="1:48" s="206" customFormat="1" ht="21.75" customHeight="1" x14ac:dyDescent="0.2">
      <c r="A65" s="83">
        <v>52</v>
      </c>
      <c r="B65" s="104" t="s">
        <v>92</v>
      </c>
      <c r="C65" s="93" t="s">
        <v>36</v>
      </c>
      <c r="D65" s="108"/>
      <c r="E65" s="105"/>
      <c r="F65" s="105"/>
      <c r="G65" s="109">
        <v>7205904</v>
      </c>
      <c r="H65" s="96"/>
      <c r="I65" s="97">
        <v>0</v>
      </c>
      <c r="J65" s="95">
        <v>1000000</v>
      </c>
      <c r="K65" s="95">
        <v>1000000</v>
      </c>
      <c r="L65" s="98"/>
      <c r="M65" s="106">
        <f>VLOOKUP(B65,'[1]BK TT'!$B$6:$I$103,8,0)</f>
        <v>0</v>
      </c>
      <c r="N65" s="73">
        <f t="shared" ref="N65:N68" si="18">AH65*$D$161+(AI65+AJ65)*$D$162+AK65*$D$164</f>
        <v>0</v>
      </c>
      <c r="O65" s="99"/>
      <c r="P65" s="96"/>
      <c r="Q65" s="110">
        <v>2000000</v>
      </c>
      <c r="R65" s="110"/>
      <c r="S65" s="76">
        <f t="shared" si="7"/>
        <v>11205904</v>
      </c>
      <c r="T65" s="72"/>
      <c r="U65" s="72"/>
      <c r="V65" s="72">
        <f t="shared" si="8"/>
        <v>8205904</v>
      </c>
      <c r="W65" s="72">
        <v>15500000</v>
      </c>
      <c r="X65" s="98"/>
      <c r="Y65" s="72">
        <f t="shared" si="11"/>
        <v>0</v>
      </c>
      <c r="Z65" s="80">
        <f t="shared" si="3"/>
        <v>0</v>
      </c>
      <c r="AA65" s="72">
        <f t="shared" si="4"/>
        <v>0</v>
      </c>
      <c r="AB65" s="72">
        <f t="shared" si="5"/>
        <v>0</v>
      </c>
      <c r="AC65" s="72">
        <f t="shared" si="9"/>
        <v>11205904</v>
      </c>
      <c r="AD65" s="81"/>
      <c r="AE65" s="91"/>
      <c r="AF65" s="91"/>
      <c r="AG65" s="78">
        <f t="shared" si="10"/>
        <v>9205904</v>
      </c>
      <c r="AH65" s="189"/>
      <c r="AI65" s="190"/>
      <c r="AJ65" s="191"/>
      <c r="AK65" s="192"/>
      <c r="AL65" s="193"/>
      <c r="AM65" s="213"/>
      <c r="AN65" s="195"/>
      <c r="AO65" s="196"/>
      <c r="AP65" s="152">
        <f t="shared" si="15"/>
        <v>10205904</v>
      </c>
      <c r="AQ65" s="152">
        <f t="shared" si="16"/>
        <v>0</v>
      </c>
      <c r="AR65" s="153">
        <f t="shared" si="6"/>
        <v>0</v>
      </c>
      <c r="AS65" s="152">
        <f t="shared" si="17"/>
        <v>11205904</v>
      </c>
      <c r="AU65" s="208" t="s">
        <v>159</v>
      </c>
      <c r="AV65" s="11"/>
    </row>
    <row r="66" spans="1:48" s="206" customFormat="1" ht="21.75" customHeight="1" x14ac:dyDescent="0.2">
      <c r="A66" s="63">
        <v>53</v>
      </c>
      <c r="B66" s="104" t="s">
        <v>93</v>
      </c>
      <c r="C66" s="93" t="s">
        <v>89</v>
      </c>
      <c r="D66" s="108"/>
      <c r="E66" s="105"/>
      <c r="F66" s="105"/>
      <c r="G66" s="109">
        <v>7205904</v>
      </c>
      <c r="H66" s="96"/>
      <c r="I66" s="97">
        <v>0</v>
      </c>
      <c r="J66" s="95">
        <v>1000000</v>
      </c>
      <c r="K66" s="95">
        <v>1000000</v>
      </c>
      <c r="L66" s="98"/>
      <c r="M66" s="106">
        <f>VLOOKUP(B66,'[1]BK TT'!$B$6:$I$103,8,0)</f>
        <v>0</v>
      </c>
      <c r="N66" s="73">
        <f t="shared" si="18"/>
        <v>0</v>
      </c>
      <c r="O66" s="99"/>
      <c r="P66" s="96"/>
      <c r="Q66" s="90">
        <v>1000000</v>
      </c>
      <c r="R66" s="90"/>
      <c r="S66" s="76">
        <f t="shared" si="7"/>
        <v>10205904</v>
      </c>
      <c r="T66" s="72"/>
      <c r="U66" s="72"/>
      <c r="V66" s="72">
        <f t="shared" si="8"/>
        <v>8205904</v>
      </c>
      <c r="W66" s="72">
        <v>15500000</v>
      </c>
      <c r="X66" s="98"/>
      <c r="Y66" s="72">
        <f t="shared" si="11"/>
        <v>0</v>
      </c>
      <c r="Z66" s="80">
        <f t="shared" si="3"/>
        <v>0</v>
      </c>
      <c r="AA66" s="72">
        <f t="shared" si="4"/>
        <v>0</v>
      </c>
      <c r="AB66" s="72">
        <f t="shared" si="5"/>
        <v>0</v>
      </c>
      <c r="AC66" s="72">
        <f t="shared" si="9"/>
        <v>10205904</v>
      </c>
      <c r="AD66" s="81"/>
      <c r="AE66" s="91"/>
      <c r="AF66" s="91"/>
      <c r="AG66" s="78">
        <f t="shared" si="10"/>
        <v>9205904</v>
      </c>
      <c r="AH66" s="189"/>
      <c r="AI66" s="190"/>
      <c r="AJ66" s="191"/>
      <c r="AK66" s="192"/>
      <c r="AL66" s="193"/>
      <c r="AM66" s="213"/>
      <c r="AN66" s="195"/>
      <c r="AO66" s="196"/>
      <c r="AP66" s="152">
        <f t="shared" si="15"/>
        <v>9205904</v>
      </c>
      <c r="AQ66" s="152">
        <f t="shared" si="16"/>
        <v>0</v>
      </c>
      <c r="AR66" s="153">
        <f t="shared" si="6"/>
        <v>0</v>
      </c>
      <c r="AS66" s="152">
        <f t="shared" si="17"/>
        <v>10205904</v>
      </c>
      <c r="AU66" s="212" t="s">
        <v>160</v>
      </c>
      <c r="AV66" s="11"/>
    </row>
    <row r="67" spans="1:48" s="206" customFormat="1" ht="21.75" customHeight="1" x14ac:dyDescent="0.2">
      <c r="A67" s="83">
        <v>54</v>
      </c>
      <c r="B67" s="104" t="s">
        <v>94</v>
      </c>
      <c r="C67" s="93" t="s">
        <v>36</v>
      </c>
      <c r="D67" s="94"/>
      <c r="E67" s="94"/>
      <c r="F67" s="94"/>
      <c r="G67" s="95">
        <v>7205904</v>
      </c>
      <c r="H67" s="96"/>
      <c r="I67" s="97">
        <v>0</v>
      </c>
      <c r="J67" s="95">
        <v>1000000</v>
      </c>
      <c r="K67" s="95">
        <v>1000000</v>
      </c>
      <c r="L67" s="98"/>
      <c r="M67" s="106">
        <f>VLOOKUP(B67,'[1]BK TT'!$B$6:$I$103,8,0)</f>
        <v>0</v>
      </c>
      <c r="N67" s="73">
        <f t="shared" si="18"/>
        <v>19000000</v>
      </c>
      <c r="O67" s="99"/>
      <c r="P67" s="96"/>
      <c r="Q67" s="90">
        <v>1000000</v>
      </c>
      <c r="R67" s="90"/>
      <c r="S67" s="76">
        <f t="shared" si="7"/>
        <v>29205904</v>
      </c>
      <c r="T67" s="72"/>
      <c r="U67" s="72"/>
      <c r="V67" s="72">
        <f t="shared" si="8"/>
        <v>27205904</v>
      </c>
      <c r="W67" s="72">
        <v>15500000</v>
      </c>
      <c r="X67" s="98"/>
      <c r="Y67" s="72">
        <f t="shared" si="11"/>
        <v>0</v>
      </c>
      <c r="Z67" s="80">
        <f t="shared" si="3"/>
        <v>11705904</v>
      </c>
      <c r="AA67" s="72">
        <f t="shared" si="4"/>
        <v>2</v>
      </c>
      <c r="AB67" s="72">
        <f t="shared" si="5"/>
        <v>670590.40000000014</v>
      </c>
      <c r="AC67" s="72">
        <f t="shared" si="9"/>
        <v>28535313.600000001</v>
      </c>
      <c r="AD67" s="81"/>
      <c r="AE67" s="91"/>
      <c r="AF67" s="91"/>
      <c r="AG67" s="78">
        <f t="shared" si="10"/>
        <v>9205904</v>
      </c>
      <c r="AH67" s="189">
        <v>2</v>
      </c>
      <c r="AI67" s="190">
        <v>5</v>
      </c>
      <c r="AJ67" s="191"/>
      <c r="AK67" s="192"/>
      <c r="AL67" s="193"/>
      <c r="AM67" s="213"/>
      <c r="AN67" s="195"/>
      <c r="AO67" s="196"/>
      <c r="AP67" s="152">
        <f t="shared" si="15"/>
        <v>28205904</v>
      </c>
      <c r="AQ67" s="152">
        <f t="shared" si="16"/>
        <v>12705904</v>
      </c>
      <c r="AR67" s="153">
        <f t="shared" si="6"/>
        <v>770590.4</v>
      </c>
      <c r="AS67" s="152">
        <f t="shared" si="17"/>
        <v>28435313.600000001</v>
      </c>
      <c r="AU67" s="212" t="s">
        <v>161</v>
      </c>
      <c r="AV67" s="171"/>
    </row>
    <row r="68" spans="1:48" s="206" customFormat="1" ht="21.75" customHeight="1" x14ac:dyDescent="0.2">
      <c r="A68" s="63">
        <v>55</v>
      </c>
      <c r="B68" s="104" t="s">
        <v>95</v>
      </c>
      <c r="C68" s="93"/>
      <c r="D68" s="94"/>
      <c r="E68" s="94"/>
      <c r="F68" s="94"/>
      <c r="G68" s="95">
        <v>7205904</v>
      </c>
      <c r="H68" s="96"/>
      <c r="I68" s="97">
        <v>0</v>
      </c>
      <c r="J68" s="95">
        <v>1000000</v>
      </c>
      <c r="K68" s="95">
        <v>1000000</v>
      </c>
      <c r="L68" s="98"/>
      <c r="M68" s="106">
        <f>VLOOKUP(B68,'[1]BK TT'!$B$6:$I$103,8,0)</f>
        <v>0</v>
      </c>
      <c r="N68" s="73">
        <f t="shared" si="18"/>
        <v>21000000</v>
      </c>
      <c r="O68" s="99"/>
      <c r="P68" s="96"/>
      <c r="Q68" s="90">
        <v>1000000</v>
      </c>
      <c r="R68" s="90"/>
      <c r="S68" s="76">
        <f t="shared" si="7"/>
        <v>31205904</v>
      </c>
      <c r="T68" s="72"/>
      <c r="U68" s="72"/>
      <c r="V68" s="72">
        <f t="shared" si="8"/>
        <v>29205904</v>
      </c>
      <c r="W68" s="72">
        <v>15500000</v>
      </c>
      <c r="X68" s="98"/>
      <c r="Y68" s="72">
        <f t="shared" si="11"/>
        <v>0</v>
      </c>
      <c r="Z68" s="80">
        <f t="shared" si="3"/>
        <v>13705904</v>
      </c>
      <c r="AA68" s="72">
        <f t="shared" si="4"/>
        <v>2</v>
      </c>
      <c r="AB68" s="72">
        <f t="shared" si="5"/>
        <v>870590.40000000014</v>
      </c>
      <c r="AC68" s="72">
        <f t="shared" si="9"/>
        <v>30335313.600000001</v>
      </c>
      <c r="AD68" s="81"/>
      <c r="AE68" s="91"/>
      <c r="AF68" s="91"/>
      <c r="AG68" s="78">
        <f t="shared" si="10"/>
        <v>9205904</v>
      </c>
      <c r="AH68" s="189">
        <v>3</v>
      </c>
      <c r="AI68" s="190"/>
      <c r="AJ68" s="191">
        <v>5</v>
      </c>
      <c r="AK68" s="192"/>
      <c r="AL68" s="193"/>
      <c r="AM68" s="214"/>
      <c r="AN68" s="215"/>
      <c r="AO68" s="196"/>
      <c r="AP68" s="152"/>
      <c r="AQ68" s="152"/>
      <c r="AR68" s="153"/>
      <c r="AS68" s="152"/>
      <c r="AU68" s="212" t="s">
        <v>162</v>
      </c>
      <c r="AV68" s="171"/>
    </row>
    <row r="69" spans="1:48" s="224" customFormat="1" ht="21.75" customHeight="1" x14ac:dyDescent="0.2">
      <c r="A69" s="111"/>
      <c r="B69" s="112" t="s">
        <v>96</v>
      </c>
      <c r="C69" s="113"/>
      <c r="D69" s="114"/>
      <c r="E69" s="114"/>
      <c r="F69" s="114"/>
      <c r="G69" s="115">
        <f t="shared" ref="G69:AB69" si="19">SUM(G71:G97)</f>
        <v>0</v>
      </c>
      <c r="H69" s="115">
        <f t="shared" si="19"/>
        <v>0</v>
      </c>
      <c r="I69" s="116">
        <v>0</v>
      </c>
      <c r="J69" s="115">
        <f t="shared" si="19"/>
        <v>0</v>
      </c>
      <c r="K69" s="115">
        <f t="shared" si="19"/>
        <v>0</v>
      </c>
      <c r="L69" s="115">
        <f t="shared" si="19"/>
        <v>0</v>
      </c>
      <c r="M69" s="115">
        <f t="shared" si="19"/>
        <v>0</v>
      </c>
      <c r="N69" s="117">
        <f t="shared" si="2"/>
        <v>0</v>
      </c>
      <c r="O69" s="115">
        <f t="shared" si="19"/>
        <v>0</v>
      </c>
      <c r="P69" s="115">
        <f t="shared" si="19"/>
        <v>0</v>
      </c>
      <c r="Q69" s="115">
        <f t="shared" si="19"/>
        <v>27000000</v>
      </c>
      <c r="R69" s="115">
        <f t="shared" si="19"/>
        <v>0</v>
      </c>
      <c r="S69" s="118">
        <f t="shared" si="7"/>
        <v>27000000</v>
      </c>
      <c r="T69" s="115">
        <f t="shared" si="19"/>
        <v>0</v>
      </c>
      <c r="U69" s="115">
        <f t="shared" si="19"/>
        <v>0</v>
      </c>
      <c r="V69" s="115">
        <f t="shared" si="19"/>
        <v>49000000</v>
      </c>
      <c r="W69" s="115">
        <f t="shared" si="19"/>
        <v>0</v>
      </c>
      <c r="X69" s="115">
        <f t="shared" si="19"/>
        <v>1</v>
      </c>
      <c r="Y69" s="115">
        <f t="shared" si="19"/>
        <v>6200000</v>
      </c>
      <c r="Z69" s="115">
        <f t="shared" si="19"/>
        <v>49000000</v>
      </c>
      <c r="AA69" s="115">
        <f t="shared" si="19"/>
        <v>6</v>
      </c>
      <c r="AB69" s="115">
        <f t="shared" si="19"/>
        <v>4900000</v>
      </c>
      <c r="AC69" s="115">
        <f>SUM(AC70:AC97)</f>
        <v>72100000</v>
      </c>
      <c r="AD69" s="119"/>
      <c r="AE69" s="115"/>
      <c r="AF69" s="115"/>
      <c r="AG69" s="115">
        <f>SUM(AG71:AG97)</f>
        <v>0</v>
      </c>
      <c r="AH69" s="216"/>
      <c r="AI69" s="217"/>
      <c r="AJ69" s="216"/>
      <c r="AK69" s="217"/>
      <c r="AL69" s="218"/>
      <c r="AM69" s="219"/>
      <c r="AN69" s="220"/>
      <c r="AO69" s="221"/>
      <c r="AP69" s="222"/>
      <c r="AQ69" s="222"/>
      <c r="AR69" s="223"/>
      <c r="AS69" s="222"/>
      <c r="AU69" s="225"/>
      <c r="AV69" s="226"/>
    </row>
    <row r="70" spans="1:48" s="232" customFormat="1" ht="21.75" customHeight="1" x14ac:dyDescent="0.2">
      <c r="A70" s="120">
        <v>56</v>
      </c>
      <c r="B70" s="121" t="s">
        <v>97</v>
      </c>
      <c r="C70" s="122"/>
      <c r="D70" s="123"/>
      <c r="E70" s="123"/>
      <c r="F70" s="123"/>
      <c r="G70" s="124"/>
      <c r="H70" s="124"/>
      <c r="I70" s="125">
        <v>0</v>
      </c>
      <c r="J70" s="124"/>
      <c r="K70" s="124"/>
      <c r="L70" s="124"/>
      <c r="M70" s="124">
        <v>0</v>
      </c>
      <c r="N70" s="126">
        <f t="shared" si="2"/>
        <v>0</v>
      </c>
      <c r="O70" s="124"/>
      <c r="P70" s="124"/>
      <c r="Q70" s="124">
        <v>1000000</v>
      </c>
      <c r="R70" s="124"/>
      <c r="S70" s="127">
        <f t="shared" si="7"/>
        <v>1000000</v>
      </c>
      <c r="T70" s="124"/>
      <c r="U70" s="124"/>
      <c r="V70" s="126">
        <f>S70-Q70-J70-R70</f>
        <v>0</v>
      </c>
      <c r="W70" s="124"/>
      <c r="X70" s="124"/>
      <c r="Y70" s="124">
        <v>0</v>
      </c>
      <c r="Z70" s="124">
        <v>0</v>
      </c>
      <c r="AA70" s="124">
        <v>0</v>
      </c>
      <c r="AB70" s="124">
        <v>0</v>
      </c>
      <c r="AC70" s="126">
        <f t="shared" si="9"/>
        <v>1000000</v>
      </c>
      <c r="AD70" s="126"/>
      <c r="AE70" s="127"/>
      <c r="AF70" s="127"/>
      <c r="AG70" s="128"/>
      <c r="AH70" s="227"/>
      <c r="AI70" s="124"/>
      <c r="AJ70" s="227"/>
      <c r="AK70" s="124"/>
      <c r="AL70" s="126"/>
      <c r="AM70" s="228" t="s">
        <v>163</v>
      </c>
      <c r="AN70" s="229"/>
      <c r="AO70" s="229"/>
      <c r="AP70" s="230"/>
      <c r="AQ70" s="230"/>
      <c r="AR70" s="231"/>
      <c r="AS70" s="230"/>
      <c r="AU70" s="233"/>
      <c r="AV70" s="234"/>
    </row>
    <row r="71" spans="1:48" s="206" customFormat="1" ht="21.75" customHeight="1" x14ac:dyDescent="0.2">
      <c r="A71" s="129">
        <v>57</v>
      </c>
      <c r="B71" s="104" t="s">
        <v>98</v>
      </c>
      <c r="C71" s="93"/>
      <c r="D71" s="94"/>
      <c r="E71" s="94"/>
      <c r="F71" s="94"/>
      <c r="G71" s="95"/>
      <c r="H71" s="96"/>
      <c r="I71" s="97">
        <v>0</v>
      </c>
      <c r="J71" s="130"/>
      <c r="K71" s="95"/>
      <c r="L71" s="98"/>
      <c r="M71" s="106">
        <f>VLOOKUP(B71,'[1]BK TT'!$B$6:$I$103,8,0)</f>
        <v>0</v>
      </c>
      <c r="N71" s="73">
        <f t="shared" si="2"/>
        <v>0</v>
      </c>
      <c r="O71" s="99"/>
      <c r="P71" s="96"/>
      <c r="Q71" s="72">
        <v>1000000</v>
      </c>
      <c r="R71" s="72"/>
      <c r="S71" s="76">
        <f t="shared" si="7"/>
        <v>1000000</v>
      </c>
      <c r="T71" s="72"/>
      <c r="U71" s="72"/>
      <c r="V71" s="72">
        <f t="shared" ref="V71:V84" si="20">S71-Q71-J71-R71</f>
        <v>0</v>
      </c>
      <c r="W71" s="72"/>
      <c r="X71" s="98"/>
      <c r="Y71" s="72">
        <f t="shared" ref="Y71:Y97" si="21">X71*$AD$8</f>
        <v>0</v>
      </c>
      <c r="Z71" s="80">
        <f t="shared" si="3"/>
        <v>0</v>
      </c>
      <c r="AA71" s="72">
        <f t="shared" si="4"/>
        <v>0</v>
      </c>
      <c r="AB71" s="96">
        <f>IF(V71&gt;2000000,10%*V71,0)</f>
        <v>0</v>
      </c>
      <c r="AC71" s="72">
        <f t="shared" si="9"/>
        <v>1000000</v>
      </c>
      <c r="AD71" s="81"/>
      <c r="AE71" s="91"/>
      <c r="AF71" s="91"/>
      <c r="AG71" s="78"/>
      <c r="AH71" s="189"/>
      <c r="AI71" s="190"/>
      <c r="AJ71" s="191"/>
      <c r="AK71" s="192"/>
      <c r="AL71" s="193"/>
      <c r="AM71" s="214"/>
      <c r="AN71" s="215"/>
      <c r="AO71" s="196"/>
      <c r="AP71" s="152"/>
      <c r="AQ71" s="152"/>
      <c r="AR71" s="153"/>
      <c r="AS71" s="152"/>
      <c r="AU71" s="212" t="s">
        <v>164</v>
      </c>
      <c r="AV71" s="11"/>
    </row>
    <row r="72" spans="1:48" s="206" customFormat="1" ht="21.75" customHeight="1" x14ac:dyDescent="0.2">
      <c r="A72" s="131">
        <v>58</v>
      </c>
      <c r="B72" s="104" t="s">
        <v>99</v>
      </c>
      <c r="C72" s="93"/>
      <c r="D72" s="94"/>
      <c r="E72" s="94"/>
      <c r="F72" s="94"/>
      <c r="G72" s="95"/>
      <c r="H72" s="96"/>
      <c r="I72" s="97">
        <v>0</v>
      </c>
      <c r="J72" s="130"/>
      <c r="K72" s="95"/>
      <c r="L72" s="98"/>
      <c r="M72" s="106">
        <f>VLOOKUP(B72,'[1]BK TT'!$B$6:$I$103,8,0)</f>
        <v>0</v>
      </c>
      <c r="N72" s="73">
        <f t="shared" si="2"/>
        <v>0</v>
      </c>
      <c r="O72" s="99"/>
      <c r="P72" s="96"/>
      <c r="Q72" s="72">
        <v>1000000</v>
      </c>
      <c r="R72" s="72"/>
      <c r="S72" s="76">
        <f t="shared" si="7"/>
        <v>1000000</v>
      </c>
      <c r="T72" s="72"/>
      <c r="U72" s="72"/>
      <c r="V72" s="72">
        <f t="shared" si="20"/>
        <v>0</v>
      </c>
      <c r="W72" s="72"/>
      <c r="X72" s="98"/>
      <c r="Y72" s="72">
        <f t="shared" si="21"/>
        <v>0</v>
      </c>
      <c r="Z72" s="80">
        <f t="shared" si="3"/>
        <v>0</v>
      </c>
      <c r="AA72" s="72">
        <f t="shared" si="4"/>
        <v>0</v>
      </c>
      <c r="AB72" s="96">
        <f>IF(V72&gt;2000000,10%*V72,0)</f>
        <v>0</v>
      </c>
      <c r="AC72" s="72">
        <f t="shared" si="9"/>
        <v>1000000</v>
      </c>
      <c r="AD72" s="81"/>
      <c r="AE72" s="91"/>
      <c r="AF72" s="91"/>
      <c r="AG72" s="78"/>
      <c r="AH72" s="189"/>
      <c r="AI72" s="190"/>
      <c r="AJ72" s="191"/>
      <c r="AK72" s="192"/>
      <c r="AL72" s="193"/>
      <c r="AM72" s="214"/>
      <c r="AN72" s="215"/>
      <c r="AO72" s="196"/>
      <c r="AP72" s="152"/>
      <c r="AQ72" s="152"/>
      <c r="AR72" s="153"/>
      <c r="AS72" s="152"/>
      <c r="AU72" s="212" t="s">
        <v>165</v>
      </c>
      <c r="AV72" s="11"/>
    </row>
    <row r="73" spans="1:48" s="206" customFormat="1" ht="21.75" customHeight="1" x14ac:dyDescent="0.2">
      <c r="A73" s="129">
        <v>59</v>
      </c>
      <c r="B73" s="104" t="s">
        <v>100</v>
      </c>
      <c r="C73" s="93"/>
      <c r="D73" s="94"/>
      <c r="E73" s="94"/>
      <c r="F73" s="94"/>
      <c r="G73" s="95"/>
      <c r="H73" s="96"/>
      <c r="I73" s="97">
        <v>0</v>
      </c>
      <c r="J73" s="130"/>
      <c r="K73" s="95"/>
      <c r="L73" s="98"/>
      <c r="M73" s="106">
        <f>VLOOKUP(B73,'[1]BK TT'!$B$6:$I$103,8,0)</f>
        <v>0</v>
      </c>
      <c r="N73" s="73">
        <f t="shared" si="2"/>
        <v>0</v>
      </c>
      <c r="O73" s="99"/>
      <c r="P73" s="96"/>
      <c r="Q73" s="72">
        <v>1000000</v>
      </c>
      <c r="R73" s="72"/>
      <c r="S73" s="76">
        <f t="shared" si="7"/>
        <v>1000000</v>
      </c>
      <c r="T73" s="72"/>
      <c r="U73" s="72"/>
      <c r="V73" s="72">
        <f t="shared" si="20"/>
        <v>0</v>
      </c>
      <c r="W73" s="72"/>
      <c r="X73" s="98"/>
      <c r="Y73" s="72">
        <f t="shared" si="21"/>
        <v>0</v>
      </c>
      <c r="Z73" s="80">
        <f t="shared" si="3"/>
        <v>0</v>
      </c>
      <c r="AA73" s="72">
        <f t="shared" si="4"/>
        <v>0</v>
      </c>
      <c r="AB73" s="96">
        <f>IF(V73&gt;2000000,10%*V73,0)</f>
        <v>0</v>
      </c>
      <c r="AC73" s="72">
        <f t="shared" si="9"/>
        <v>1000000</v>
      </c>
      <c r="AD73" s="81"/>
      <c r="AE73" s="91"/>
      <c r="AF73" s="91"/>
      <c r="AG73" s="78"/>
      <c r="AH73" s="189"/>
      <c r="AI73" s="190"/>
      <c r="AJ73" s="191"/>
      <c r="AK73" s="192"/>
      <c r="AL73" s="193"/>
      <c r="AM73" s="214"/>
      <c r="AN73" s="215"/>
      <c r="AO73" s="196"/>
      <c r="AP73" s="152"/>
      <c r="AQ73" s="152"/>
      <c r="AR73" s="153"/>
      <c r="AS73" s="152"/>
      <c r="AU73" s="212" t="s">
        <v>166</v>
      </c>
      <c r="AV73" s="171"/>
    </row>
    <row r="74" spans="1:48" s="206" customFormat="1" ht="21.75" customHeight="1" x14ac:dyDescent="0.2">
      <c r="A74" s="131">
        <v>60</v>
      </c>
      <c r="B74" s="104" t="s">
        <v>167</v>
      </c>
      <c r="C74" s="93"/>
      <c r="D74" s="94"/>
      <c r="E74" s="94"/>
      <c r="F74" s="94"/>
      <c r="G74" s="95"/>
      <c r="H74" s="96"/>
      <c r="I74" s="97">
        <v>0</v>
      </c>
      <c r="J74" s="130"/>
      <c r="K74" s="95"/>
      <c r="L74" s="98"/>
      <c r="M74" s="106">
        <f>VLOOKUP(B74,'[1]BK TT'!$B$6:$I$103,8,0)</f>
        <v>0</v>
      </c>
      <c r="N74" s="73">
        <f t="shared" si="2"/>
        <v>0</v>
      </c>
      <c r="O74" s="99"/>
      <c r="P74" s="96"/>
      <c r="Q74" s="72">
        <v>1000000</v>
      </c>
      <c r="R74" s="72"/>
      <c r="S74" s="76">
        <f t="shared" si="7"/>
        <v>1000000</v>
      </c>
      <c r="T74" s="72"/>
      <c r="U74" s="72"/>
      <c r="V74" s="72">
        <f t="shared" si="20"/>
        <v>0</v>
      </c>
      <c r="W74" s="72"/>
      <c r="X74" s="98"/>
      <c r="Y74" s="72">
        <f t="shared" si="21"/>
        <v>0</v>
      </c>
      <c r="Z74" s="80">
        <f t="shared" si="3"/>
        <v>0</v>
      </c>
      <c r="AA74" s="72">
        <f t="shared" si="4"/>
        <v>0</v>
      </c>
      <c r="AB74" s="96">
        <f t="shared" ref="AB74:AB97" si="22">IF(V74&gt;2000000,10%*V74,0)</f>
        <v>0</v>
      </c>
      <c r="AC74" s="72">
        <f t="shared" si="9"/>
        <v>1000000</v>
      </c>
      <c r="AD74" s="81"/>
      <c r="AE74" s="91"/>
      <c r="AF74" s="91"/>
      <c r="AG74" s="78"/>
      <c r="AH74" s="189"/>
      <c r="AI74" s="190"/>
      <c r="AJ74" s="191"/>
      <c r="AK74" s="192"/>
      <c r="AL74" s="193"/>
      <c r="AM74" s="214"/>
      <c r="AN74" s="215"/>
      <c r="AO74" s="196"/>
      <c r="AP74" s="152"/>
      <c r="AQ74" s="152"/>
      <c r="AR74" s="153"/>
      <c r="AS74" s="152"/>
      <c r="AU74" s="212" t="s">
        <v>168</v>
      </c>
      <c r="AV74" s="11"/>
    </row>
    <row r="75" spans="1:48" s="206" customFormat="1" ht="21.75" customHeight="1" x14ac:dyDescent="0.2">
      <c r="A75" s="129">
        <v>61</v>
      </c>
      <c r="B75" s="104" t="s">
        <v>169</v>
      </c>
      <c r="C75" s="93"/>
      <c r="D75" s="94"/>
      <c r="E75" s="94"/>
      <c r="F75" s="94"/>
      <c r="G75" s="95"/>
      <c r="H75" s="96"/>
      <c r="I75" s="97">
        <v>0</v>
      </c>
      <c r="J75" s="130"/>
      <c r="K75" s="95"/>
      <c r="L75" s="98"/>
      <c r="M75" s="106">
        <f>VLOOKUP(B75,'[1]BK TT'!$B$6:$I$103,8,0)</f>
        <v>0</v>
      </c>
      <c r="N75" s="73">
        <f t="shared" si="2"/>
        <v>0</v>
      </c>
      <c r="O75" s="99"/>
      <c r="P75" s="96"/>
      <c r="Q75" s="72">
        <v>1000000</v>
      </c>
      <c r="R75" s="72"/>
      <c r="S75" s="76">
        <f t="shared" si="7"/>
        <v>1000000</v>
      </c>
      <c r="T75" s="72"/>
      <c r="U75" s="72"/>
      <c r="V75" s="72">
        <f t="shared" si="20"/>
        <v>0</v>
      </c>
      <c r="W75" s="72"/>
      <c r="X75" s="98"/>
      <c r="Y75" s="72">
        <f t="shared" si="21"/>
        <v>0</v>
      </c>
      <c r="Z75" s="80">
        <f t="shared" si="3"/>
        <v>0</v>
      </c>
      <c r="AA75" s="72">
        <f t="shared" si="4"/>
        <v>0</v>
      </c>
      <c r="AB75" s="96">
        <f t="shared" si="22"/>
        <v>0</v>
      </c>
      <c r="AC75" s="72">
        <f t="shared" si="9"/>
        <v>1000000</v>
      </c>
      <c r="AD75" s="81"/>
      <c r="AE75" s="91"/>
      <c r="AF75" s="91"/>
      <c r="AG75" s="78"/>
      <c r="AH75" s="189"/>
      <c r="AI75" s="190"/>
      <c r="AJ75" s="191"/>
      <c r="AK75" s="192"/>
      <c r="AL75" s="193"/>
      <c r="AM75" s="214"/>
      <c r="AN75" s="215"/>
      <c r="AO75" s="196"/>
      <c r="AP75" s="152"/>
      <c r="AQ75" s="152"/>
      <c r="AR75" s="153"/>
      <c r="AS75" s="152"/>
      <c r="AU75" s="212" t="s">
        <v>170</v>
      </c>
      <c r="AV75" s="11"/>
    </row>
    <row r="76" spans="1:48" s="206" customFormat="1" ht="21.75" customHeight="1" x14ac:dyDescent="0.2">
      <c r="A76" s="131">
        <v>62</v>
      </c>
      <c r="B76" s="104" t="s">
        <v>171</v>
      </c>
      <c r="C76" s="93"/>
      <c r="D76" s="94"/>
      <c r="E76" s="94"/>
      <c r="F76" s="94"/>
      <c r="G76" s="95"/>
      <c r="H76" s="96"/>
      <c r="I76" s="97">
        <v>0</v>
      </c>
      <c r="J76" s="130"/>
      <c r="K76" s="95"/>
      <c r="L76" s="98"/>
      <c r="M76" s="106">
        <f>VLOOKUP(B76,'[1]BK TT'!$B$6:$I$103,8,0)</f>
        <v>0</v>
      </c>
      <c r="N76" s="73">
        <f t="shared" si="2"/>
        <v>0</v>
      </c>
      <c r="O76" s="99"/>
      <c r="P76" s="96"/>
      <c r="Q76" s="72">
        <v>1000000</v>
      </c>
      <c r="R76" s="72"/>
      <c r="S76" s="76">
        <f t="shared" si="7"/>
        <v>1000000</v>
      </c>
      <c r="T76" s="72"/>
      <c r="U76" s="72"/>
      <c r="V76" s="72">
        <f t="shared" si="20"/>
        <v>0</v>
      </c>
      <c r="W76" s="72"/>
      <c r="X76" s="98"/>
      <c r="Y76" s="72">
        <f t="shared" si="21"/>
        <v>0</v>
      </c>
      <c r="Z76" s="80">
        <f t="shared" si="3"/>
        <v>0</v>
      </c>
      <c r="AA76" s="72">
        <f t="shared" si="4"/>
        <v>0</v>
      </c>
      <c r="AB76" s="96">
        <f t="shared" si="22"/>
        <v>0</v>
      </c>
      <c r="AC76" s="72">
        <f t="shared" si="9"/>
        <v>1000000</v>
      </c>
      <c r="AD76" s="81"/>
      <c r="AE76" s="91"/>
      <c r="AF76" s="91"/>
      <c r="AG76" s="78"/>
      <c r="AH76" s="189"/>
      <c r="AI76" s="190"/>
      <c r="AJ76" s="191"/>
      <c r="AK76" s="192"/>
      <c r="AL76" s="193"/>
      <c r="AM76" s="214"/>
      <c r="AN76" s="215"/>
      <c r="AO76" s="196"/>
      <c r="AP76" s="152"/>
      <c r="AQ76" s="152"/>
      <c r="AR76" s="153"/>
      <c r="AS76" s="152"/>
      <c r="AU76" s="212" t="s">
        <v>172</v>
      </c>
      <c r="AV76" s="11"/>
    </row>
    <row r="77" spans="1:48" s="206" customFormat="1" ht="21.75" customHeight="1" x14ac:dyDescent="0.2">
      <c r="A77" s="129">
        <v>63</v>
      </c>
      <c r="B77" s="104" t="s">
        <v>173</v>
      </c>
      <c r="C77" s="93"/>
      <c r="D77" s="94"/>
      <c r="E77" s="94"/>
      <c r="F77" s="94"/>
      <c r="G77" s="95"/>
      <c r="H77" s="96"/>
      <c r="I77" s="97">
        <v>0</v>
      </c>
      <c r="J77" s="130"/>
      <c r="K77" s="95"/>
      <c r="L77" s="98"/>
      <c r="M77" s="106">
        <f>VLOOKUP(B77,'[1]BK TT'!$B$6:$I$103,8,0)</f>
        <v>0</v>
      </c>
      <c r="N77" s="73">
        <f t="shared" si="2"/>
        <v>0</v>
      </c>
      <c r="O77" s="99"/>
      <c r="P77" s="96"/>
      <c r="Q77" s="72">
        <v>1000000</v>
      </c>
      <c r="R77" s="72"/>
      <c r="S77" s="76">
        <f t="shared" si="7"/>
        <v>1000000</v>
      </c>
      <c r="T77" s="72"/>
      <c r="U77" s="72"/>
      <c r="V77" s="72">
        <f t="shared" si="20"/>
        <v>0</v>
      </c>
      <c r="W77" s="72"/>
      <c r="X77" s="98"/>
      <c r="Y77" s="72">
        <f t="shared" si="21"/>
        <v>0</v>
      </c>
      <c r="Z77" s="80">
        <f t="shared" si="3"/>
        <v>0</v>
      </c>
      <c r="AA77" s="72">
        <f t="shared" si="4"/>
        <v>0</v>
      </c>
      <c r="AB77" s="96">
        <f t="shared" si="22"/>
        <v>0</v>
      </c>
      <c r="AC77" s="72">
        <f t="shared" si="9"/>
        <v>1000000</v>
      </c>
      <c r="AD77" s="81"/>
      <c r="AE77" s="91"/>
      <c r="AF77" s="91"/>
      <c r="AG77" s="78"/>
      <c r="AH77" s="189"/>
      <c r="AI77" s="190"/>
      <c r="AJ77" s="191"/>
      <c r="AK77" s="192"/>
      <c r="AL77" s="193"/>
      <c r="AM77" s="214"/>
      <c r="AN77" s="215"/>
      <c r="AO77" s="196"/>
      <c r="AP77" s="152"/>
      <c r="AQ77" s="152"/>
      <c r="AR77" s="153"/>
      <c r="AS77" s="152"/>
      <c r="AU77" s="212" t="s">
        <v>174</v>
      </c>
      <c r="AV77" s="11"/>
    </row>
    <row r="78" spans="1:48" s="243" customFormat="1" ht="21.75" customHeight="1" x14ac:dyDescent="0.2">
      <c r="A78" s="131">
        <v>64</v>
      </c>
      <c r="B78" s="104" t="s">
        <v>175</v>
      </c>
      <c r="C78" s="235"/>
      <c r="D78" s="236"/>
      <c r="E78" s="236"/>
      <c r="F78" s="236"/>
      <c r="G78" s="95"/>
      <c r="H78" s="99"/>
      <c r="I78" s="97">
        <v>0</v>
      </c>
      <c r="J78" s="130"/>
      <c r="K78" s="95"/>
      <c r="L78" s="237"/>
      <c r="M78" s="106">
        <f>VLOOKUP(B78,'[1]BK TT'!$B$6:$I$103,8,0)</f>
        <v>0</v>
      </c>
      <c r="N78" s="73">
        <f t="shared" ref="N78:N97" si="23">AH78*$D$161+(AI78+AJ78)*$D$162+AK78*$D$164</f>
        <v>0</v>
      </c>
      <c r="O78" s="99"/>
      <c r="P78" s="99"/>
      <c r="Q78" s="72">
        <v>1000000</v>
      </c>
      <c r="R78" s="72"/>
      <c r="S78" s="76">
        <f t="shared" si="7"/>
        <v>1000000</v>
      </c>
      <c r="T78" s="72"/>
      <c r="U78" s="72"/>
      <c r="V78" s="72">
        <f t="shared" si="20"/>
        <v>0</v>
      </c>
      <c r="W78" s="72"/>
      <c r="X78" s="98">
        <v>1</v>
      </c>
      <c r="Y78" s="72">
        <f t="shared" si="21"/>
        <v>6200000</v>
      </c>
      <c r="Z78" s="80">
        <f t="shared" ref="Z78:Z97" si="24">MAX(V78-T78-W78-Y78,0)</f>
        <v>0</v>
      </c>
      <c r="AA78" s="72">
        <f t="shared" ref="AA78:AA97" si="25">IF(Z78=0,0,IF(Z78&lt;=10000000,1,IF(Z78&lt;=30000000,2,IF(Z78&lt;=60000000,3,IF(Z78&lt;=100000000,4,5)))))</f>
        <v>0</v>
      </c>
      <c r="AB78" s="96">
        <f t="shared" si="22"/>
        <v>0</v>
      </c>
      <c r="AC78" s="72">
        <f t="shared" si="9"/>
        <v>1000000</v>
      </c>
      <c r="AD78" s="73"/>
      <c r="AE78" s="76"/>
      <c r="AF78" s="76">
        <v>13585122</v>
      </c>
      <c r="AG78" s="76"/>
      <c r="AH78" s="189"/>
      <c r="AI78" s="190"/>
      <c r="AJ78" s="191"/>
      <c r="AK78" s="238"/>
      <c r="AL78" s="239"/>
      <c r="AM78" s="240"/>
      <c r="AN78" s="241"/>
      <c r="AO78" s="242"/>
      <c r="AP78" s="133"/>
      <c r="AQ78" s="133"/>
      <c r="AR78" s="134"/>
      <c r="AS78" s="133"/>
      <c r="AU78" s="244" t="s">
        <v>176</v>
      </c>
      <c r="AV78" s="135"/>
    </row>
    <row r="79" spans="1:48" s="206" customFormat="1" ht="21.75" customHeight="1" x14ac:dyDescent="0.2">
      <c r="A79" s="129">
        <v>65</v>
      </c>
      <c r="B79" s="104" t="s">
        <v>177</v>
      </c>
      <c r="C79" s="93"/>
      <c r="D79" s="94"/>
      <c r="E79" s="94"/>
      <c r="F79" s="94"/>
      <c r="G79" s="95"/>
      <c r="H79" s="96"/>
      <c r="I79" s="97">
        <v>0</v>
      </c>
      <c r="J79" s="130"/>
      <c r="K79" s="95"/>
      <c r="L79" s="98"/>
      <c r="M79" s="106">
        <f>VLOOKUP(B79,'[1]BK TT'!$B$6:$I$103,8,0)</f>
        <v>0</v>
      </c>
      <c r="N79" s="73">
        <f t="shared" si="23"/>
        <v>6000000</v>
      </c>
      <c r="O79" s="99"/>
      <c r="P79" s="96"/>
      <c r="Q79" s="72">
        <v>1000000</v>
      </c>
      <c r="R79" s="72"/>
      <c r="S79" s="76">
        <f t="shared" ref="S79:S97" si="26">G79+H79+I79+J79-L79+M79+N79+Q79+K79+R79</f>
        <v>7000000</v>
      </c>
      <c r="T79" s="72"/>
      <c r="U79" s="72"/>
      <c r="V79" s="72">
        <f t="shared" si="20"/>
        <v>6000000</v>
      </c>
      <c r="W79" s="72"/>
      <c r="X79" s="98"/>
      <c r="Y79" s="72">
        <f t="shared" si="21"/>
        <v>0</v>
      </c>
      <c r="Z79" s="80">
        <f t="shared" si="24"/>
        <v>6000000</v>
      </c>
      <c r="AA79" s="72">
        <f t="shared" si="25"/>
        <v>1</v>
      </c>
      <c r="AB79" s="96">
        <f t="shared" si="22"/>
        <v>600000</v>
      </c>
      <c r="AC79" s="72">
        <f t="shared" ref="AC79:AC98" si="27">S79-T79-AB79</f>
        <v>6400000</v>
      </c>
      <c r="AD79" s="81"/>
      <c r="AE79" s="91"/>
      <c r="AF79" s="91"/>
      <c r="AG79" s="78"/>
      <c r="AH79" s="189"/>
      <c r="AI79" s="190">
        <v>2</v>
      </c>
      <c r="AJ79" s="191"/>
      <c r="AK79" s="192"/>
      <c r="AL79" s="193"/>
      <c r="AM79" s="214"/>
      <c r="AN79" s="215"/>
      <c r="AO79" s="196"/>
      <c r="AP79" s="152"/>
      <c r="AQ79" s="152"/>
      <c r="AR79" s="153"/>
      <c r="AS79" s="152"/>
      <c r="AU79" s="212" t="s">
        <v>178</v>
      </c>
      <c r="AV79" s="11"/>
    </row>
    <row r="80" spans="1:48" s="206" customFormat="1" ht="21.75" customHeight="1" x14ac:dyDescent="0.2">
      <c r="A80" s="131">
        <v>66</v>
      </c>
      <c r="B80" s="104" t="s">
        <v>179</v>
      </c>
      <c r="C80" s="93"/>
      <c r="D80" s="94"/>
      <c r="E80" s="94"/>
      <c r="F80" s="94"/>
      <c r="G80" s="95"/>
      <c r="H80" s="96"/>
      <c r="I80" s="97">
        <v>0</v>
      </c>
      <c r="J80" s="130"/>
      <c r="K80" s="95"/>
      <c r="L80" s="98"/>
      <c r="M80" s="106">
        <f>VLOOKUP(B80,'[1]BK TT'!$B$6:$I$103,8,0)</f>
        <v>0</v>
      </c>
      <c r="N80" s="73">
        <f t="shared" si="23"/>
        <v>0</v>
      </c>
      <c r="O80" s="99"/>
      <c r="P80" s="96"/>
      <c r="Q80" s="72">
        <v>1000000</v>
      </c>
      <c r="R80" s="72"/>
      <c r="S80" s="76">
        <f t="shared" si="26"/>
        <v>1000000</v>
      </c>
      <c r="T80" s="72"/>
      <c r="U80" s="72"/>
      <c r="V80" s="72">
        <f>S80-Q80-J80-R80</f>
        <v>0</v>
      </c>
      <c r="W80" s="72"/>
      <c r="X80" s="98"/>
      <c r="Y80" s="72">
        <f t="shared" si="21"/>
        <v>0</v>
      </c>
      <c r="Z80" s="80">
        <f t="shared" si="24"/>
        <v>0</v>
      </c>
      <c r="AA80" s="72">
        <f t="shared" si="25"/>
        <v>0</v>
      </c>
      <c r="AB80" s="96">
        <f t="shared" si="22"/>
        <v>0</v>
      </c>
      <c r="AC80" s="72">
        <f t="shared" si="27"/>
        <v>1000000</v>
      </c>
      <c r="AD80" s="81"/>
      <c r="AE80" s="91"/>
      <c r="AF80" s="91"/>
      <c r="AG80" s="78"/>
      <c r="AH80" s="189"/>
      <c r="AI80" s="190"/>
      <c r="AJ80" s="191"/>
      <c r="AK80" s="192"/>
      <c r="AL80" s="193"/>
      <c r="AM80" s="214"/>
      <c r="AN80" s="215"/>
      <c r="AO80" s="196"/>
      <c r="AP80" s="152"/>
      <c r="AQ80" s="152"/>
      <c r="AR80" s="153"/>
      <c r="AS80" s="152"/>
      <c r="AU80" s="212" t="s">
        <v>180</v>
      </c>
      <c r="AV80" s="11"/>
    </row>
    <row r="81" spans="1:48" s="206" customFormat="1" ht="21.75" customHeight="1" x14ac:dyDescent="0.2">
      <c r="A81" s="129">
        <v>67</v>
      </c>
      <c r="B81" s="104" t="s">
        <v>181</v>
      </c>
      <c r="C81" s="93"/>
      <c r="D81" s="94"/>
      <c r="E81" s="94"/>
      <c r="F81" s="94"/>
      <c r="G81" s="95"/>
      <c r="H81" s="96"/>
      <c r="I81" s="97">
        <v>0</v>
      </c>
      <c r="J81" s="130"/>
      <c r="K81" s="95"/>
      <c r="L81" s="98"/>
      <c r="M81" s="106">
        <f>VLOOKUP(B81,'[1]BK TT'!$B$6:$I$103,8,0)</f>
        <v>0</v>
      </c>
      <c r="N81" s="73">
        <f t="shared" si="23"/>
        <v>0</v>
      </c>
      <c r="O81" s="99"/>
      <c r="P81" s="96"/>
      <c r="Q81" s="72">
        <v>1000000</v>
      </c>
      <c r="R81" s="72"/>
      <c r="S81" s="76">
        <f t="shared" si="26"/>
        <v>1000000</v>
      </c>
      <c r="T81" s="72"/>
      <c r="U81" s="72"/>
      <c r="V81" s="72">
        <f t="shared" si="20"/>
        <v>0</v>
      </c>
      <c r="W81" s="72"/>
      <c r="X81" s="98"/>
      <c r="Y81" s="72">
        <f t="shared" si="21"/>
        <v>0</v>
      </c>
      <c r="Z81" s="80">
        <f t="shared" si="24"/>
        <v>0</v>
      </c>
      <c r="AA81" s="72">
        <f t="shared" si="25"/>
        <v>0</v>
      </c>
      <c r="AB81" s="96">
        <f t="shared" si="22"/>
        <v>0</v>
      </c>
      <c r="AC81" s="72">
        <f t="shared" si="27"/>
        <v>1000000</v>
      </c>
      <c r="AD81" s="81"/>
      <c r="AE81" s="91"/>
      <c r="AF81" s="91"/>
      <c r="AG81" s="78"/>
      <c r="AH81" s="189"/>
      <c r="AI81" s="190"/>
      <c r="AJ81" s="191"/>
      <c r="AK81" s="192"/>
      <c r="AL81" s="193"/>
      <c r="AM81" s="214"/>
      <c r="AN81" s="215"/>
      <c r="AO81" s="196"/>
      <c r="AP81" s="152"/>
      <c r="AQ81" s="152"/>
      <c r="AR81" s="153"/>
      <c r="AS81" s="152"/>
      <c r="AU81" s="212" t="s">
        <v>182</v>
      </c>
      <c r="AV81" s="11"/>
    </row>
    <row r="82" spans="1:48" s="206" customFormat="1" ht="21.75" customHeight="1" x14ac:dyDescent="0.2">
      <c r="A82" s="131">
        <v>68</v>
      </c>
      <c r="B82" s="104" t="s">
        <v>183</v>
      </c>
      <c r="C82" s="93"/>
      <c r="D82" s="94"/>
      <c r="E82" s="94"/>
      <c r="F82" s="94"/>
      <c r="G82" s="95"/>
      <c r="H82" s="96"/>
      <c r="I82" s="97">
        <v>0</v>
      </c>
      <c r="J82" s="130"/>
      <c r="K82" s="95"/>
      <c r="L82" s="98"/>
      <c r="M82" s="106">
        <f>VLOOKUP(B82,'[1]BK TT'!$B$6:$I$103,8,0)</f>
        <v>0</v>
      </c>
      <c r="N82" s="73">
        <f t="shared" si="23"/>
        <v>0</v>
      </c>
      <c r="O82" s="99"/>
      <c r="P82" s="96"/>
      <c r="Q82" s="72">
        <v>1000000</v>
      </c>
      <c r="R82" s="72"/>
      <c r="S82" s="76">
        <f t="shared" si="26"/>
        <v>1000000</v>
      </c>
      <c r="T82" s="72"/>
      <c r="U82" s="72"/>
      <c r="V82" s="72">
        <f t="shared" si="20"/>
        <v>0</v>
      </c>
      <c r="W82" s="72"/>
      <c r="X82" s="98"/>
      <c r="Y82" s="72">
        <f t="shared" si="21"/>
        <v>0</v>
      </c>
      <c r="Z82" s="80">
        <f t="shared" si="24"/>
        <v>0</v>
      </c>
      <c r="AA82" s="72">
        <f t="shared" si="25"/>
        <v>0</v>
      </c>
      <c r="AB82" s="96">
        <f t="shared" si="22"/>
        <v>0</v>
      </c>
      <c r="AC82" s="72">
        <f t="shared" si="27"/>
        <v>1000000</v>
      </c>
      <c r="AD82" s="81"/>
      <c r="AE82" s="91"/>
      <c r="AF82" s="91"/>
      <c r="AG82" s="78"/>
      <c r="AH82" s="189"/>
      <c r="AI82" s="190"/>
      <c r="AJ82" s="191"/>
      <c r="AK82" s="192"/>
      <c r="AL82" s="193"/>
      <c r="AM82" s="214"/>
      <c r="AN82" s="215"/>
      <c r="AO82" s="196"/>
      <c r="AP82" s="152"/>
      <c r="AQ82" s="152"/>
      <c r="AR82" s="153"/>
      <c r="AS82" s="152"/>
      <c r="AU82" s="212" t="s">
        <v>184</v>
      </c>
      <c r="AV82" s="11"/>
    </row>
    <row r="83" spans="1:48" s="206" customFormat="1" ht="21.75" customHeight="1" x14ac:dyDescent="0.2">
      <c r="A83" s="129">
        <v>69</v>
      </c>
      <c r="B83" s="104" t="s">
        <v>185</v>
      </c>
      <c r="C83" s="93"/>
      <c r="D83" s="94"/>
      <c r="E83" s="94"/>
      <c r="F83" s="94"/>
      <c r="G83" s="95"/>
      <c r="H83" s="96"/>
      <c r="I83" s="97">
        <v>0</v>
      </c>
      <c r="J83" s="130"/>
      <c r="K83" s="95"/>
      <c r="L83" s="98"/>
      <c r="M83" s="106">
        <f>VLOOKUP(B83,'[1]BK TT'!$B$6:$I$103,8,0)</f>
        <v>0</v>
      </c>
      <c r="N83" s="73">
        <f t="shared" si="23"/>
        <v>0</v>
      </c>
      <c r="O83" s="99"/>
      <c r="P83" s="96"/>
      <c r="Q83" s="72">
        <v>1000000</v>
      </c>
      <c r="R83" s="72"/>
      <c r="S83" s="76">
        <f t="shared" si="26"/>
        <v>1000000</v>
      </c>
      <c r="T83" s="72"/>
      <c r="U83" s="72"/>
      <c r="V83" s="72">
        <f t="shared" si="20"/>
        <v>0</v>
      </c>
      <c r="W83" s="72"/>
      <c r="X83" s="98"/>
      <c r="Y83" s="72">
        <f t="shared" si="21"/>
        <v>0</v>
      </c>
      <c r="Z83" s="80">
        <f t="shared" si="24"/>
        <v>0</v>
      </c>
      <c r="AA83" s="72">
        <f t="shared" si="25"/>
        <v>0</v>
      </c>
      <c r="AB83" s="96">
        <f t="shared" si="22"/>
        <v>0</v>
      </c>
      <c r="AC83" s="72">
        <f t="shared" si="27"/>
        <v>1000000</v>
      </c>
      <c r="AD83" s="81"/>
      <c r="AE83" s="91"/>
      <c r="AF83" s="91"/>
      <c r="AG83" s="78"/>
      <c r="AH83" s="189"/>
      <c r="AI83" s="190"/>
      <c r="AJ83" s="191"/>
      <c r="AK83" s="192"/>
      <c r="AL83" s="193"/>
      <c r="AM83" s="214"/>
      <c r="AN83" s="215"/>
      <c r="AO83" s="196"/>
      <c r="AP83" s="152"/>
      <c r="AQ83" s="152"/>
      <c r="AR83" s="153"/>
      <c r="AS83" s="152"/>
      <c r="AU83" s="212" t="s">
        <v>186</v>
      </c>
      <c r="AV83" s="11"/>
    </row>
    <row r="84" spans="1:48" s="206" customFormat="1" ht="21.75" customHeight="1" x14ac:dyDescent="0.2">
      <c r="A84" s="131">
        <v>70</v>
      </c>
      <c r="B84" s="104" t="s">
        <v>187</v>
      </c>
      <c r="C84" s="93"/>
      <c r="D84" s="94"/>
      <c r="E84" s="94"/>
      <c r="F84" s="94"/>
      <c r="G84" s="95"/>
      <c r="H84" s="96"/>
      <c r="I84" s="97">
        <v>0</v>
      </c>
      <c r="J84" s="130"/>
      <c r="K84" s="95"/>
      <c r="L84" s="98"/>
      <c r="M84" s="106">
        <f>VLOOKUP(B84,'[1]BK TT'!$B$6:$I$103,8,0)</f>
        <v>0</v>
      </c>
      <c r="N84" s="73">
        <f t="shared" si="23"/>
        <v>22000000</v>
      </c>
      <c r="O84" s="99"/>
      <c r="P84" s="96"/>
      <c r="Q84" s="72">
        <v>1000000</v>
      </c>
      <c r="R84" s="72"/>
      <c r="S84" s="76">
        <f t="shared" si="26"/>
        <v>23000000</v>
      </c>
      <c r="T84" s="72"/>
      <c r="U84" s="72"/>
      <c r="V84" s="72">
        <f t="shared" si="20"/>
        <v>22000000</v>
      </c>
      <c r="W84" s="72"/>
      <c r="X84" s="98"/>
      <c r="Y84" s="72">
        <f t="shared" si="21"/>
        <v>0</v>
      </c>
      <c r="Z84" s="80">
        <f t="shared" si="24"/>
        <v>22000000</v>
      </c>
      <c r="AA84" s="72">
        <f t="shared" si="25"/>
        <v>2</v>
      </c>
      <c r="AB84" s="96">
        <f t="shared" si="22"/>
        <v>2200000</v>
      </c>
      <c r="AC84" s="72">
        <f t="shared" si="27"/>
        <v>20800000</v>
      </c>
      <c r="AD84" s="81"/>
      <c r="AE84" s="91"/>
      <c r="AF84" s="91"/>
      <c r="AG84" s="78"/>
      <c r="AH84" s="189">
        <v>5</v>
      </c>
      <c r="AI84" s="190">
        <v>3</v>
      </c>
      <c r="AJ84" s="191">
        <v>1</v>
      </c>
      <c r="AK84" s="192"/>
      <c r="AL84" s="193"/>
      <c r="AM84" s="214"/>
      <c r="AN84" s="215"/>
      <c r="AO84" s="196"/>
      <c r="AP84" s="152"/>
      <c r="AQ84" s="152"/>
      <c r="AR84" s="153"/>
      <c r="AS84" s="152"/>
      <c r="AU84" s="212" t="s">
        <v>188</v>
      </c>
      <c r="AV84" s="171"/>
    </row>
    <row r="85" spans="1:48" s="206" customFormat="1" ht="21.75" customHeight="1" x14ac:dyDescent="0.2">
      <c r="A85" s="129">
        <v>71</v>
      </c>
      <c r="B85" s="104" t="s">
        <v>189</v>
      </c>
      <c r="C85" s="93"/>
      <c r="D85" s="94"/>
      <c r="E85" s="94"/>
      <c r="F85" s="94"/>
      <c r="G85" s="95"/>
      <c r="H85" s="96"/>
      <c r="I85" s="97">
        <v>0</v>
      </c>
      <c r="J85" s="130"/>
      <c r="K85" s="95"/>
      <c r="L85" s="98"/>
      <c r="M85" s="106">
        <f>VLOOKUP(B85,'[1]BK TT'!$B$6:$I$103,8,0)</f>
        <v>0</v>
      </c>
      <c r="N85" s="73">
        <f t="shared" si="23"/>
        <v>9000000</v>
      </c>
      <c r="O85" s="99"/>
      <c r="P85" s="96"/>
      <c r="Q85" s="72">
        <v>1000000</v>
      </c>
      <c r="R85" s="72"/>
      <c r="S85" s="76">
        <f t="shared" si="26"/>
        <v>10000000</v>
      </c>
      <c r="T85" s="72"/>
      <c r="U85" s="72"/>
      <c r="V85" s="72">
        <f>S85-Q85-J85-R85</f>
        <v>9000000</v>
      </c>
      <c r="W85" s="72"/>
      <c r="X85" s="98"/>
      <c r="Y85" s="72">
        <f t="shared" si="21"/>
        <v>0</v>
      </c>
      <c r="Z85" s="80">
        <f t="shared" si="24"/>
        <v>9000000</v>
      </c>
      <c r="AA85" s="72">
        <f t="shared" si="25"/>
        <v>1</v>
      </c>
      <c r="AB85" s="96">
        <f t="shared" si="22"/>
        <v>900000</v>
      </c>
      <c r="AC85" s="72">
        <f t="shared" si="27"/>
        <v>9100000</v>
      </c>
      <c r="AD85" s="81"/>
      <c r="AE85" s="91"/>
      <c r="AF85" s="91"/>
      <c r="AG85" s="78"/>
      <c r="AH85" s="189"/>
      <c r="AI85" s="190">
        <v>3</v>
      </c>
      <c r="AJ85" s="191"/>
      <c r="AK85" s="192"/>
      <c r="AL85" s="193"/>
      <c r="AM85" s="214"/>
      <c r="AN85" s="215"/>
      <c r="AO85" s="196"/>
      <c r="AP85" s="152"/>
      <c r="AQ85" s="152"/>
      <c r="AR85" s="153"/>
      <c r="AS85" s="152"/>
      <c r="AU85" s="212" t="s">
        <v>190</v>
      </c>
      <c r="AV85" s="171"/>
    </row>
    <row r="86" spans="1:48" s="206" customFormat="1" ht="21.75" customHeight="1" x14ac:dyDescent="0.2">
      <c r="A86" s="131">
        <v>72</v>
      </c>
      <c r="B86" s="104" t="s">
        <v>191</v>
      </c>
      <c r="C86" s="93"/>
      <c r="D86" s="94"/>
      <c r="E86" s="94"/>
      <c r="F86" s="94"/>
      <c r="G86" s="95"/>
      <c r="H86" s="96"/>
      <c r="I86" s="97">
        <v>0</v>
      </c>
      <c r="J86" s="130"/>
      <c r="K86" s="95"/>
      <c r="L86" s="98"/>
      <c r="M86" s="106">
        <f>VLOOKUP(B86,'[1]BK TT'!$B$6:$I$103,8,0)</f>
        <v>0</v>
      </c>
      <c r="N86" s="73">
        <f t="shared" si="23"/>
        <v>0</v>
      </c>
      <c r="O86" s="99"/>
      <c r="P86" s="96"/>
      <c r="Q86" s="72">
        <v>1000000</v>
      </c>
      <c r="R86" s="72"/>
      <c r="S86" s="76">
        <f t="shared" si="26"/>
        <v>1000000</v>
      </c>
      <c r="T86" s="72"/>
      <c r="U86" s="72"/>
      <c r="V86" s="72">
        <f>S86-Q86-J86-R86</f>
        <v>0</v>
      </c>
      <c r="W86" s="72"/>
      <c r="X86" s="98"/>
      <c r="Y86" s="72">
        <f t="shared" si="21"/>
        <v>0</v>
      </c>
      <c r="Z86" s="80">
        <f t="shared" si="24"/>
        <v>0</v>
      </c>
      <c r="AA86" s="72">
        <f t="shared" si="25"/>
        <v>0</v>
      </c>
      <c r="AB86" s="96">
        <f t="shared" si="22"/>
        <v>0</v>
      </c>
      <c r="AC86" s="72">
        <f t="shared" si="27"/>
        <v>1000000</v>
      </c>
      <c r="AD86" s="81"/>
      <c r="AE86" s="91"/>
      <c r="AF86" s="91"/>
      <c r="AG86" s="78"/>
      <c r="AH86" s="189"/>
      <c r="AI86" s="190"/>
      <c r="AJ86" s="191"/>
      <c r="AK86" s="192"/>
      <c r="AL86" s="193"/>
      <c r="AM86" s="214"/>
      <c r="AN86" s="215"/>
      <c r="AO86" s="196"/>
      <c r="AP86" s="152"/>
      <c r="AQ86" s="152"/>
      <c r="AR86" s="153"/>
      <c r="AS86" s="152"/>
      <c r="AU86" s="212" t="s">
        <v>192</v>
      </c>
      <c r="AV86" s="11"/>
    </row>
    <row r="87" spans="1:48" s="206" customFormat="1" ht="21.75" customHeight="1" x14ac:dyDescent="0.2">
      <c r="A87" s="129">
        <v>73</v>
      </c>
      <c r="B87" s="104" t="s">
        <v>193</v>
      </c>
      <c r="C87" s="93"/>
      <c r="D87" s="94"/>
      <c r="E87" s="94"/>
      <c r="F87" s="94"/>
      <c r="G87" s="95"/>
      <c r="H87" s="96"/>
      <c r="I87" s="97">
        <v>0</v>
      </c>
      <c r="J87" s="130"/>
      <c r="K87" s="95"/>
      <c r="L87" s="98"/>
      <c r="M87" s="106">
        <f>VLOOKUP(B87,'[1]BK TT'!$B$6:$I$103,8,0)</f>
        <v>0</v>
      </c>
      <c r="N87" s="73">
        <f t="shared" si="23"/>
        <v>0</v>
      </c>
      <c r="O87" s="99"/>
      <c r="P87" s="96"/>
      <c r="Q87" s="72">
        <v>1000000</v>
      </c>
      <c r="R87" s="72"/>
      <c r="S87" s="76">
        <f t="shared" si="26"/>
        <v>1000000</v>
      </c>
      <c r="T87" s="72"/>
      <c r="U87" s="72"/>
      <c r="V87" s="72">
        <f t="shared" ref="V87:V97" si="28">S87-Q87-J87-R87</f>
        <v>0</v>
      </c>
      <c r="W87" s="72"/>
      <c r="X87" s="98"/>
      <c r="Y87" s="72">
        <f t="shared" si="21"/>
        <v>0</v>
      </c>
      <c r="Z87" s="80">
        <f t="shared" si="24"/>
        <v>0</v>
      </c>
      <c r="AA87" s="72">
        <f t="shared" si="25"/>
        <v>0</v>
      </c>
      <c r="AB87" s="96">
        <f t="shared" si="22"/>
        <v>0</v>
      </c>
      <c r="AC87" s="72">
        <f t="shared" si="27"/>
        <v>1000000</v>
      </c>
      <c r="AD87" s="81"/>
      <c r="AE87" s="91"/>
      <c r="AF87" s="91"/>
      <c r="AG87" s="78"/>
      <c r="AH87" s="189"/>
      <c r="AI87" s="190"/>
      <c r="AJ87" s="191"/>
      <c r="AK87" s="192"/>
      <c r="AL87" s="193"/>
      <c r="AM87" s="214"/>
      <c r="AN87" s="215"/>
      <c r="AO87" s="196"/>
      <c r="AP87" s="152"/>
      <c r="AQ87" s="152"/>
      <c r="AR87" s="153"/>
      <c r="AS87" s="152"/>
      <c r="AU87" s="212" t="s">
        <v>194</v>
      </c>
      <c r="AV87" s="11"/>
    </row>
    <row r="88" spans="1:48" s="206" customFormat="1" ht="21.75" customHeight="1" x14ac:dyDescent="0.2">
      <c r="A88" s="131">
        <v>74</v>
      </c>
      <c r="B88" s="104" t="s">
        <v>195</v>
      </c>
      <c r="C88" s="93"/>
      <c r="D88" s="94"/>
      <c r="E88" s="94"/>
      <c r="F88" s="94"/>
      <c r="G88" s="95"/>
      <c r="H88" s="96"/>
      <c r="I88" s="97">
        <v>0</v>
      </c>
      <c r="J88" s="130"/>
      <c r="K88" s="95"/>
      <c r="L88" s="98"/>
      <c r="M88" s="106">
        <f>VLOOKUP(B88,'[1]BK TT'!$B$6:$I$103,8,0)</f>
        <v>0</v>
      </c>
      <c r="N88" s="73">
        <f t="shared" si="23"/>
        <v>0</v>
      </c>
      <c r="O88" s="99"/>
      <c r="P88" s="96"/>
      <c r="Q88" s="72">
        <v>1000000</v>
      </c>
      <c r="R88" s="72"/>
      <c r="S88" s="76">
        <f t="shared" si="26"/>
        <v>1000000</v>
      </c>
      <c r="T88" s="72"/>
      <c r="U88" s="72"/>
      <c r="V88" s="72">
        <f t="shared" si="28"/>
        <v>0</v>
      </c>
      <c r="W88" s="72"/>
      <c r="X88" s="98"/>
      <c r="Y88" s="72">
        <f t="shared" si="21"/>
        <v>0</v>
      </c>
      <c r="Z88" s="80">
        <f t="shared" si="24"/>
        <v>0</v>
      </c>
      <c r="AA88" s="72">
        <f t="shared" si="25"/>
        <v>0</v>
      </c>
      <c r="AB88" s="96">
        <f t="shared" si="22"/>
        <v>0</v>
      </c>
      <c r="AC88" s="72">
        <f t="shared" si="27"/>
        <v>1000000</v>
      </c>
      <c r="AD88" s="81"/>
      <c r="AE88" s="91"/>
      <c r="AF88" s="91"/>
      <c r="AG88" s="78" t="s">
        <v>196</v>
      </c>
      <c r="AH88" s="189"/>
      <c r="AI88" s="190"/>
      <c r="AJ88" s="191"/>
      <c r="AK88" s="192"/>
      <c r="AL88" s="193"/>
      <c r="AM88" s="214"/>
      <c r="AN88" s="215"/>
      <c r="AO88" s="196"/>
      <c r="AP88" s="152"/>
      <c r="AQ88" s="152"/>
      <c r="AR88" s="153"/>
      <c r="AS88" s="152"/>
      <c r="AU88" s="212" t="s">
        <v>197</v>
      </c>
      <c r="AV88" s="11"/>
    </row>
    <row r="89" spans="1:48" s="206" customFormat="1" ht="21.75" customHeight="1" x14ac:dyDescent="0.2">
      <c r="A89" s="129">
        <v>75</v>
      </c>
      <c r="B89" s="104" t="s">
        <v>198</v>
      </c>
      <c r="C89" s="93"/>
      <c r="D89" s="94"/>
      <c r="E89" s="94"/>
      <c r="F89" s="94"/>
      <c r="G89" s="95"/>
      <c r="H89" s="96"/>
      <c r="I89" s="97">
        <v>0</v>
      </c>
      <c r="J89" s="130"/>
      <c r="K89" s="95"/>
      <c r="L89" s="98"/>
      <c r="M89" s="106">
        <f>VLOOKUP(B89,'[1]BK TT'!$B$6:$I$103,8,0)</f>
        <v>0</v>
      </c>
      <c r="N89" s="73">
        <f t="shared" si="23"/>
        <v>0</v>
      </c>
      <c r="O89" s="99"/>
      <c r="P89" s="96"/>
      <c r="Q89" s="72">
        <v>1000000</v>
      </c>
      <c r="R89" s="72"/>
      <c r="S89" s="76">
        <f t="shared" si="26"/>
        <v>1000000</v>
      </c>
      <c r="T89" s="72"/>
      <c r="U89" s="72"/>
      <c r="V89" s="72">
        <f t="shared" si="28"/>
        <v>0</v>
      </c>
      <c r="W89" s="72"/>
      <c r="X89" s="98"/>
      <c r="Y89" s="72">
        <f t="shared" si="21"/>
        <v>0</v>
      </c>
      <c r="Z89" s="80">
        <f t="shared" si="24"/>
        <v>0</v>
      </c>
      <c r="AA89" s="72">
        <f t="shared" si="25"/>
        <v>0</v>
      </c>
      <c r="AB89" s="96">
        <f t="shared" si="22"/>
        <v>0</v>
      </c>
      <c r="AC89" s="72">
        <f t="shared" si="27"/>
        <v>1000000</v>
      </c>
      <c r="AD89" s="81"/>
      <c r="AE89" s="91"/>
      <c r="AF89" s="91"/>
      <c r="AG89" s="78" t="s">
        <v>199</v>
      </c>
      <c r="AH89" s="189"/>
      <c r="AI89" s="190"/>
      <c r="AJ89" s="191"/>
      <c r="AK89" s="192"/>
      <c r="AL89" s="193"/>
      <c r="AM89" s="214"/>
      <c r="AN89" s="215"/>
      <c r="AO89" s="196"/>
      <c r="AP89" s="152"/>
      <c r="AQ89" s="152"/>
      <c r="AR89" s="153"/>
      <c r="AS89" s="152"/>
      <c r="AU89" s="212" t="s">
        <v>200</v>
      </c>
      <c r="AV89" s="11"/>
    </row>
    <row r="90" spans="1:48" s="206" customFormat="1" ht="21.75" customHeight="1" x14ac:dyDescent="0.2">
      <c r="A90" s="131">
        <v>76</v>
      </c>
      <c r="B90" s="104" t="s">
        <v>201</v>
      </c>
      <c r="C90" s="93"/>
      <c r="D90" s="94"/>
      <c r="E90" s="94"/>
      <c r="F90" s="94"/>
      <c r="G90" s="95"/>
      <c r="H90" s="96"/>
      <c r="I90" s="97">
        <v>0</v>
      </c>
      <c r="J90" s="130"/>
      <c r="K90" s="95"/>
      <c r="L90" s="98"/>
      <c r="M90" s="106">
        <f>VLOOKUP(B90,'[1]BK TT'!$B$6:$I$103,8,0)</f>
        <v>0</v>
      </c>
      <c r="N90" s="73">
        <f t="shared" si="23"/>
        <v>0</v>
      </c>
      <c r="O90" s="99"/>
      <c r="P90" s="96"/>
      <c r="Q90" s="72">
        <v>1000000</v>
      </c>
      <c r="R90" s="72"/>
      <c r="S90" s="76">
        <f t="shared" si="26"/>
        <v>1000000</v>
      </c>
      <c r="T90" s="72"/>
      <c r="U90" s="72"/>
      <c r="V90" s="72">
        <f t="shared" si="28"/>
        <v>0</v>
      </c>
      <c r="W90" s="72"/>
      <c r="X90" s="98"/>
      <c r="Y90" s="72">
        <f t="shared" si="21"/>
        <v>0</v>
      </c>
      <c r="Z90" s="80">
        <f t="shared" si="24"/>
        <v>0</v>
      </c>
      <c r="AA90" s="72">
        <f t="shared" si="25"/>
        <v>0</v>
      </c>
      <c r="AB90" s="96">
        <f t="shared" si="22"/>
        <v>0</v>
      </c>
      <c r="AC90" s="72">
        <f t="shared" si="27"/>
        <v>1000000</v>
      </c>
      <c r="AD90" s="81"/>
      <c r="AE90" s="91"/>
      <c r="AF90" s="91"/>
      <c r="AG90" s="78"/>
      <c r="AH90" s="189"/>
      <c r="AI90" s="190"/>
      <c r="AJ90" s="191"/>
      <c r="AK90" s="192"/>
      <c r="AL90" s="193"/>
      <c r="AM90" s="214"/>
      <c r="AN90" s="215"/>
      <c r="AO90" s="196"/>
      <c r="AP90" s="152"/>
      <c r="AQ90" s="152"/>
      <c r="AR90" s="153"/>
      <c r="AS90" s="152"/>
      <c r="AU90" s="212" t="s">
        <v>202</v>
      </c>
      <c r="AV90" s="11"/>
    </row>
    <row r="91" spans="1:48" s="206" customFormat="1" ht="21.75" customHeight="1" x14ac:dyDescent="0.2">
      <c r="A91" s="129">
        <v>77</v>
      </c>
      <c r="B91" s="104" t="s">
        <v>203</v>
      </c>
      <c r="C91" s="93"/>
      <c r="D91" s="94"/>
      <c r="E91" s="94"/>
      <c r="F91" s="94"/>
      <c r="G91" s="95"/>
      <c r="H91" s="96"/>
      <c r="I91" s="97">
        <v>0</v>
      </c>
      <c r="J91" s="130"/>
      <c r="K91" s="95"/>
      <c r="L91" s="98"/>
      <c r="M91" s="106">
        <f>VLOOKUP(B91,'[1]BK TT'!$B$6:$I$103,8,0)</f>
        <v>0</v>
      </c>
      <c r="N91" s="73">
        <f t="shared" si="23"/>
        <v>0</v>
      </c>
      <c r="O91" s="99"/>
      <c r="P91" s="96"/>
      <c r="Q91" s="72">
        <v>1000000</v>
      </c>
      <c r="R91" s="72"/>
      <c r="S91" s="76">
        <f t="shared" si="26"/>
        <v>1000000</v>
      </c>
      <c r="T91" s="72"/>
      <c r="U91" s="72"/>
      <c r="V91" s="72">
        <f t="shared" si="28"/>
        <v>0</v>
      </c>
      <c r="W91" s="72"/>
      <c r="X91" s="98"/>
      <c r="Y91" s="72">
        <f t="shared" si="21"/>
        <v>0</v>
      </c>
      <c r="Z91" s="80">
        <f t="shared" si="24"/>
        <v>0</v>
      </c>
      <c r="AA91" s="72">
        <f t="shared" si="25"/>
        <v>0</v>
      </c>
      <c r="AB91" s="96">
        <f t="shared" si="22"/>
        <v>0</v>
      </c>
      <c r="AC91" s="72">
        <f t="shared" si="27"/>
        <v>1000000</v>
      </c>
      <c r="AD91" s="81"/>
      <c r="AE91" s="91"/>
      <c r="AF91" s="91"/>
      <c r="AG91" s="78"/>
      <c r="AH91" s="189"/>
      <c r="AI91" s="190"/>
      <c r="AJ91" s="191"/>
      <c r="AK91" s="192"/>
      <c r="AL91" s="193"/>
      <c r="AM91" s="214"/>
      <c r="AN91" s="215"/>
      <c r="AO91" s="196"/>
      <c r="AP91" s="152"/>
      <c r="AQ91" s="152"/>
      <c r="AR91" s="153"/>
      <c r="AS91" s="152"/>
      <c r="AU91" s="212" t="s">
        <v>204</v>
      </c>
      <c r="AV91" s="11"/>
    </row>
    <row r="92" spans="1:48" s="206" customFormat="1" ht="21.75" customHeight="1" x14ac:dyDescent="0.2">
      <c r="A92" s="131">
        <v>78</v>
      </c>
      <c r="B92" s="104" t="s">
        <v>205</v>
      </c>
      <c r="C92" s="93"/>
      <c r="D92" s="94"/>
      <c r="E92" s="94"/>
      <c r="F92" s="94"/>
      <c r="G92" s="95"/>
      <c r="H92" s="96"/>
      <c r="I92" s="97">
        <v>0</v>
      </c>
      <c r="J92" s="130"/>
      <c r="K92" s="95"/>
      <c r="L92" s="98"/>
      <c r="M92" s="106">
        <f>VLOOKUP(B92,'[1]BK TT'!$B$6:$I$103,8,0)</f>
        <v>0</v>
      </c>
      <c r="N92" s="73">
        <f t="shared" si="23"/>
        <v>0</v>
      </c>
      <c r="O92" s="99"/>
      <c r="P92" s="96"/>
      <c r="Q92" s="72">
        <v>1000000</v>
      </c>
      <c r="R92" s="72"/>
      <c r="S92" s="76">
        <f t="shared" si="26"/>
        <v>1000000</v>
      </c>
      <c r="T92" s="72"/>
      <c r="U92" s="72"/>
      <c r="V92" s="72">
        <f t="shared" si="28"/>
        <v>0</v>
      </c>
      <c r="W92" s="72"/>
      <c r="X92" s="98"/>
      <c r="Y92" s="72">
        <f t="shared" si="21"/>
        <v>0</v>
      </c>
      <c r="Z92" s="80">
        <f t="shared" si="24"/>
        <v>0</v>
      </c>
      <c r="AA92" s="72">
        <f t="shared" si="25"/>
        <v>0</v>
      </c>
      <c r="AB92" s="96">
        <f t="shared" si="22"/>
        <v>0</v>
      </c>
      <c r="AC92" s="72">
        <f t="shared" si="27"/>
        <v>1000000</v>
      </c>
      <c r="AD92" s="81"/>
      <c r="AE92" s="91"/>
      <c r="AF92" s="91"/>
      <c r="AG92" s="78"/>
      <c r="AH92" s="189"/>
      <c r="AI92" s="190"/>
      <c r="AJ92" s="191"/>
      <c r="AK92" s="192"/>
      <c r="AL92" s="193"/>
      <c r="AM92" s="214"/>
      <c r="AN92" s="215"/>
      <c r="AO92" s="196"/>
      <c r="AP92" s="152"/>
      <c r="AQ92" s="152"/>
      <c r="AR92" s="153"/>
      <c r="AS92" s="152"/>
      <c r="AU92" s="212" t="s">
        <v>206</v>
      </c>
      <c r="AV92" s="11"/>
    </row>
    <row r="93" spans="1:48" s="206" customFormat="1" ht="21.75" customHeight="1" x14ac:dyDescent="0.2">
      <c r="A93" s="129">
        <v>79</v>
      </c>
      <c r="B93" s="104" t="s">
        <v>207</v>
      </c>
      <c r="C93" s="93"/>
      <c r="D93" s="94"/>
      <c r="E93" s="94"/>
      <c r="F93" s="94"/>
      <c r="G93" s="95"/>
      <c r="H93" s="96"/>
      <c r="I93" s="97">
        <v>0</v>
      </c>
      <c r="J93" s="130"/>
      <c r="K93" s="95"/>
      <c r="L93" s="98"/>
      <c r="M93" s="106">
        <f>VLOOKUP(B93,'[1]BK TT'!$B$6:$I$103,8,0)</f>
        <v>0</v>
      </c>
      <c r="N93" s="73">
        <f t="shared" si="23"/>
        <v>0</v>
      </c>
      <c r="O93" s="99"/>
      <c r="P93" s="96"/>
      <c r="Q93" s="72">
        <v>1000000</v>
      </c>
      <c r="R93" s="72"/>
      <c r="S93" s="76">
        <f t="shared" si="26"/>
        <v>1000000</v>
      </c>
      <c r="T93" s="72"/>
      <c r="U93" s="72"/>
      <c r="V93" s="72">
        <f t="shared" si="28"/>
        <v>0</v>
      </c>
      <c r="W93" s="72"/>
      <c r="X93" s="98"/>
      <c r="Y93" s="72">
        <f t="shared" si="21"/>
        <v>0</v>
      </c>
      <c r="Z93" s="80">
        <f t="shared" si="24"/>
        <v>0</v>
      </c>
      <c r="AA93" s="72">
        <f t="shared" si="25"/>
        <v>0</v>
      </c>
      <c r="AB93" s="96">
        <f t="shared" si="22"/>
        <v>0</v>
      </c>
      <c r="AC93" s="72">
        <f t="shared" si="27"/>
        <v>1000000</v>
      </c>
      <c r="AD93" s="81"/>
      <c r="AE93" s="91"/>
      <c r="AF93" s="91"/>
      <c r="AG93" s="78"/>
      <c r="AH93" s="189"/>
      <c r="AI93" s="190"/>
      <c r="AJ93" s="191"/>
      <c r="AK93" s="192"/>
      <c r="AL93" s="193"/>
      <c r="AM93" s="214"/>
      <c r="AN93" s="215"/>
      <c r="AO93" s="196"/>
      <c r="AP93" s="152"/>
      <c r="AQ93" s="152"/>
      <c r="AR93" s="153"/>
      <c r="AS93" s="152"/>
      <c r="AU93" s="212" t="s">
        <v>208</v>
      </c>
      <c r="AV93" s="171"/>
    </row>
    <row r="94" spans="1:48" s="206" customFormat="1" ht="21.75" customHeight="1" x14ac:dyDescent="0.2">
      <c r="A94" s="131">
        <v>80</v>
      </c>
      <c r="B94" s="104" t="s">
        <v>209</v>
      </c>
      <c r="C94" s="93"/>
      <c r="D94" s="94"/>
      <c r="E94" s="94"/>
      <c r="F94" s="94"/>
      <c r="G94" s="95"/>
      <c r="H94" s="96"/>
      <c r="I94" s="97">
        <v>0</v>
      </c>
      <c r="J94" s="130"/>
      <c r="K94" s="95"/>
      <c r="L94" s="98"/>
      <c r="M94" s="106">
        <f>VLOOKUP(B94,'[1]BK TT'!$B$6:$I$103,8,0)</f>
        <v>0</v>
      </c>
      <c r="N94" s="73">
        <f t="shared" si="23"/>
        <v>3000000</v>
      </c>
      <c r="O94" s="99"/>
      <c r="P94" s="96"/>
      <c r="Q94" s="72">
        <v>1000000</v>
      </c>
      <c r="R94" s="72"/>
      <c r="S94" s="76">
        <f t="shared" si="26"/>
        <v>4000000</v>
      </c>
      <c r="T94" s="72"/>
      <c r="U94" s="72"/>
      <c r="V94" s="72">
        <f t="shared" si="28"/>
        <v>3000000</v>
      </c>
      <c r="W94" s="72"/>
      <c r="X94" s="98"/>
      <c r="Y94" s="72">
        <f t="shared" si="21"/>
        <v>0</v>
      </c>
      <c r="Z94" s="80">
        <f t="shared" si="24"/>
        <v>3000000</v>
      </c>
      <c r="AA94" s="72">
        <f t="shared" si="25"/>
        <v>1</v>
      </c>
      <c r="AB94" s="96">
        <f t="shared" si="22"/>
        <v>300000</v>
      </c>
      <c r="AC94" s="72">
        <f t="shared" si="27"/>
        <v>3700000</v>
      </c>
      <c r="AD94" s="81"/>
      <c r="AE94" s="91"/>
      <c r="AF94" s="91"/>
      <c r="AG94" s="78"/>
      <c r="AH94" s="189"/>
      <c r="AI94" s="190">
        <v>1</v>
      </c>
      <c r="AJ94" s="191"/>
      <c r="AK94" s="192"/>
      <c r="AL94" s="193"/>
      <c r="AM94" s="214"/>
      <c r="AN94" s="215"/>
      <c r="AO94" s="196"/>
      <c r="AP94" s="152"/>
      <c r="AQ94" s="152"/>
      <c r="AR94" s="153"/>
      <c r="AS94" s="152"/>
      <c r="AU94" s="212" t="s">
        <v>210</v>
      </c>
      <c r="AV94" s="11"/>
    </row>
    <row r="95" spans="1:48" s="206" customFormat="1" ht="21.75" customHeight="1" x14ac:dyDescent="0.2">
      <c r="A95" s="129">
        <v>81</v>
      </c>
      <c r="B95" s="104" t="s">
        <v>211</v>
      </c>
      <c r="C95" s="93"/>
      <c r="D95" s="94"/>
      <c r="E95" s="94"/>
      <c r="F95" s="94"/>
      <c r="G95" s="95"/>
      <c r="H95" s="96"/>
      <c r="I95" s="97">
        <v>0</v>
      </c>
      <c r="J95" s="130"/>
      <c r="K95" s="95"/>
      <c r="L95" s="98"/>
      <c r="M95" s="106">
        <f>VLOOKUP(B95,'[1]BK TT'!$B$6:$I$103,8,0)</f>
        <v>0</v>
      </c>
      <c r="N95" s="73">
        <f t="shared" si="23"/>
        <v>0</v>
      </c>
      <c r="O95" s="99"/>
      <c r="P95" s="96"/>
      <c r="Q95" s="72">
        <v>1000000</v>
      </c>
      <c r="R95" s="72"/>
      <c r="S95" s="76">
        <f t="shared" si="26"/>
        <v>1000000</v>
      </c>
      <c r="T95" s="72"/>
      <c r="U95" s="72"/>
      <c r="V95" s="72">
        <f t="shared" si="28"/>
        <v>0</v>
      </c>
      <c r="W95" s="72"/>
      <c r="X95" s="98"/>
      <c r="Y95" s="72">
        <f t="shared" si="21"/>
        <v>0</v>
      </c>
      <c r="Z95" s="80">
        <f t="shared" si="24"/>
        <v>0</v>
      </c>
      <c r="AA95" s="72">
        <f t="shared" si="25"/>
        <v>0</v>
      </c>
      <c r="AB95" s="96">
        <f t="shared" si="22"/>
        <v>0</v>
      </c>
      <c r="AC95" s="72">
        <f t="shared" si="27"/>
        <v>1000000</v>
      </c>
      <c r="AD95" s="81"/>
      <c r="AE95" s="91"/>
      <c r="AF95" s="91"/>
      <c r="AG95" s="78"/>
      <c r="AH95" s="189"/>
      <c r="AI95" s="190"/>
      <c r="AJ95" s="191"/>
      <c r="AK95" s="192"/>
      <c r="AL95" s="193"/>
      <c r="AM95" s="214"/>
      <c r="AN95" s="215"/>
      <c r="AO95" s="196"/>
      <c r="AP95" s="152"/>
      <c r="AQ95" s="152"/>
      <c r="AR95" s="153"/>
      <c r="AS95" s="152"/>
      <c r="AU95" s="212" t="s">
        <v>212</v>
      </c>
      <c r="AV95" s="11"/>
    </row>
    <row r="96" spans="1:48" s="206" customFormat="1" ht="21.75" customHeight="1" x14ac:dyDescent="0.2">
      <c r="A96" s="131">
        <v>82</v>
      </c>
      <c r="B96" s="104" t="s">
        <v>213</v>
      </c>
      <c r="C96" s="93"/>
      <c r="D96" s="94"/>
      <c r="E96" s="94"/>
      <c r="F96" s="94"/>
      <c r="G96" s="95"/>
      <c r="H96" s="96"/>
      <c r="I96" s="97">
        <v>0</v>
      </c>
      <c r="J96" s="130"/>
      <c r="K96" s="95"/>
      <c r="L96" s="98"/>
      <c r="M96" s="106">
        <f>VLOOKUP(B96,'[1]BK TT'!$B$6:$I$103,8,0)</f>
        <v>0</v>
      </c>
      <c r="N96" s="73">
        <f t="shared" si="23"/>
        <v>0</v>
      </c>
      <c r="O96" s="99"/>
      <c r="P96" s="96"/>
      <c r="Q96" s="72">
        <v>1000000</v>
      </c>
      <c r="R96" s="72"/>
      <c r="S96" s="76">
        <f t="shared" si="26"/>
        <v>1000000</v>
      </c>
      <c r="T96" s="72"/>
      <c r="U96" s="72"/>
      <c r="V96" s="72">
        <f>S96-Q96-J96-R96</f>
        <v>0</v>
      </c>
      <c r="W96" s="72"/>
      <c r="X96" s="98"/>
      <c r="Y96" s="72">
        <f t="shared" si="21"/>
        <v>0</v>
      </c>
      <c r="Z96" s="80">
        <f t="shared" si="24"/>
        <v>0</v>
      </c>
      <c r="AA96" s="72">
        <f t="shared" si="25"/>
        <v>0</v>
      </c>
      <c r="AB96" s="96">
        <f t="shared" si="22"/>
        <v>0</v>
      </c>
      <c r="AC96" s="72">
        <f t="shared" si="27"/>
        <v>1000000</v>
      </c>
      <c r="AD96" s="81"/>
      <c r="AE96" s="91"/>
      <c r="AF96" s="91"/>
      <c r="AG96" s="78"/>
      <c r="AH96" s="189"/>
      <c r="AI96" s="190"/>
      <c r="AJ96" s="191"/>
      <c r="AK96" s="192"/>
      <c r="AL96" s="193"/>
      <c r="AM96" s="214"/>
      <c r="AN96" s="215"/>
      <c r="AO96" s="196"/>
      <c r="AP96" s="152"/>
      <c r="AQ96" s="152"/>
      <c r="AR96" s="153"/>
      <c r="AS96" s="152"/>
      <c r="AU96" s="212" t="s">
        <v>214</v>
      </c>
      <c r="AV96" s="11"/>
    </row>
    <row r="97" spans="1:48" s="206" customFormat="1" ht="21.75" customHeight="1" x14ac:dyDescent="0.2">
      <c r="A97" s="129">
        <v>83</v>
      </c>
      <c r="B97" s="245" t="s">
        <v>215</v>
      </c>
      <c r="C97" s="246"/>
      <c r="D97" s="247"/>
      <c r="E97" s="247"/>
      <c r="F97" s="247"/>
      <c r="G97" s="248"/>
      <c r="H97" s="249"/>
      <c r="I97" s="97">
        <v>0</v>
      </c>
      <c r="J97" s="130"/>
      <c r="K97" s="248"/>
      <c r="L97" s="250"/>
      <c r="M97" s="251">
        <f>VLOOKUP(B97,'[1]BK TT'!$B$6:$I$103,8,0)</f>
        <v>0</v>
      </c>
      <c r="N97" s="73">
        <f t="shared" si="23"/>
        <v>9000000</v>
      </c>
      <c r="O97" s="252"/>
      <c r="P97" s="249"/>
      <c r="Q97" s="72">
        <v>1000000</v>
      </c>
      <c r="R97" s="72"/>
      <c r="S97" s="76">
        <f t="shared" si="26"/>
        <v>10000000</v>
      </c>
      <c r="T97" s="253"/>
      <c r="U97" s="253"/>
      <c r="V97" s="72">
        <f t="shared" si="28"/>
        <v>9000000</v>
      </c>
      <c r="W97" s="253"/>
      <c r="X97" s="250"/>
      <c r="Y97" s="253">
        <f t="shared" si="21"/>
        <v>0</v>
      </c>
      <c r="Z97" s="254">
        <f t="shared" si="24"/>
        <v>9000000</v>
      </c>
      <c r="AA97" s="253">
        <f t="shared" si="25"/>
        <v>1</v>
      </c>
      <c r="AB97" s="96">
        <f t="shared" si="22"/>
        <v>900000</v>
      </c>
      <c r="AC97" s="253">
        <f t="shared" si="27"/>
        <v>9100000</v>
      </c>
      <c r="AD97" s="81"/>
      <c r="AE97" s="91"/>
      <c r="AF97" s="91"/>
      <c r="AG97" s="78"/>
      <c r="AH97" s="255"/>
      <c r="AI97" s="256">
        <v>1</v>
      </c>
      <c r="AJ97" s="257">
        <v>2</v>
      </c>
      <c r="AK97" s="258"/>
      <c r="AL97" s="259"/>
      <c r="AM97" s="214"/>
      <c r="AN97" s="215"/>
      <c r="AO97" s="196"/>
      <c r="AP97" s="152"/>
      <c r="AQ97" s="152"/>
      <c r="AR97" s="153"/>
      <c r="AS97" s="152"/>
      <c r="AU97" s="260" t="s">
        <v>216</v>
      </c>
      <c r="AV97" s="171"/>
    </row>
    <row r="98" spans="1:48" s="274" customFormat="1" ht="21.75" customHeight="1" x14ac:dyDescent="0.2">
      <c r="A98" s="261"/>
      <c r="B98" s="262"/>
      <c r="C98" s="263"/>
      <c r="D98" s="264"/>
      <c r="E98" s="264"/>
      <c r="F98" s="264"/>
      <c r="G98" s="265" t="e">
        <f>G69+G13+#REF!+#REF!</f>
        <v>#REF!</v>
      </c>
      <c r="H98" s="265" t="e">
        <f>H69+H13+#REF!+#REF!</f>
        <v>#REF!</v>
      </c>
      <c r="I98" s="265" t="e">
        <f>I69+I13+#REF!+#REF!</f>
        <v>#REF!</v>
      </c>
      <c r="J98" s="265" t="e">
        <f>J69+J13+#REF!+#REF!</f>
        <v>#REF!</v>
      </c>
      <c r="K98" s="265" t="e">
        <f>K69+K13+#REF!+#REF!</f>
        <v>#REF!</v>
      </c>
      <c r="L98" s="266" t="e">
        <f>L69+L13+#REF!+#REF!</f>
        <v>#REF!</v>
      </c>
      <c r="M98" s="267" t="e">
        <f>M69+M13+#REF!+#REF!</f>
        <v>#REF!</v>
      </c>
      <c r="N98" s="266" t="e">
        <f>N69+N13+#REF!+#REF!</f>
        <v>#REF!</v>
      </c>
      <c r="O98" s="266" t="e">
        <f>O69+O13+#REF!+#REF!</f>
        <v>#REF!</v>
      </c>
      <c r="P98" s="266" t="e">
        <f>P69+P13+#REF!+#REF!</f>
        <v>#REF!</v>
      </c>
      <c r="Q98" s="268" t="e">
        <f>Q69+Q13+#REF!+#REF!</f>
        <v>#REF!</v>
      </c>
      <c r="R98" s="268" t="e">
        <f>R69+R13+#REF!+#REF!</f>
        <v>#REF!</v>
      </c>
      <c r="S98" s="268" t="e">
        <f>S69+S13+#REF!+#REF!</f>
        <v>#REF!</v>
      </c>
      <c r="T98" s="269" t="e">
        <f>T69+T13+#REF!+#REF!</f>
        <v>#REF!</v>
      </c>
      <c r="U98" s="266" t="e">
        <f>U69+U13+#REF!+#REF!</f>
        <v>#REF!</v>
      </c>
      <c r="V98" s="266" t="e">
        <f>V69+V13+#REF!+#REF!</f>
        <v>#REF!</v>
      </c>
      <c r="W98" s="266" t="e">
        <f>W69+W13+#REF!+#REF!</f>
        <v>#REF!</v>
      </c>
      <c r="X98" s="266" t="e">
        <f>X69+X13+#REF!+#REF!</f>
        <v>#REF!</v>
      </c>
      <c r="Y98" s="265" t="e">
        <f>Y69+Y13+#REF!+#REF!</f>
        <v>#REF!</v>
      </c>
      <c r="Z98" s="266" t="e">
        <f>Z69+Z13+#REF!+#REF!</f>
        <v>#REF!</v>
      </c>
      <c r="AA98" s="266" t="e">
        <f>AA69+AA13+#REF!+#REF!</f>
        <v>#REF!</v>
      </c>
      <c r="AB98" s="266" t="e">
        <f>AB69+AB13+#REF!+#REF!</f>
        <v>#REF!</v>
      </c>
      <c r="AC98" s="270" t="e">
        <f>AC69+AC13+#REF!+#REF!</f>
        <v>#REF!</v>
      </c>
      <c r="AD98" s="270" t="e">
        <f>AD69+AD13+#REF!+#REF!</f>
        <v>#REF!</v>
      </c>
      <c r="AE98" s="270" t="e">
        <f>AE69+AE13+#REF!+#REF!</f>
        <v>#REF!</v>
      </c>
      <c r="AF98" s="270"/>
      <c r="AG98" s="270" t="e">
        <f>AG69+AG13+#REF!+#REF!</f>
        <v>#REF!</v>
      </c>
      <c r="AH98" s="270">
        <f>SUM(AH14:AH97)</f>
        <v>50</v>
      </c>
      <c r="AI98" s="270">
        <f t="shared" ref="AI98:AL98" si="29">SUM(AI14:AI97)</f>
        <v>61</v>
      </c>
      <c r="AJ98" s="270">
        <f t="shared" si="29"/>
        <v>51</v>
      </c>
      <c r="AK98" s="270">
        <f t="shared" si="29"/>
        <v>40</v>
      </c>
      <c r="AL98" s="270">
        <f t="shared" si="29"/>
        <v>0</v>
      </c>
      <c r="AM98" s="271"/>
      <c r="AN98" s="272"/>
      <c r="AO98" s="273"/>
      <c r="AP98" s="167"/>
      <c r="AQ98" s="167"/>
      <c r="AR98" s="168"/>
      <c r="AS98" s="167"/>
      <c r="AU98" s="275"/>
      <c r="AV98" s="276"/>
    </row>
    <row r="99" spans="1:48" s="11" customFormat="1" ht="21.75" customHeight="1" x14ac:dyDescent="0.2">
      <c r="A99" s="277"/>
      <c r="B99" s="278"/>
      <c r="C99" s="277"/>
      <c r="D99" s="279"/>
      <c r="E99" s="280"/>
      <c r="F99" s="279"/>
      <c r="G99" s="279"/>
      <c r="H99" s="279"/>
      <c r="I99" s="281"/>
      <c r="J99" s="282"/>
      <c r="K99" s="279"/>
      <c r="L99" s="279"/>
      <c r="M99" s="283"/>
      <c r="N99" s="279"/>
      <c r="O99" s="279"/>
      <c r="P99" s="279"/>
      <c r="Q99" s="284" t="s">
        <v>217</v>
      </c>
      <c r="R99" s="279"/>
      <c r="S99" s="279"/>
      <c r="T99" s="285"/>
      <c r="U99" s="279"/>
      <c r="V99" s="279"/>
      <c r="W99" s="279"/>
      <c r="X99" s="279"/>
      <c r="Y99" s="279"/>
      <c r="Z99" s="279"/>
      <c r="AA99" s="279"/>
      <c r="AB99" s="279"/>
      <c r="AC99" s="286"/>
      <c r="AD99" s="286"/>
      <c r="AE99" s="286"/>
      <c r="AF99" s="286"/>
      <c r="AG99" s="286"/>
      <c r="AH99" s="287"/>
      <c r="AI99" s="288"/>
      <c r="AJ99" s="287"/>
      <c r="AK99" s="287"/>
      <c r="AL99" s="287"/>
      <c r="AM99" s="287"/>
      <c r="AN99" s="287"/>
      <c r="AO99" s="171"/>
      <c r="AP99" s="152"/>
      <c r="AQ99" s="152"/>
      <c r="AR99" s="153"/>
      <c r="AS99" s="152"/>
      <c r="AV99" s="171"/>
    </row>
    <row r="100" spans="1:48" s="11" customFormat="1" ht="18" x14ac:dyDescent="0.2">
      <c r="A100" s="12"/>
      <c r="B100" s="289"/>
      <c r="C100" s="290"/>
      <c r="D100" s="290"/>
      <c r="E100" s="290"/>
      <c r="F100" s="290"/>
      <c r="G100" s="290"/>
      <c r="H100" s="290"/>
      <c r="I100" s="281"/>
      <c r="J100" s="281" t="s">
        <v>218</v>
      </c>
      <c r="K100" s="290"/>
      <c r="L100" s="290"/>
      <c r="M100" s="291"/>
      <c r="N100" s="290"/>
      <c r="O100" s="290"/>
      <c r="P100" s="290"/>
      <c r="Q100" s="292" t="s">
        <v>219</v>
      </c>
      <c r="R100" s="293"/>
      <c r="S100" s="294" t="s">
        <v>220</v>
      </c>
      <c r="T100" s="294"/>
      <c r="U100" s="294"/>
      <c r="V100" s="294"/>
      <c r="W100" s="294"/>
      <c r="X100" s="294"/>
      <c r="Y100" s="294"/>
      <c r="Z100" s="294"/>
      <c r="AA100" s="294"/>
      <c r="AB100" s="294"/>
      <c r="AC100" s="294"/>
      <c r="AD100" s="295"/>
      <c r="AE100" s="296"/>
      <c r="AF100" s="296"/>
      <c r="AG100" s="296"/>
      <c r="AH100" s="297"/>
      <c r="AI100" s="298"/>
      <c r="AL100" s="152"/>
      <c r="AO100" s="171"/>
      <c r="AP100" s="152"/>
      <c r="AQ100" s="152"/>
      <c r="AR100" s="153"/>
      <c r="AS100" s="152"/>
      <c r="AV100" s="171"/>
    </row>
    <row r="101" spans="1:48" s="11" customFormat="1" ht="18" x14ac:dyDescent="0.2">
      <c r="A101" s="12"/>
      <c r="B101" s="299" t="s">
        <v>221</v>
      </c>
      <c r="C101" s="299"/>
      <c r="D101" s="299"/>
      <c r="E101" s="299"/>
      <c r="F101" s="299"/>
      <c r="G101" s="299"/>
      <c r="H101" s="299"/>
      <c r="I101" s="300"/>
      <c r="J101" s="301"/>
      <c r="K101" s="302"/>
      <c r="L101" s="303"/>
      <c r="M101" s="304" t="s">
        <v>222</v>
      </c>
      <c r="N101" s="303"/>
      <c r="O101" s="303"/>
      <c r="P101" s="303"/>
      <c r="Q101" s="305"/>
      <c r="R101" s="306"/>
      <c r="S101" s="139" t="s">
        <v>223</v>
      </c>
      <c r="T101" s="139"/>
      <c r="U101" s="139"/>
      <c r="V101" s="139"/>
      <c r="W101" s="139"/>
      <c r="X101" s="139"/>
      <c r="Y101" s="139"/>
      <c r="Z101" s="139"/>
      <c r="AA101" s="139"/>
      <c r="AB101" s="139"/>
      <c r="AC101" s="139"/>
      <c r="AD101" s="307"/>
      <c r="AE101" s="307"/>
      <c r="AF101" s="307"/>
      <c r="AG101" s="307"/>
      <c r="AH101" s="308"/>
      <c r="AI101" s="146"/>
      <c r="AL101" s="152"/>
      <c r="AO101" s="171"/>
      <c r="AP101" s="152"/>
      <c r="AQ101" s="152"/>
      <c r="AR101" s="153"/>
      <c r="AS101" s="152"/>
      <c r="AV101" s="171"/>
    </row>
    <row r="102" spans="1:48" x14ac:dyDescent="0.2">
      <c r="C102" s="12"/>
      <c r="D102" s="12"/>
      <c r="E102" s="12"/>
      <c r="F102" s="12"/>
      <c r="I102" s="281"/>
      <c r="J102" s="281"/>
      <c r="AO102" s="135"/>
    </row>
    <row r="103" spans="1:48" x14ac:dyDescent="0.2">
      <c r="C103" s="12"/>
      <c r="D103" s="12"/>
      <c r="E103" s="12"/>
      <c r="F103" s="12"/>
      <c r="I103" s="281"/>
      <c r="J103" s="281"/>
      <c r="AG103" s="309" t="e">
        <f>#REF!+AG14</f>
        <v>#REF!</v>
      </c>
    </row>
    <row r="104" spans="1:48" x14ac:dyDescent="0.2">
      <c r="C104" s="12"/>
      <c r="D104" s="12"/>
      <c r="E104" s="12"/>
      <c r="F104" s="12"/>
      <c r="I104" s="281"/>
      <c r="J104" s="281"/>
      <c r="S104" s="12">
        <f>2500+1000-596</f>
        <v>2904</v>
      </c>
    </row>
    <row r="105" spans="1:48" x14ac:dyDescent="0.2">
      <c r="C105" s="12"/>
      <c r="D105" s="12"/>
      <c r="E105" s="12"/>
      <c r="F105" s="12"/>
      <c r="I105" s="281"/>
      <c r="J105" s="281"/>
    </row>
    <row r="106" spans="1:48" x14ac:dyDescent="0.2">
      <c r="C106" s="12"/>
      <c r="D106" s="12"/>
      <c r="E106" s="12"/>
      <c r="F106" s="12"/>
      <c r="I106" s="281"/>
      <c r="J106" s="281"/>
      <c r="AC106" s="310"/>
    </row>
    <row r="107" spans="1:48" x14ac:dyDescent="0.2">
      <c r="C107" s="12"/>
      <c r="D107" s="12"/>
      <c r="E107" s="12"/>
      <c r="F107" s="12"/>
      <c r="I107" s="281"/>
      <c r="J107" s="281"/>
    </row>
    <row r="108" spans="1:48" x14ac:dyDescent="0.2">
      <c r="C108" s="12"/>
      <c r="D108" s="12"/>
      <c r="E108" s="12"/>
      <c r="F108" s="12"/>
      <c r="I108" s="281"/>
      <c r="J108" s="281"/>
      <c r="AC108" s="310"/>
    </row>
    <row r="109" spans="1:48" ht="18" x14ac:dyDescent="0.2">
      <c r="B109" s="139" t="s">
        <v>224</v>
      </c>
      <c r="C109" s="139"/>
      <c r="D109" s="139"/>
      <c r="E109" s="139"/>
      <c r="F109" s="139"/>
      <c r="G109" s="139"/>
      <c r="H109" s="139"/>
      <c r="I109" s="281"/>
      <c r="J109" s="281"/>
      <c r="K109" s="307"/>
      <c r="L109" s="139" t="s">
        <v>225</v>
      </c>
      <c r="M109" s="139"/>
      <c r="N109" s="139"/>
      <c r="O109" s="307"/>
      <c r="P109" s="307"/>
      <c r="Q109" s="307"/>
      <c r="R109" s="306"/>
      <c r="S109" s="139" t="s">
        <v>226</v>
      </c>
      <c r="T109" s="139"/>
      <c r="U109" s="139"/>
      <c r="V109" s="139"/>
      <c r="W109" s="139"/>
      <c r="X109" s="139"/>
      <c r="Y109" s="139"/>
      <c r="Z109" s="139"/>
      <c r="AA109" s="139"/>
      <c r="AB109" s="139"/>
      <c r="AC109" s="139"/>
    </row>
    <row r="110" spans="1:48" x14ac:dyDescent="0.2">
      <c r="C110" s="12"/>
      <c r="D110" s="12"/>
      <c r="E110" s="12"/>
      <c r="F110" s="12"/>
      <c r="I110" s="281"/>
      <c r="J110" s="281"/>
      <c r="AC110" s="310"/>
      <c r="AD110" s="159"/>
      <c r="AE110" s="159"/>
      <c r="AF110" s="159"/>
    </row>
    <row r="111" spans="1:48" x14ac:dyDescent="0.2">
      <c r="C111" s="12"/>
      <c r="D111" s="12"/>
      <c r="E111" s="12"/>
      <c r="F111" s="12"/>
      <c r="I111" s="281"/>
      <c r="J111" s="281"/>
    </row>
    <row r="112" spans="1:48" x14ac:dyDescent="0.2">
      <c r="C112" s="12"/>
      <c r="D112" s="12"/>
      <c r="E112" s="12"/>
      <c r="F112" s="12"/>
      <c r="I112" s="281"/>
      <c r="J112" s="281"/>
    </row>
    <row r="113" spans="3:10" x14ac:dyDescent="0.2">
      <c r="C113" s="12"/>
      <c r="D113" s="12"/>
      <c r="E113" s="12"/>
      <c r="F113" s="12"/>
      <c r="I113" s="281"/>
      <c r="J113" s="281"/>
    </row>
    <row r="114" spans="3:10" x14ac:dyDescent="0.2">
      <c r="C114" s="12"/>
      <c r="D114" s="12"/>
      <c r="E114" s="12"/>
      <c r="F114" s="12"/>
      <c r="I114" s="281"/>
      <c r="J114" s="281"/>
    </row>
    <row r="115" spans="3:10" x14ac:dyDescent="0.2">
      <c r="C115" s="12"/>
      <c r="D115" s="12"/>
      <c r="E115" s="12"/>
      <c r="F115" s="12"/>
      <c r="I115" s="281"/>
      <c r="J115" s="281"/>
    </row>
    <row r="116" spans="3:10" x14ac:dyDescent="0.2">
      <c r="C116" s="12"/>
      <c r="D116" s="12"/>
      <c r="E116" s="12"/>
      <c r="F116" s="12"/>
      <c r="I116" s="281"/>
      <c r="J116" s="281"/>
    </row>
    <row r="117" spans="3:10" x14ac:dyDescent="0.2">
      <c r="C117" s="12"/>
      <c r="D117" s="12"/>
      <c r="E117" s="12"/>
      <c r="F117" s="12"/>
      <c r="I117" s="281"/>
      <c r="J117" s="281"/>
    </row>
    <row r="118" spans="3:10" x14ac:dyDescent="0.2">
      <c r="C118" s="12"/>
      <c r="D118" s="12"/>
      <c r="E118" s="12"/>
      <c r="F118" s="12"/>
      <c r="I118" s="281"/>
      <c r="J118" s="281"/>
    </row>
    <row r="119" spans="3:10" x14ac:dyDescent="0.2">
      <c r="C119" s="12"/>
      <c r="D119" s="12"/>
      <c r="E119" s="12"/>
      <c r="F119" s="12"/>
      <c r="I119" s="281"/>
      <c r="J119" s="281"/>
    </row>
    <row r="120" spans="3:10" x14ac:dyDescent="0.2">
      <c r="C120" s="12"/>
      <c r="D120" s="12"/>
      <c r="E120" s="12"/>
      <c r="F120" s="12"/>
      <c r="I120" s="281"/>
      <c r="J120" s="281"/>
    </row>
    <row r="121" spans="3:10" x14ac:dyDescent="0.2">
      <c r="C121" s="12"/>
      <c r="D121" s="12"/>
      <c r="E121" s="12"/>
      <c r="F121" s="12"/>
      <c r="I121" s="281"/>
      <c r="J121" s="281"/>
    </row>
    <row r="122" spans="3:10" x14ac:dyDescent="0.2">
      <c r="C122" s="12"/>
      <c r="D122" s="12"/>
      <c r="E122" s="12"/>
      <c r="F122" s="12"/>
      <c r="I122" s="281"/>
      <c r="J122" s="281"/>
    </row>
    <row r="123" spans="3:10" x14ac:dyDescent="0.2">
      <c r="C123" s="12"/>
      <c r="D123" s="12"/>
      <c r="E123" s="12"/>
      <c r="F123" s="12"/>
      <c r="I123" s="281"/>
      <c r="J123" s="281"/>
    </row>
    <row r="124" spans="3:10" x14ac:dyDescent="0.2">
      <c r="C124" s="12"/>
      <c r="D124" s="12"/>
      <c r="E124" s="12"/>
      <c r="F124" s="12"/>
    </row>
    <row r="125" spans="3:10" x14ac:dyDescent="0.2">
      <c r="C125" s="12"/>
      <c r="D125" s="12"/>
      <c r="E125" s="12"/>
      <c r="F125" s="12"/>
    </row>
    <row r="126" spans="3:10" x14ac:dyDescent="0.2">
      <c r="C126" s="12"/>
      <c r="D126" s="12"/>
      <c r="E126" s="12"/>
      <c r="F126" s="12"/>
    </row>
    <row r="127" spans="3:10" x14ac:dyDescent="0.2">
      <c r="C127" s="12"/>
      <c r="D127" s="12"/>
      <c r="E127" s="12"/>
      <c r="F127" s="12"/>
    </row>
    <row r="128" spans="3:10" x14ac:dyDescent="0.2">
      <c r="C128" s="12"/>
      <c r="D128" s="12"/>
      <c r="E128" s="12"/>
      <c r="F128" s="12"/>
    </row>
    <row r="129" spans="3:6" x14ac:dyDescent="0.2">
      <c r="C129" s="12"/>
      <c r="D129" s="12"/>
      <c r="E129" s="12"/>
      <c r="F129" s="12"/>
    </row>
    <row r="130" spans="3:6" x14ac:dyDescent="0.2">
      <c r="C130" s="12"/>
      <c r="D130" s="12"/>
      <c r="E130" s="12"/>
      <c r="F130" s="12"/>
    </row>
    <row r="131" spans="3:6" x14ac:dyDescent="0.2">
      <c r="C131" s="12"/>
      <c r="D131" s="12"/>
      <c r="E131" s="12"/>
      <c r="F131" s="12"/>
    </row>
    <row r="132" spans="3:6" x14ac:dyDescent="0.2">
      <c r="C132" s="12"/>
      <c r="D132" s="12"/>
      <c r="E132" s="12"/>
      <c r="F132" s="12"/>
    </row>
    <row r="133" spans="3:6" x14ac:dyDescent="0.2">
      <c r="C133" s="12"/>
      <c r="D133" s="12"/>
      <c r="E133" s="12"/>
      <c r="F133" s="12"/>
    </row>
    <row r="134" spans="3:6" x14ac:dyDescent="0.2">
      <c r="C134" s="12"/>
      <c r="D134" s="12"/>
      <c r="E134" s="12"/>
      <c r="F134" s="12"/>
    </row>
    <row r="135" spans="3:6" x14ac:dyDescent="0.2">
      <c r="C135" s="12"/>
      <c r="D135" s="12"/>
      <c r="E135" s="12"/>
      <c r="F135" s="12"/>
    </row>
    <row r="136" spans="3:6" x14ac:dyDescent="0.2">
      <c r="C136" s="12"/>
      <c r="D136" s="12"/>
      <c r="E136" s="12"/>
      <c r="F136" s="12"/>
    </row>
    <row r="137" spans="3:6" x14ac:dyDescent="0.2">
      <c r="C137" s="12"/>
      <c r="D137" s="12"/>
      <c r="E137" s="12"/>
      <c r="F137" s="12"/>
    </row>
    <row r="138" spans="3:6" x14ac:dyDescent="0.2">
      <c r="C138" s="12"/>
      <c r="D138" s="12"/>
      <c r="E138" s="12"/>
      <c r="F138" s="12"/>
    </row>
    <row r="139" spans="3:6" x14ac:dyDescent="0.2">
      <c r="C139" s="12"/>
      <c r="D139" s="12"/>
      <c r="E139" s="12"/>
      <c r="F139" s="12"/>
    </row>
    <row r="140" spans="3:6" x14ac:dyDescent="0.2">
      <c r="C140" s="12"/>
      <c r="D140" s="12"/>
      <c r="E140" s="12"/>
      <c r="F140" s="12"/>
    </row>
    <row r="141" spans="3:6" x14ac:dyDescent="0.2">
      <c r="C141" s="12"/>
      <c r="D141" s="12"/>
      <c r="E141" s="12"/>
      <c r="F141" s="12"/>
    </row>
    <row r="142" spans="3:6" x14ac:dyDescent="0.2">
      <c r="C142" s="12"/>
      <c r="D142" s="12"/>
      <c r="E142" s="12"/>
      <c r="F142" s="12"/>
    </row>
    <row r="143" spans="3:6" x14ac:dyDescent="0.2">
      <c r="C143" s="12"/>
      <c r="D143" s="12"/>
      <c r="E143" s="12"/>
      <c r="F143" s="12"/>
    </row>
    <row r="144" spans="3:6" x14ac:dyDescent="0.2">
      <c r="C144" s="12"/>
      <c r="D144" s="12"/>
      <c r="E144" s="12"/>
      <c r="F144" s="12"/>
    </row>
    <row r="145" spans="2:45" x14ac:dyDescent="0.2">
      <c r="C145" s="12"/>
      <c r="D145" s="12"/>
      <c r="E145" s="12"/>
      <c r="F145" s="12"/>
    </row>
    <row r="146" spans="2:45" x14ac:dyDescent="0.2">
      <c r="C146" s="12"/>
      <c r="D146" s="12"/>
      <c r="E146" s="12"/>
      <c r="F146" s="12"/>
    </row>
    <row r="147" spans="2:45" x14ac:dyDescent="0.2">
      <c r="C147" s="12"/>
      <c r="D147" s="12"/>
      <c r="E147" s="12"/>
      <c r="F147" s="12"/>
    </row>
    <row r="148" spans="2:45" x14ac:dyDescent="0.2">
      <c r="C148" s="12"/>
      <c r="D148" s="12"/>
      <c r="E148" s="12"/>
      <c r="F148" s="12"/>
    </row>
    <row r="149" spans="2:45" x14ac:dyDescent="0.2">
      <c r="C149" s="12"/>
      <c r="D149" s="12"/>
      <c r="E149" s="12"/>
      <c r="F149" s="12"/>
    </row>
    <row r="150" spans="2:45" x14ac:dyDescent="0.2">
      <c r="C150" s="12"/>
      <c r="D150" s="12"/>
      <c r="E150" s="12"/>
      <c r="F150" s="12"/>
    </row>
    <row r="151" spans="2:45" x14ac:dyDescent="0.2">
      <c r="C151" s="12"/>
      <c r="D151" s="12"/>
      <c r="E151" s="12"/>
      <c r="F151" s="12"/>
    </row>
    <row r="152" spans="2:45" x14ac:dyDescent="0.2">
      <c r="C152" s="12"/>
      <c r="D152" s="12"/>
      <c r="E152" s="12"/>
      <c r="F152" s="12"/>
    </row>
    <row r="153" spans="2:45" x14ac:dyDescent="0.2">
      <c r="C153" s="12"/>
      <c r="D153" s="12"/>
      <c r="E153" s="12"/>
      <c r="F153" s="12"/>
    </row>
    <row r="154" spans="2:45" x14ac:dyDescent="0.2">
      <c r="C154" s="12"/>
      <c r="D154" s="12"/>
      <c r="E154" s="12"/>
      <c r="F154" s="12"/>
    </row>
    <row r="155" spans="2:45" x14ac:dyDescent="0.2">
      <c r="C155" s="12"/>
      <c r="D155" s="12"/>
      <c r="E155" s="12"/>
      <c r="F155" s="12"/>
    </row>
    <row r="156" spans="2:45" ht="6.75" customHeight="1" x14ac:dyDescent="0.2">
      <c r="C156" s="12"/>
      <c r="D156" s="12"/>
      <c r="E156" s="12"/>
      <c r="F156" s="12"/>
    </row>
    <row r="157" spans="2:45" s="11" customFormat="1" ht="7.5" hidden="1" customHeight="1" x14ac:dyDescent="0.2">
      <c r="B157" s="311"/>
      <c r="G157" s="10"/>
      <c r="J157" s="10"/>
      <c r="K157" s="10"/>
      <c r="L157" s="12"/>
      <c r="N157" s="12"/>
      <c r="O157" s="12"/>
      <c r="P157" s="12"/>
      <c r="Q157" s="312"/>
      <c r="R157" s="12"/>
      <c r="S157" s="12"/>
      <c r="T157" s="10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I157" s="12"/>
      <c r="AL157" s="152"/>
      <c r="AP157" s="152"/>
      <c r="AQ157" s="152"/>
      <c r="AR157" s="153"/>
      <c r="AS157" s="152"/>
    </row>
    <row r="158" spans="2:45" s="11" customFormat="1" ht="17.25" hidden="1" customHeight="1" x14ac:dyDescent="0.2">
      <c r="B158" s="311"/>
      <c r="D158" s="313"/>
      <c r="G158" s="10"/>
      <c r="J158" s="10"/>
      <c r="K158" s="10"/>
      <c r="L158" s="12"/>
      <c r="N158" s="12"/>
      <c r="O158" s="12"/>
      <c r="P158" s="12"/>
      <c r="Q158" s="312"/>
      <c r="R158" s="314"/>
      <c r="S158" s="315" t="s">
        <v>227</v>
      </c>
      <c r="T158" s="315"/>
      <c r="U158" s="315"/>
      <c r="V158" s="315"/>
      <c r="W158" s="315"/>
      <c r="X158" s="315"/>
      <c r="Y158" s="315"/>
      <c r="Z158" s="315"/>
      <c r="AA158" s="315"/>
      <c r="AB158" s="315"/>
      <c r="AC158" s="315"/>
      <c r="AD158" s="315"/>
      <c r="AE158" s="314"/>
      <c r="AF158" s="314"/>
      <c r="AG158" s="314"/>
      <c r="AI158" s="12"/>
      <c r="AL158" s="152"/>
      <c r="AP158" s="152"/>
      <c r="AQ158" s="152"/>
      <c r="AR158" s="153"/>
      <c r="AS158" s="152"/>
    </row>
    <row r="159" spans="2:45" s="11" customFormat="1" ht="17.25" hidden="1" customHeight="1" x14ac:dyDescent="0.2">
      <c r="B159" s="311"/>
      <c r="D159" s="313"/>
      <c r="G159" s="10"/>
      <c r="J159" s="10"/>
      <c r="K159" s="10"/>
      <c r="L159" s="12"/>
      <c r="N159" s="12"/>
      <c r="O159" s="12"/>
      <c r="P159" s="12"/>
      <c r="Q159" s="312"/>
      <c r="R159" s="12"/>
      <c r="S159" s="12"/>
      <c r="T159" s="10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I159" s="12"/>
      <c r="AL159" s="152"/>
      <c r="AP159" s="152"/>
      <c r="AQ159" s="152"/>
      <c r="AR159" s="153"/>
      <c r="AS159" s="152"/>
    </row>
    <row r="160" spans="2:45" s="11" customFormat="1" ht="17.25" hidden="1" customHeight="1" x14ac:dyDescent="0.2">
      <c r="B160" s="311"/>
      <c r="D160" s="313"/>
      <c r="G160" s="10"/>
      <c r="J160" s="10"/>
      <c r="K160" s="10"/>
      <c r="L160" s="12"/>
      <c r="N160" s="12"/>
      <c r="O160" s="12"/>
      <c r="P160" s="12"/>
      <c r="Q160" s="312"/>
      <c r="R160" s="12"/>
      <c r="S160" s="12"/>
      <c r="T160" s="10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I160" s="12"/>
      <c r="AL160" s="152"/>
      <c r="AP160" s="152"/>
      <c r="AQ160" s="152"/>
      <c r="AR160" s="153"/>
      <c r="AS160" s="152"/>
    </row>
    <row r="161" spans="1:33" ht="17.25" customHeight="1" x14ac:dyDescent="0.2">
      <c r="A161" s="316" t="s">
        <v>228</v>
      </c>
      <c r="B161" s="316"/>
      <c r="C161" s="316"/>
      <c r="D161" s="317">
        <v>2000000</v>
      </c>
      <c r="E161" s="317"/>
      <c r="F161" s="317"/>
      <c r="R161" s="314"/>
      <c r="S161" s="315" t="s">
        <v>227</v>
      </c>
      <c r="T161" s="315"/>
      <c r="U161" s="315"/>
      <c r="V161" s="315"/>
      <c r="W161" s="315"/>
      <c r="X161" s="315"/>
      <c r="Y161" s="315"/>
      <c r="Z161" s="315"/>
      <c r="AA161" s="315"/>
      <c r="AB161" s="315"/>
      <c r="AC161" s="315"/>
      <c r="AD161" s="315"/>
      <c r="AE161" s="314"/>
      <c r="AF161" s="314"/>
      <c r="AG161" s="314"/>
    </row>
    <row r="162" spans="1:33" ht="19.5" customHeight="1" x14ac:dyDescent="0.2">
      <c r="A162" s="316" t="s">
        <v>229</v>
      </c>
      <c r="B162" s="316"/>
      <c r="C162" s="318"/>
      <c r="D162" s="319">
        <v>3000000</v>
      </c>
      <c r="E162" s="319"/>
      <c r="F162" s="319"/>
      <c r="S162" s="12" t="s">
        <v>230</v>
      </c>
      <c r="T162" s="146"/>
      <c r="U162" s="146"/>
      <c r="V162" s="146"/>
      <c r="W162" s="146"/>
      <c r="X162" s="146"/>
      <c r="Y162" s="146"/>
      <c r="Z162" s="146"/>
      <c r="AA162" s="146"/>
      <c r="AB162" s="146"/>
      <c r="AC162" s="146"/>
    </row>
    <row r="163" spans="1:33" ht="19.5" customHeight="1" x14ac:dyDescent="0.2">
      <c r="A163" s="316" t="s">
        <v>231</v>
      </c>
      <c r="B163" s="316"/>
      <c r="C163" s="318"/>
      <c r="D163" s="319">
        <v>3000000</v>
      </c>
      <c r="E163" s="319"/>
      <c r="F163" s="319"/>
      <c r="R163" s="320"/>
      <c r="S163" s="320" t="s">
        <v>232</v>
      </c>
    </row>
    <row r="164" spans="1:33" ht="19.5" customHeight="1" x14ac:dyDescent="0.2">
      <c r="A164" s="316" t="s">
        <v>233</v>
      </c>
      <c r="B164" s="316"/>
      <c r="C164" s="318"/>
      <c r="D164" s="319">
        <v>1100000</v>
      </c>
      <c r="E164" s="319"/>
      <c r="F164" s="319"/>
      <c r="R164" s="320"/>
      <c r="S164" s="320" t="s">
        <v>234</v>
      </c>
    </row>
    <row r="165" spans="1:33" ht="19.5" customHeight="1" x14ac:dyDescent="0.2">
      <c r="A165" s="316" t="s">
        <v>235</v>
      </c>
      <c r="B165" s="316"/>
      <c r="C165" s="318"/>
      <c r="D165" s="321" t="s">
        <v>236</v>
      </c>
      <c r="E165" s="321"/>
      <c r="F165" s="321"/>
      <c r="G165" s="322"/>
      <c r="H165" s="322"/>
      <c r="I165" s="322"/>
      <c r="J165" s="322"/>
      <c r="K165" s="322"/>
      <c r="R165" s="320"/>
      <c r="S165" s="320" t="s">
        <v>237</v>
      </c>
    </row>
    <row r="166" spans="1:33" ht="19.5" customHeight="1" x14ac:dyDescent="0.2">
      <c r="A166" s="316" t="s">
        <v>238</v>
      </c>
      <c r="B166" s="316"/>
      <c r="C166" s="318"/>
      <c r="D166" s="321"/>
      <c r="E166" s="321"/>
      <c r="F166" s="321"/>
      <c r="G166" s="322"/>
      <c r="H166" s="322"/>
      <c r="I166" s="322"/>
      <c r="J166" s="322"/>
      <c r="K166" s="322"/>
      <c r="S166" s="12" t="s">
        <v>239</v>
      </c>
    </row>
    <row r="167" spans="1:33" ht="19.5" customHeight="1" x14ac:dyDescent="0.2">
      <c r="A167" s="316" t="s">
        <v>240</v>
      </c>
      <c r="B167" s="316"/>
      <c r="C167" s="318"/>
      <c r="D167" s="321"/>
      <c r="E167" s="321"/>
      <c r="F167" s="321"/>
      <c r="G167" s="322"/>
      <c r="H167" s="322"/>
      <c r="I167" s="322"/>
      <c r="J167" s="322"/>
      <c r="K167" s="322"/>
      <c r="S167" s="12" t="s">
        <v>241</v>
      </c>
    </row>
    <row r="168" spans="1:33" ht="19.5" customHeight="1" x14ac:dyDescent="0.2">
      <c r="A168" s="316" t="s">
        <v>242</v>
      </c>
      <c r="B168" s="316"/>
      <c r="C168" s="318"/>
      <c r="D168" s="321"/>
      <c r="E168" s="321"/>
      <c r="F168" s="321"/>
      <c r="G168" s="322"/>
      <c r="H168" s="322"/>
      <c r="I168" s="322"/>
      <c r="J168" s="322"/>
      <c r="K168" s="322"/>
    </row>
  </sheetData>
  <mergeCells count="33">
    <mergeCell ref="A163:C163"/>
    <mergeCell ref="D163:F163"/>
    <mergeCell ref="A164:C164"/>
    <mergeCell ref="D164:F164"/>
    <mergeCell ref="A165:C165"/>
    <mergeCell ref="D165:F168"/>
    <mergeCell ref="A166:C166"/>
    <mergeCell ref="A167:C167"/>
    <mergeCell ref="A168:C168"/>
    <mergeCell ref="S158:AD158"/>
    <mergeCell ref="A161:C161"/>
    <mergeCell ref="D161:F161"/>
    <mergeCell ref="S161:AD161"/>
    <mergeCell ref="A162:C162"/>
    <mergeCell ref="D162:F162"/>
    <mergeCell ref="AP12:AS12"/>
    <mergeCell ref="AM70:AO70"/>
    <mergeCell ref="S100:AC100"/>
    <mergeCell ref="B101:H101"/>
    <mergeCell ref="S101:AC101"/>
    <mergeCell ref="B109:H109"/>
    <mergeCell ref="L109:N109"/>
    <mergeCell ref="S109:AC109"/>
    <mergeCell ref="A10:AC10"/>
    <mergeCell ref="G11:H11"/>
    <mergeCell ref="AL11:AN11"/>
    <mergeCell ref="D12:F12"/>
    <mergeCell ref="G12:H12"/>
    <mergeCell ref="AL12:AN12"/>
    <mergeCell ref="A2:F2"/>
    <mergeCell ref="A3:F3"/>
    <mergeCell ref="A5:AC5"/>
    <mergeCell ref="A6:AD6"/>
  </mergeCells>
  <conditionalFormatting sqref="B12">
    <cfRule type="duplicateValues" dxfId="53" priority="34"/>
    <cfRule type="duplicateValues" dxfId="52" priority="35"/>
    <cfRule type="duplicateValues" dxfId="51" priority="36"/>
    <cfRule type="duplicateValues" dxfId="50" priority="37"/>
    <cfRule type="duplicateValues" dxfId="54" priority="38"/>
    <cfRule type="duplicateValues" dxfId="49" priority="39"/>
  </conditionalFormatting>
  <conditionalFormatting sqref="B13">
    <cfRule type="duplicateValues" dxfId="48" priority="53"/>
  </conditionalFormatting>
  <conditionalFormatting sqref="B14:B49">
    <cfRule type="duplicateValues" dxfId="47" priority="57"/>
  </conditionalFormatting>
  <conditionalFormatting sqref="B50:B57">
    <cfRule type="duplicateValues" dxfId="46" priority="32"/>
  </conditionalFormatting>
  <conditionalFormatting sqref="B53">
    <cfRule type="duplicateValues" dxfId="45" priority="31"/>
  </conditionalFormatting>
  <conditionalFormatting sqref="B54:B57">
    <cfRule type="duplicateValues" dxfId="44" priority="33"/>
  </conditionalFormatting>
  <conditionalFormatting sqref="B58">
    <cfRule type="duplicateValues" dxfId="42" priority="51"/>
    <cfRule type="duplicateValues" dxfId="43" priority="52" stopIfTrue="1"/>
  </conditionalFormatting>
  <conditionalFormatting sqref="B59:B61">
    <cfRule type="duplicateValues" dxfId="41" priority="3"/>
    <cfRule type="duplicateValues" dxfId="40" priority="4"/>
  </conditionalFormatting>
  <conditionalFormatting sqref="B70">
    <cfRule type="duplicateValues" dxfId="39" priority="54"/>
  </conditionalFormatting>
  <conditionalFormatting sqref="B71:B97 B62:B69">
    <cfRule type="duplicateValues" dxfId="38" priority="55" stopIfTrue="1"/>
  </conditionalFormatting>
  <conditionalFormatting sqref="B98">
    <cfRule type="duplicateValues" dxfId="37" priority="17" stopIfTrue="1"/>
  </conditionalFormatting>
  <conditionalFormatting sqref="B100">
    <cfRule type="duplicateValues" dxfId="36" priority="50"/>
  </conditionalFormatting>
  <conditionalFormatting sqref="B102:B155">
    <cfRule type="duplicateValues" dxfId="35" priority="29"/>
    <cfRule type="duplicateValues" dxfId="34" priority="30"/>
  </conditionalFormatting>
  <conditionalFormatting sqref="B169:B215">
    <cfRule type="duplicateValues" dxfId="32" priority="42"/>
    <cfRule type="duplicateValues" dxfId="33" priority="44"/>
  </conditionalFormatting>
  <conditionalFormatting sqref="B201:B204">
    <cfRule type="duplicateValues" dxfId="31" priority="41"/>
  </conditionalFormatting>
  <conditionalFormatting sqref="B205">
    <cfRule type="duplicateValues" dxfId="30" priority="43"/>
  </conditionalFormatting>
  <conditionalFormatting sqref="B206">
    <cfRule type="duplicateValues" dxfId="29" priority="40"/>
  </conditionalFormatting>
  <conditionalFormatting sqref="B207">
    <cfRule type="duplicateValues" dxfId="28" priority="46"/>
  </conditionalFormatting>
  <conditionalFormatting sqref="B208">
    <cfRule type="duplicateValues" dxfId="27" priority="47"/>
  </conditionalFormatting>
  <conditionalFormatting sqref="B209">
    <cfRule type="duplicateValues" dxfId="26" priority="48"/>
  </conditionalFormatting>
  <conditionalFormatting sqref="B210:B211">
    <cfRule type="duplicateValues" dxfId="25" priority="49"/>
  </conditionalFormatting>
  <conditionalFormatting sqref="B216:B1048576">
    <cfRule type="duplicateValues" dxfId="24" priority="45"/>
  </conditionalFormatting>
  <conditionalFormatting sqref="V70:V97">
    <cfRule type="expression" dxfId="20" priority="23">
      <formula>CELL("row")=ROW()</formula>
    </cfRule>
    <cfRule type="expression" priority="24">
      <formula>CELL("row")=ROW()</formula>
    </cfRule>
    <cfRule type="expression" dxfId="19" priority="25">
      <formula>CELL("row")=ROW()</formula>
    </cfRule>
    <cfRule type="expression" dxfId="21" priority="26">
      <formula>CELL("row")=ROW()</formula>
    </cfRule>
    <cfRule type="expression" dxfId="22" priority="27">
      <formula>CELL("row")=ROW()</formula>
    </cfRule>
    <cfRule type="expression" dxfId="23" priority="28">
      <formula>CELL("row")=ROW()</formula>
    </cfRule>
  </conditionalFormatting>
  <conditionalFormatting sqref="AB71:AC97 I99:I123">
    <cfRule type="expression" dxfId="15" priority="18">
      <formula>CELL("row")=ROW()</formula>
    </cfRule>
    <cfRule type="expression" priority="19">
      <formula>CELL("row")=ROW()</formula>
    </cfRule>
    <cfRule type="expression" dxfId="16" priority="20">
      <formula>CELL("row")=ROW()</formula>
    </cfRule>
    <cfRule type="expression" dxfId="17" priority="21">
      <formula>CELL("row")=ROW()</formula>
    </cfRule>
    <cfRule type="expression" dxfId="18" priority="22">
      <formula>CELL("row")=ROW()</formula>
    </cfRule>
  </conditionalFormatting>
  <conditionalFormatting sqref="AC70">
    <cfRule type="expression" dxfId="11" priority="12">
      <formula>CELL("row")=ROW()</formula>
    </cfRule>
    <cfRule type="expression" priority="13">
      <formula>CELL("row")=ROW()</formula>
    </cfRule>
    <cfRule type="expression" dxfId="12" priority="14">
      <formula>CELL("row")=ROW()</formula>
    </cfRule>
    <cfRule type="expression" dxfId="13" priority="15">
      <formula>CELL("row")=ROW()</formula>
    </cfRule>
    <cfRule type="expression" dxfId="14" priority="16">
      <formula>CELL("row")=ROW()</formula>
    </cfRule>
  </conditionalFormatting>
  <conditionalFormatting sqref="AU13">
    <cfRule type="duplicateValues" dxfId="10" priority="11"/>
  </conditionalFormatting>
  <conditionalFormatting sqref="AU14:AU49">
    <cfRule type="duplicateValues" dxfId="9" priority="58"/>
  </conditionalFormatting>
  <conditionalFormatting sqref="AU50:AU57">
    <cfRule type="duplicateValues" dxfId="8" priority="7"/>
  </conditionalFormatting>
  <conditionalFormatting sqref="AU53">
    <cfRule type="duplicateValues" dxfId="7" priority="6"/>
  </conditionalFormatting>
  <conditionalFormatting sqref="AU54:AU57">
    <cfRule type="duplicateValues" dxfId="6" priority="8"/>
  </conditionalFormatting>
  <conditionalFormatting sqref="AU58">
    <cfRule type="duplicateValues" dxfId="4" priority="9"/>
    <cfRule type="duplicateValues" dxfId="5" priority="10" stopIfTrue="1"/>
  </conditionalFormatting>
  <conditionalFormatting sqref="AU59:AU61">
    <cfRule type="duplicateValues" dxfId="2" priority="1"/>
    <cfRule type="duplicateValues" dxfId="3" priority="2"/>
  </conditionalFormatting>
  <conditionalFormatting sqref="AU62:AU97">
    <cfRule type="duplicateValues" dxfId="1" priority="56" stopIfTrue="1"/>
  </conditionalFormatting>
  <conditionalFormatting sqref="AU98">
    <cfRule type="duplicateValues" dxfId="0" priority="5" stopIfTrue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TrungThanh Nguyen</dc:creator>
  <cp:lastModifiedBy>TrungThanh Nguyen</cp:lastModifiedBy>
  <dcterms:created xsi:type="dcterms:W3CDTF">2026-06-09T10:15:52Z</dcterms:created>
  <dcterms:modified xsi:type="dcterms:W3CDTF">2026-06-10T02:41:49Z</dcterms:modified>
</cp:coreProperties>
</file>